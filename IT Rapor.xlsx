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Kudo" sheetId="1" r:id="rId5"/>
    <sheet state="visible" name="2024" sheetId="2" r:id="rId6"/>
    <sheet state="visible" name="2025" sheetId="3" r:id="rId7"/>
    <sheet state="visible" name="2026" sheetId="4" r:id="rId8"/>
    <sheet state="visible" name="GENEL GÖRÜNTÜ" sheetId="5" r:id="rId9"/>
    <sheet state="visible" name="2-15 Nisan 2026" sheetId="6" r:id="rId10"/>
    <sheet state="visible" name="12 Mart-1 Nisan 2026" sheetId="7" r:id="rId11"/>
    <sheet state="visible" name="26 Şubat-11 Mart 2026" sheetId="8" r:id="rId12"/>
    <sheet state="visible" name="12-25 Şubat 2026" sheetId="9" r:id="rId13"/>
    <sheet state="visible" name="29 Ocak-11 Şubat 2026" sheetId="10" r:id="rId14"/>
    <sheet state="visible" name="15-28 Ocak 2026" sheetId="11" r:id="rId15"/>
    <sheet state="visible" name="18 Aralık-14 Ocak 2026" sheetId="12" r:id="rId16"/>
    <sheet state="visible" name="4-17 Aralık 2025" sheetId="13" r:id="rId17"/>
    <sheet state="visible" name="20 Kasım-3 Aralık 2025" sheetId="14" r:id="rId18"/>
    <sheet state="visible" name="6 -19 Kasım 2025" sheetId="15" r:id="rId19"/>
    <sheet state="visible" name="23 Ekim-5 Kasım 2025" sheetId="16" r:id="rId20"/>
    <sheet state="visible" name="9-22 Ekim 2025" sheetId="17" r:id="rId21"/>
    <sheet state="visible" name="25 Eylül-8 Ekim 2025" sheetId="18" r:id="rId22"/>
    <sheet state="visible" name="11-24 Eylül 2025 (Sprint 218)" sheetId="19" r:id="rId23"/>
    <sheet state="visible" name="21 Ağustos -10 Eylül 2025 (Spri" sheetId="20" r:id="rId24"/>
    <sheet state="visible" name="7 -20 Ağustos 2025 (Sprint 216)" sheetId="21" r:id="rId25"/>
    <sheet state="visible" name="24 Temmuz - 6 Ağustos 2025 (Spr" sheetId="22" r:id="rId26"/>
    <sheet state="visible" name="10 -23 Temmuz 2025 (Sprint 214)" sheetId="23" r:id="rId27"/>
    <sheet state="visible" name="26 Haziran-9 Temmuz 2025 (Sprin" sheetId="24" r:id="rId28"/>
    <sheet state="visible" name="12-25 Haziran 2025 (Sprint 212)" sheetId="25" r:id="rId29"/>
    <sheet state="visible" name="29 Mayıs-11 Haziran 2025 (Sprin" sheetId="26" r:id="rId30"/>
    <sheet state="visible" name="15- 28 MAYIS 2025 (Sprint 210)" sheetId="27" r:id="rId31"/>
    <sheet state="visible" name="1- 14 MAYIS 2025 (Sprint 209)" sheetId="28" r:id="rId32"/>
    <sheet state="visible" name="17- 30 NİSAN 2025 (Sprint 208)" sheetId="29" r:id="rId33"/>
    <sheet state="visible" name="3-16 NİSAN 2025 (Sprint 207) " sheetId="30" r:id="rId34"/>
    <sheet state="visible" name="20 MART- 2 NİSAN 2025 (Sprint 2" sheetId="31" r:id="rId35"/>
    <sheet state="visible" name="6-19 Mar 2025 (Sprint 205)" sheetId="32" r:id="rId36"/>
    <sheet state="visible" name="20 Şubat-5 Mart 2025 (Sprint 20" sheetId="33" r:id="rId37"/>
    <sheet state="visible" name="6-19 Şubat  2025 (Sprint 203) " sheetId="34" r:id="rId38"/>
    <sheet state="visible" name="23 OCAK-5 ŞUBAT 2025" sheetId="35" r:id="rId39"/>
    <sheet state="visible" name="9-22 OCAK 2025" sheetId="36" r:id="rId40"/>
    <sheet state="visible" name="23 Aralık-8 Ocak  2025" sheetId="37" r:id="rId41"/>
    <sheet state="visible" name="9-22 Aralık  2024" sheetId="38" r:id="rId42"/>
    <sheet state="visible" name="25 Kasım-8 Aralık  2024" sheetId="39" r:id="rId43"/>
    <sheet state="visible" name="11_24 Kasım 2024" sheetId="40" r:id="rId44"/>
    <sheet state="visible" name="30 Ekim-10 Kasım 2024" sheetId="41" r:id="rId45"/>
    <sheet state="visible" name="14_29 Ekim 2024" sheetId="42" r:id="rId46"/>
    <sheet state="visible" name="30 Eylül-13 Ekim 2024" sheetId="43" r:id="rId47"/>
    <sheet state="visible" name="2-29 Eylül 2024" sheetId="44" r:id="rId48"/>
    <sheet state="visible" name="19-30 Ağustos 2024" sheetId="45" r:id="rId49"/>
    <sheet state="visible" name="5-18 Ağustos 2024" sheetId="46" r:id="rId50"/>
    <sheet state="visible" name="22 Temmuz-4 Ağustos 2024" sheetId="47" r:id="rId51"/>
    <sheet state="visible" name="8-21 Temmuz 2024" sheetId="48" r:id="rId52"/>
    <sheet state="visible" name="17 Haziran-7 Temmuz 2024" sheetId="49" r:id="rId53"/>
    <sheet state="visible" name="3-16 Haziran 2024" sheetId="50" r:id="rId54"/>
    <sheet state="visible" name="20 Mayıs-2 Haziran 2024" sheetId="51" r:id="rId55"/>
    <sheet state="visible" name="6-19 MAYIS" sheetId="52" r:id="rId56"/>
    <sheet state="visible" name="22 NİSAN-5 MAYIS" sheetId="53" r:id="rId57"/>
    <sheet state="visible" name="1-21 Nisan 2024" sheetId="54" r:id="rId58"/>
    <sheet state="visible" name="18-31 Mart 2024" sheetId="55" r:id="rId59"/>
    <sheet state="visible" name="4-17 Mart 2024" sheetId="56" r:id="rId60"/>
    <sheet state="visible" name="19 şubat-3 Mart 2024" sheetId="57" r:id="rId61"/>
    <sheet state="visible" name="5 şubat-18 Şubat 2024" sheetId="58" r:id="rId62"/>
    <sheet state="visible" name="22 Ocak-4 Şubat 2024" sheetId="59" r:id="rId63"/>
    <sheet state="visible" name="8 Ocak-21 Ocak 2024" sheetId="60" r:id="rId64"/>
    <sheet state="visible" name="25Aralık 2023-7 Ocak 2024" sheetId="61" r:id="rId65"/>
    <sheet state="visible" name="11 Aralık-24Aralık 2023" sheetId="62" r:id="rId66"/>
    <sheet state="visible" name="27 Kasım-10 Aralık" sheetId="63" r:id="rId67"/>
    <sheet state="visible" name="13 Kasım-26 Kasım" sheetId="64" r:id="rId68"/>
    <sheet state="visible" name="30 Ekim-12 Kasım" sheetId="65" r:id="rId69"/>
    <sheet state="visible" name="16-29 Ekim" sheetId="66" r:id="rId70"/>
    <sheet state="visible" name="2 Ekim-15 Ekim 2023 " sheetId="67" r:id="rId71"/>
    <sheet state="visible" name="18 Eylül-1 Ekim 2023" sheetId="68" r:id="rId72"/>
    <sheet state="visible" name="28 Ağustos-17 Eylül 2023" sheetId="69" r:id="rId73"/>
    <sheet state="hidden" name="2023-ilk 8 ay" sheetId="70" r:id="rId74"/>
    <sheet state="visible" name="14-27 Ağustos" sheetId="71" r:id="rId75"/>
    <sheet state="visible" name="31 Temmuz-13 Ağustos" sheetId="72" r:id="rId76"/>
    <sheet state="visible" name="17 Temmuz-30 Temmuz 2023" sheetId="73" r:id="rId77"/>
    <sheet state="visible" name="26 Haziran-16Temmuz 2023" sheetId="74" r:id="rId78"/>
    <sheet state="visible" name="12-25 Haziran 2023" sheetId="75" r:id="rId79"/>
    <sheet state="visible" name="29 mayıs-11 Haziran 2023" sheetId="76" r:id="rId80"/>
    <sheet state="visible" name="15 mayıs-28 mayıs 2023" sheetId="77" r:id="rId81"/>
    <sheet state="visible" name="2 mayıs-14 mayıs 2023" sheetId="78" r:id="rId82"/>
    <sheet state="visible" name="17 nisan-1 mayıs 2023" sheetId="79" r:id="rId83"/>
    <sheet state="visible" name="3-16 nisan 2023" sheetId="80" r:id="rId84"/>
    <sheet state="visible" name="20 Mart-2 nisan 2023" sheetId="81" r:id="rId85"/>
    <sheet state="visible" name="6 mart-19 mart 2023" sheetId="82" r:id="rId86"/>
    <sheet state="visible" name="20 şubat-5 mart 2023" sheetId="83" r:id="rId87"/>
    <sheet state="visible" name="23 ocak-17 şubat" sheetId="84" r:id="rId88"/>
    <sheet state="visible" name="26 aralık-20 ocak" sheetId="85" r:id="rId89"/>
    <sheet state="visible" name="2023-1.ÇEYREK" sheetId="86" r:id="rId90"/>
    <sheet state="visible" name="Eylül-ekim-kasım-aralık" sheetId="87" r:id="rId91"/>
  </sheets>
  <definedNames/>
  <calcPr/>
</workbook>
</file>

<file path=xl/sharedStrings.xml><?xml version="1.0" encoding="utf-8"?>
<sst xmlns="http://schemas.openxmlformats.org/spreadsheetml/2006/main" count="2960" uniqueCount="795">
  <si>
    <t>31 Ekim-11 Kasım</t>
  </si>
  <si>
    <t>14-25 Kasım</t>
  </si>
  <si>
    <t>28 Kasım-9 Aralık</t>
  </si>
  <si>
    <t>12-23 aralık</t>
  </si>
  <si>
    <t>26 aralık-6 ocak</t>
  </si>
  <si>
    <t>9 ocak-20 ocak 2023</t>
  </si>
  <si>
    <t>23 ocak-3 şubat 2023</t>
  </si>
  <si>
    <t>6 şubat-17 şubat 2023</t>
  </si>
  <si>
    <t>20 şubat-5 mart 2023</t>
  </si>
  <si>
    <t>6 mart-19 mart 2023</t>
  </si>
  <si>
    <t>20 mart-2 nisan 2023</t>
  </si>
  <si>
    <t>3-16 nisan 2023</t>
  </si>
  <si>
    <t>17 Nisan-1 Mayıs 2023</t>
  </si>
  <si>
    <t>2 mayıs-14 mayıs 2023</t>
  </si>
  <si>
    <t>15 Mayıs-28 Mayıs</t>
  </si>
  <si>
    <t>29 mayıs-11 Haziran 2023</t>
  </si>
  <si>
    <t>12-25 Haziran 2023</t>
  </si>
  <si>
    <t>26 Haziran-16 Temmuz</t>
  </si>
  <si>
    <t>17-30 Temmuz 2023</t>
  </si>
  <si>
    <t>31 Temmuz-13 Ağustos 2023</t>
  </si>
  <si>
    <t>14-27 Ağustos 2023</t>
  </si>
  <si>
    <t>28 Ağustos-17 Eylül 2023</t>
  </si>
  <si>
    <t>18 Eylül-1 Ekim 2023</t>
  </si>
  <si>
    <t>2-15 Ekim 2023</t>
  </si>
  <si>
    <t>16-29 Ekim 2023</t>
  </si>
  <si>
    <t>30 Ekim- 12 Kasım</t>
  </si>
  <si>
    <t>13-26 Kasım</t>
  </si>
  <si>
    <t>27 kasım-10 Aralık</t>
  </si>
  <si>
    <t>11 Aralık-24Aralık 2023</t>
  </si>
  <si>
    <t>25 Aralık-7 ocak 2024</t>
  </si>
  <si>
    <t>8 Ocak-21 Ocak 2024</t>
  </si>
  <si>
    <t>22 Ocak-4 Şubat 2024</t>
  </si>
  <si>
    <t>5-18 Şubat 2024</t>
  </si>
  <si>
    <t>19 şubat-3 Mart 2024</t>
  </si>
  <si>
    <t>4-17 Mart 2024</t>
  </si>
  <si>
    <t>18-31 Mart 2024</t>
  </si>
  <si>
    <t>1-21 Nisan 2024</t>
  </si>
  <si>
    <t>22 Nisan-5 Mayıs 2024</t>
  </si>
  <si>
    <t>6-19 Mayıs 2024</t>
  </si>
  <si>
    <t>20 Mayıs-2 Haziran 2024</t>
  </si>
  <si>
    <t>3-16 Haziran 2024</t>
  </si>
  <si>
    <t>17 Haziran-7 temmuz 2024</t>
  </si>
  <si>
    <t>8-21 Temmuz 2024</t>
  </si>
  <si>
    <t>22 Temmuz-4 Ağustos 2024</t>
  </si>
  <si>
    <t>5-18 Ağustos 2024</t>
  </si>
  <si>
    <t>19-30 Ağustos 2024</t>
  </si>
  <si>
    <t>2-29 Eylül 2024</t>
  </si>
  <si>
    <t>30 Eylül-13 Ekim</t>
  </si>
  <si>
    <t>14-29 Ekim</t>
  </si>
  <si>
    <t>30 Ekim-10 Kasım</t>
  </si>
  <si>
    <t>11-24 Kasım</t>
  </si>
  <si>
    <t>25 Kasım-8 Aralık  2024</t>
  </si>
  <si>
    <t>9-22 Aralık  2024</t>
  </si>
  <si>
    <t>23 Aralık-8 ocak 2025</t>
  </si>
  <si>
    <t>9-22 Ocak 2025</t>
  </si>
  <si>
    <t>23 OCAK-5 ŞUBAT 2025</t>
  </si>
  <si>
    <t>6-19 ŞUBAT 2025</t>
  </si>
  <si>
    <t>20 ŞUBAT-5 MART 2025</t>
  </si>
  <si>
    <t>6-19 MART 2025</t>
  </si>
  <si>
    <t>20 MART-2 NİSAN 2025</t>
  </si>
  <si>
    <t>3-16 NİSAN 2025</t>
  </si>
  <si>
    <t>17-30 NİSAN 2025</t>
  </si>
  <si>
    <t>1-14 MAYIS 2025</t>
  </si>
  <si>
    <t>15-28 MAYIS 2025</t>
  </si>
  <si>
    <t>29 MAYIS-11 HAZİRAN 2025</t>
  </si>
  <si>
    <t>12-25 HAZİRAN 2025</t>
  </si>
  <si>
    <t>26 HAZİRAN-9 TEMMUZ</t>
  </si>
  <si>
    <t>10-23 TEMMUZ 2025</t>
  </si>
  <si>
    <t>24 TEMMUZ-6 AĞUSTOS 2025</t>
  </si>
  <si>
    <t>7-20 AĞUSTOS 2025</t>
  </si>
  <si>
    <t>21 AĞUSTOS-10 EYLÜL 2025</t>
  </si>
  <si>
    <t>11-24 Eylül 2025</t>
  </si>
  <si>
    <t>25 Eylül-8 Ekim 2025</t>
  </si>
  <si>
    <t>9-22 Ekim 2025</t>
  </si>
  <si>
    <t>23 Ekim-5 Kasım 2025</t>
  </si>
  <si>
    <t>6 -19 Kasım 2025</t>
  </si>
  <si>
    <t>20 Kasım-3 Aralık 2025</t>
  </si>
  <si>
    <t>4-17 Aralık 2025</t>
  </si>
  <si>
    <t>18 Aralık-14 Ocak 2026</t>
  </si>
  <si>
    <t>15-28 Ocak 2026</t>
  </si>
  <si>
    <t>29 Ocak-11 Şubat 2026</t>
  </si>
  <si>
    <t>12-25 Şubat 2026</t>
  </si>
  <si>
    <t>26 Şubat-11 Mart 2026</t>
  </si>
  <si>
    <t>12 Mart-1 Nisan 2026</t>
  </si>
  <si>
    <t>2-15 Nİsan 2026</t>
  </si>
  <si>
    <t>İslam</t>
  </si>
  <si>
    <t>MuratSaç</t>
  </si>
  <si>
    <t>2.93</t>
  </si>
  <si>
    <t>Emre</t>
  </si>
  <si>
    <t>Devrim</t>
  </si>
  <si>
    <t>Farhad</t>
  </si>
  <si>
    <t>Ömer</t>
  </si>
  <si>
    <t>Batuhan</t>
  </si>
  <si>
    <t>2.97</t>
  </si>
  <si>
    <t>Malik</t>
  </si>
  <si>
    <t>Yasemin</t>
  </si>
  <si>
    <t>Yılmaz</t>
  </si>
  <si>
    <t>Furkan</t>
  </si>
  <si>
    <t>EKİP ORTALAMASI</t>
  </si>
  <si>
    <t>Kudo şampiyonu</t>
  </si>
  <si>
    <t>Emre, Farhad, Malik</t>
  </si>
  <si>
    <t>Devrim-Batuhan-Malik</t>
  </si>
  <si>
    <t>Devrim-farhad-ömer-malik</t>
  </si>
  <si>
    <t>devrim</t>
  </si>
  <si>
    <t>islam</t>
  </si>
  <si>
    <t>farhad</t>
  </si>
  <si>
    <t>Emre-Malik</t>
  </si>
  <si>
    <t>Malik-Murat</t>
  </si>
  <si>
    <t>Murat</t>
  </si>
  <si>
    <t>Farhad-Ömer</t>
  </si>
  <si>
    <t>Selim</t>
  </si>
  <si>
    <t>HERKES</t>
  </si>
  <si>
    <t>İslam-Farhad</t>
  </si>
  <si>
    <t>batuhan</t>
  </si>
  <si>
    <t>farhad-malik</t>
  </si>
  <si>
    <t>YAPILMADI</t>
  </si>
  <si>
    <t>yapılmadı</t>
  </si>
  <si>
    <t>Özge</t>
  </si>
  <si>
    <t>Malik-Yılmaz</t>
  </si>
  <si>
    <t>Melis</t>
  </si>
  <si>
    <t>Burak</t>
  </si>
  <si>
    <t>Nazlı</t>
  </si>
  <si>
    <t>Ömer-Yılmaz</t>
  </si>
  <si>
    <t>Ömer-Emre-İslam-Malik</t>
  </si>
  <si>
    <t>Murat-Yılmaz</t>
  </si>
  <si>
    <t>-</t>
  </si>
  <si>
    <t>Emre-Farhad</t>
  </si>
  <si>
    <t>İslam-Malik</t>
  </si>
  <si>
    <t>KPI Şampiyonu</t>
  </si>
  <si>
    <t>İslam-Murat</t>
  </si>
  <si>
    <t>murat</t>
  </si>
  <si>
    <t>malik</t>
  </si>
  <si>
    <t xml:space="preserve">2-6 EYLÜL IT CAMP </t>
  </si>
  <si>
    <t xml:space="preserve">2022-2023-2024 VERİLERİ GİZLENMİŞTİR, </t>
  </si>
  <si>
    <t>en düşük</t>
  </si>
  <si>
    <t>İHTİYAÇ HALİNDE AÇABİLİRSİNİZ</t>
  </si>
  <si>
    <t>ortalama altı</t>
  </si>
  <si>
    <t>en yüksek</t>
  </si>
  <si>
    <t>kpı</t>
  </si>
  <si>
    <t>ömer</t>
  </si>
  <si>
    <t>emre</t>
  </si>
  <si>
    <t>KODLANAN MADDE SAYISI</t>
  </si>
  <si>
    <t>20 MAYIS</t>
  </si>
  <si>
    <t>11 ARALIK</t>
  </si>
  <si>
    <t>12 HAZİRAN</t>
  </si>
  <si>
    <t>2 MAYIS</t>
  </si>
  <si>
    <t>TOPLAM SCORE</t>
  </si>
  <si>
    <t>SP</t>
  </si>
  <si>
    <t>BEKLENEN SCORE</t>
  </si>
  <si>
    <t>9-22 OCAK</t>
  </si>
  <si>
    <t>23 OCAK-5 ŞUBAT</t>
  </si>
  <si>
    <t>20 ŞUBAT-5 MART</t>
  </si>
  <si>
    <t xml:space="preserve">6-19 MART </t>
  </si>
  <si>
    <t>20 Mart-2 Nisan</t>
  </si>
  <si>
    <t>10-23 TEMMUZ</t>
  </si>
  <si>
    <t>24 TEMMUZ-6 AĞUSTOS</t>
  </si>
  <si>
    <t>7-20 AĞUSTOS</t>
  </si>
  <si>
    <t xml:space="preserve">21 AĞUSTOS-10 EYLÜL </t>
  </si>
  <si>
    <t>23 Ekim-5 Kasım</t>
  </si>
  <si>
    <t>6-19 MART</t>
  </si>
  <si>
    <t>timespent</t>
  </si>
  <si>
    <t>2-15 Nisan 2026</t>
  </si>
  <si>
    <t>TOPLAM GERÇEKLEŞEN SCORE</t>
  </si>
  <si>
    <t>Kodlananlara göre Kapasite %</t>
  </si>
  <si>
    <t>12 Mart-1 Nisan 20206</t>
  </si>
  <si>
    <t>15-28 OCAK 2026</t>
  </si>
  <si>
    <t>18 ARALIK-14  OCAK 2026</t>
  </si>
  <si>
    <t xml:space="preserve">24 TEMMUZ - 6 AĞUSTOS 2025 </t>
  </si>
  <si>
    <t>26 HAZİRAN-9 TEMMUZ 2025</t>
  </si>
  <si>
    <t>23 Aralık-8 Ocak 2025</t>
  </si>
  <si>
    <t>11_24 Kasım 2024</t>
  </si>
  <si>
    <t>30 Eylül-13 Eki</t>
  </si>
  <si>
    <t xml:space="preserve">9-29 Eylül </t>
  </si>
  <si>
    <t>19-30 ağustos</t>
  </si>
  <si>
    <t>5-18 ağustos</t>
  </si>
  <si>
    <t>22 temmuz-4 ağustos</t>
  </si>
  <si>
    <t>17 Haziran- 7 Temmuz 2024</t>
  </si>
  <si>
    <t>19 Şubat-3 Mart 2024</t>
  </si>
  <si>
    <t>22 ocak-4 Şubat 2024</t>
  </si>
  <si>
    <t>8-21 Ocak 2024</t>
  </si>
  <si>
    <t>Kodladığı Madde Sayısı</t>
  </si>
  <si>
    <t>Toplam Score</t>
  </si>
  <si>
    <t>Beklenen Score</t>
  </si>
  <si>
    <t>Testten Dönen Madde Sayısı</t>
  </si>
  <si>
    <t>TimeSpent</t>
  </si>
  <si>
    <t>Madde detayları</t>
  </si>
  <si>
    <t>https://docs.google.com/spreadsheets/d/1gXd-V9gi9DNGzEllZsklwMJw6I0LW4T8/edit?gid=1678709265#gid=1678709265</t>
  </si>
  <si>
    <t>https://docs.google.com/spreadsheets/d/1gXd-V9gi9DNGzEllZsklwMJw6I0LW4T8/edit?gid=1309167043#gid=1309167043</t>
  </si>
  <si>
    <t>https://docs.google.com/spreadsheets/d/1gXd-V9gi9DNGzEllZsklwMJw6I0LW4T8/edit?gid=744277439#gid=744277439</t>
  </si>
  <si>
    <t>https://docs.google.com/spreadsheets/d/1gXd-V9gi9DNGzEllZsklwMJw6I0LW4T8/edit?gid=1469583701#gid=1469583701</t>
  </si>
  <si>
    <t>https://docs.google.com/spreadsheets/d/1gXd-V9gi9DNGzEllZsklwMJw6I0LW4T8/edit?gid=1508604409#gid=1508604409</t>
  </si>
  <si>
    <t>https://docs.google.com/spreadsheets/d/1gXd-V9gi9DNGzEllZsklwMJw6I0LW4T8/edit?gid=1114084665#gid=1114084665</t>
  </si>
  <si>
    <t>https://docs.google.com/spreadsheets/d/1gXd-V9gi9DNGzEllZsklwMJw6I0LW4T8/edit?gid=915348345#gid=915348345</t>
  </si>
  <si>
    <t>Sıra</t>
  </si>
  <si>
    <t>Kişi</t>
  </si>
  <si>
    <t>KPI Notu</t>
  </si>
  <si>
    <t>https://docs.google.com/spreadsheets/d/1vlmPNLbeL-o1E2uvkXKyu6BPSi4Ktumc/edit?gid=1678709265#gid=1678709265</t>
  </si>
  <si>
    <t>https://docs.google.com/spreadsheets/d/1vlmPNLbeL-o1E2uvkXKyu6BPSi4Ktumc/edit?gid=1309167043#gid=1309167043</t>
  </si>
  <si>
    <t>https://docs.google.com/spreadsheets/d/1vlmPNLbeL-o1E2uvkXKyu6BPSi4Ktumc/edit?gid=744277439#gid=744277439</t>
  </si>
  <si>
    <t>https://docs.google.com/spreadsheets/d/1vlmPNLbeL-o1E2uvkXKyu6BPSi4Ktumc/edit?gid=1469583701#gid=1469583701</t>
  </si>
  <si>
    <t>https://docs.google.com/spreadsheets/d/1vlmPNLbeL-o1E2uvkXKyu6BPSi4Ktumc/edit?gid=1508604409#gid=1508604409</t>
  </si>
  <si>
    <t>https://docs.google.com/spreadsheets/d/1vlmPNLbeL-o1E2uvkXKyu6BPSi4Ktumc/edit?gid=1114084665#gid=1114084665</t>
  </si>
  <si>
    <t>https://docs.google.com/spreadsheets/d/1vlmPNLbeL-o1E2uvkXKyu6BPSi4Ktumc/edit?gid=915348345#gid=915348345</t>
  </si>
  <si>
    <t>https://docs.google.com/spreadsheets/d/1NgNKA9n3B2xrOOR1M9jZ0oWAxXR4tuub/edit?gid=1678709265#gid=1678709265</t>
  </si>
  <si>
    <t>https://docs.google.com/spreadsheets/d/1NgNKA9n3B2xrOOR1M9jZ0oWAxXR4tuub/edit?gid=1309167043#gid=1309167043</t>
  </si>
  <si>
    <t>https://docs.google.com/spreadsheets/d/1NgNKA9n3B2xrOOR1M9jZ0oWAxXR4tuub/edit?gid=744277439#gid=744277439</t>
  </si>
  <si>
    <t>https://docs.google.com/spreadsheets/d/1NgNKA9n3B2xrOOR1M9jZ0oWAxXR4tuub/edit?gid=1469583701#gid=1469583701</t>
  </si>
  <si>
    <t>https://docs.google.com/spreadsheets/d/1NgNKA9n3B2xrOOR1M9jZ0oWAxXR4tuub/edit?gid=1508604409#gid=1508604409</t>
  </si>
  <si>
    <t>https://docs.google.com/spreadsheets/d/1NgNKA9n3B2xrOOR1M9jZ0oWAxXR4tuub/edit?gid=1114084665#gid=1114084665</t>
  </si>
  <si>
    <t>https://docs.google.com/spreadsheets/d/1NgNKA9n3B2xrOOR1M9jZ0oWAxXR4tuub/edit?gid=915348345#gid=915348345</t>
  </si>
  <si>
    <t>https://docs.google.com/spreadsheets/d/1a86nUraVcRlaefM0T4K6KjvOZk6VA-Pe/edit?gid=1678709265#gid=1678709265</t>
  </si>
  <si>
    <t>https://docs.google.com/spreadsheets/d/1a86nUraVcRlaefM0T4K6KjvOZk6VA-Pe/edit?gid=1309167043#gid=1309167043</t>
  </si>
  <si>
    <t>https://docs.google.com/spreadsheets/d/1a86nUraVcRlaefM0T4K6KjvOZk6VA-Pe/edit?gid=744277439#gid=744277439</t>
  </si>
  <si>
    <t>https://docs.google.com/spreadsheets/d/1a86nUraVcRlaefM0T4K6KjvOZk6VA-Pe/edit?gid=1469583701#gid=1469583701</t>
  </si>
  <si>
    <t>https://docs.google.com/spreadsheets/d/1a86nUraVcRlaefM0T4K6KjvOZk6VA-Pe/edit?gid=1508604409#gid=1508604409</t>
  </si>
  <si>
    <t>https://docs.google.com/spreadsheets/d/1a86nUraVcRlaefM0T4K6KjvOZk6VA-Pe/edit?gid=1114084665#gid=1114084665</t>
  </si>
  <si>
    <t>https://docs.google.com/spreadsheets/d/1a86nUraVcRlaefM0T4K6KjvOZk6VA-Pe/edit?gid=915348345#gid=915348345</t>
  </si>
  <si>
    <t>Final Notu</t>
  </si>
  <si>
    <t>https://docs.google.com/spreadsheets/d/13T-Uug_Hf9lsjWaP-P7RR8CtBuppncWI/edit?gid=1678709265#gid=1678709265</t>
  </si>
  <si>
    <t>https://docs.google.com/spreadsheets/d/13T-Uug_Hf9lsjWaP-P7RR8CtBuppncWI/edit?gid=1309167043#gid=1309167043</t>
  </si>
  <si>
    <t>https://docs.google.com/spreadsheets/d/13T-Uug_Hf9lsjWaP-P7RR8CtBuppncWI/edit?gid=744277439#gid=744277439</t>
  </si>
  <si>
    <t>https://docs.google.com/spreadsheets/d/13T-Uug_Hf9lsjWaP-P7RR8CtBuppncWI/edit?gid=1469583701#gid=1469583701</t>
  </si>
  <si>
    <t>https://docs.google.com/spreadsheets/d/13T-Uug_Hf9lsjWaP-P7RR8CtBuppncWI/edit?gid=1508604409#gid=1508604409</t>
  </si>
  <si>
    <t>https://docs.google.com/spreadsheets/d/13T-Uug_Hf9lsjWaP-P7RR8CtBuppncWI/edit?gid=1114084665#gid=1114084665</t>
  </si>
  <si>
    <t>https://docs.google.com/spreadsheets/d/13T-Uug_Hf9lsjWaP-P7RR8CtBuppncWI/edit?gid=915348345#gid=915348345</t>
  </si>
  <si>
    <t>https://docs.google.com/spreadsheets/d/1ItDfL9K1zMrhpLYOZucWjXf3PbQKOlxR/edit?gid=1678709265#gid=1678709265</t>
  </si>
  <si>
    <t>https://docs.google.com/spreadsheets/d/1ItDfL9K1zMrhpLYOZucWjXf3PbQKOlxR/edit?gid=1309167043#gid=1309167043</t>
  </si>
  <si>
    <t>https://docs.google.com/spreadsheets/d/1ItDfL9K1zMrhpLYOZucWjXf3PbQKOlxR/edit?gid=744277439#gid=744277439</t>
  </si>
  <si>
    <t>https://docs.google.com/spreadsheets/d/1ItDfL9K1zMrhpLYOZucWjXf3PbQKOlxR/edit?gid=1469583701#gid=1469583701</t>
  </si>
  <si>
    <t>https://docs.google.com/spreadsheets/d/1ItDfL9K1zMrhpLYOZucWjXf3PbQKOlxR/edit?gid=1508604409#gid=1508604409</t>
  </si>
  <si>
    <t>https://docs.google.com/spreadsheets/d/1ItDfL9K1zMrhpLYOZucWjXf3PbQKOlxR/edit?gid=1114084665#gid=1114084665</t>
  </si>
  <si>
    <t>https://docs.google.com/spreadsheets/d/1ItDfL9K1zMrhpLYOZucWjXf3PbQKOlxR/edit?gid=915348345#gid=915348345</t>
  </si>
  <si>
    <t>https://docs.google.com/spreadsheets/d/16xEzBceW14AKGxXdpfzvf0joUZoP5ekZ/edit?gid=1678709265#gid=1678709265</t>
  </si>
  <si>
    <t>https://docs.google.com/spreadsheets/d/16xEzBceW14AKGxXdpfzvf0joUZoP5ekZ/edit?gid=1309167043#gid=1309167043</t>
  </si>
  <si>
    <t>https://docs.google.com/spreadsheets/d/16xEzBceW14AKGxXdpfzvf0joUZoP5ekZ/edit?gid=744277439#gid=744277439</t>
  </si>
  <si>
    <t>https://docs.google.com/spreadsheets/d/16xEzBceW14AKGxXdpfzvf0joUZoP5ekZ/edit?gid=1469583701#gid=1469583701</t>
  </si>
  <si>
    <t>https://docs.google.com/spreadsheets/d/16xEzBceW14AKGxXdpfzvf0joUZoP5ekZ/edit?gid=1508604409#gid=1508604409</t>
  </si>
  <si>
    <t>https://docs.google.com/spreadsheets/d/16xEzBceW14AKGxXdpfzvf0joUZoP5ekZ/edit?gid=1114084665#gid=1114084665</t>
  </si>
  <si>
    <t>https://docs.google.com/spreadsheets/d/16xEzBceW14AKGxXdpfzvf0joUZoP5ekZ/edit?gid=915348345#gid=915348345</t>
  </si>
  <si>
    <t>FurkanÇ</t>
  </si>
  <si>
    <t>https://docs.google.com/spreadsheets/d/1WmCenoOElR-nD5zFqBoEt2b751lEzyJP/edit?gid=1678709265#gid=1678709265</t>
  </si>
  <si>
    <t>https://docs.google.com/spreadsheets/d/1WmCenoOElR-nD5zFqBoEt2b751lEzyJP/edit?gid=1309167043#gid=1309167043</t>
  </si>
  <si>
    <t>https://docs.google.com/spreadsheets/d/1WmCenoOElR-nD5zFqBoEt2b751lEzyJP/edit?gid=744277439#gid=744277439</t>
  </si>
  <si>
    <t>https://docs.google.com/spreadsheets/d/1WmCenoOElR-nD5zFqBoEt2b751lEzyJP/edit?gid=1469583701#gid=1469583701</t>
  </si>
  <si>
    <t>https://docs.google.com/spreadsheets/d/1WmCenoOElR-nD5zFqBoEt2b751lEzyJP/edit?gid=1508604409#gid=1508604409</t>
  </si>
  <si>
    <t>https://docs.google.com/spreadsheets/d/1WmCenoOElR-nD5zFqBoEt2b751lEzyJP/edit?gid=1114084665#gid=1114084665</t>
  </si>
  <si>
    <t>https://docs.google.com/spreadsheets/d/1WmCenoOElR-nD5zFqBoEt2b751lEzyJP/edit?gid=915348345#gid=915348345</t>
  </si>
  <si>
    <t>https://docs.google.com/spreadsheets/d/1YE4bigwfSk72H9yUhhx1kvhx66USHCE2/edit?gid=1678709265#gid=1678709265</t>
  </si>
  <si>
    <t>https://docs.google.com/spreadsheets/d/1YE4bigwfSk72H9yUhhx1kvhx66USHCE2/edit?gid=1309167043#gid=1309167043</t>
  </si>
  <si>
    <t>https://docs.google.com/spreadsheets/d/1YE4bigwfSk72H9yUhhx1kvhx66USHCE2/edit?gid=744277439#gid=744277439</t>
  </si>
  <si>
    <t>https://docs.google.com/spreadsheets/d/1YE4bigwfSk72H9yUhhx1kvhx66USHCE2/edit?gid=1469583701#gid=1469583701</t>
  </si>
  <si>
    <t>https://docs.google.com/spreadsheets/d/1YE4bigwfSk72H9yUhhx1kvhx66USHCE2/edit?gid=1508604409#gid=1508604409</t>
  </si>
  <si>
    <t>https://docs.google.com/spreadsheets/d/1YE4bigwfSk72H9yUhhx1kvhx66USHCE2/edit?gid=1114084665#gid=1114084665</t>
  </si>
  <si>
    <t>https://docs.google.com/spreadsheets/d/1YE4bigwfSk72H9yUhhx1kvhx66USHCE2/edit?gid=915348345#gid=915348345</t>
  </si>
  <si>
    <t>https://docs.google.com/spreadsheets/d/1F_eipzztW0pw3Lfr6fDtLliIKaGyQ3at/edit?gid=1678709265#gid=1678709265</t>
  </si>
  <si>
    <t>https://docs.google.com/spreadsheets/d/1F_eipzztW0pw3Lfr6fDtLliIKaGyQ3at/edit?gid=1309167043#gid=1309167043</t>
  </si>
  <si>
    <t>https://docs.google.com/spreadsheets/d/1F_eipzztW0pw3Lfr6fDtLliIKaGyQ3at/edit?gid=744277439#gid=744277439</t>
  </si>
  <si>
    <t>https://docs.google.com/spreadsheets/d/1F_eipzztW0pw3Lfr6fDtLliIKaGyQ3at/edit?gid=1469583701#gid=1469583701</t>
  </si>
  <si>
    <t>https://docs.google.com/spreadsheets/d/1F_eipzztW0pw3Lfr6fDtLliIKaGyQ3at/edit?gid=1508604409#gid=1508604409</t>
  </si>
  <si>
    <t>https://docs.google.com/spreadsheets/d/1F_eipzztW0pw3Lfr6fDtLliIKaGyQ3at/edit?gid=1114084665#gid=1114084665</t>
  </si>
  <si>
    <t>https://docs.google.com/spreadsheets/d/1F_eipzztW0pw3Lfr6fDtLliIKaGyQ3at/edit?gid=915348345#gid=915348345</t>
  </si>
  <si>
    <t>https://docs.google.com/spreadsheets/d/1T-I82NnMi2iBnFYMHS8d7aIsjKWLHRp5/edit?gid=1678709265#gid=1678709265</t>
  </si>
  <si>
    <t>https://docs.google.com/spreadsheets/d/1T-I82NnMi2iBnFYMHS8d7aIsjKWLHRp5/edit?gid=1309167043#gid=1309167043</t>
  </si>
  <si>
    <t>https://docs.google.com/spreadsheets/d/1T-I82NnMi2iBnFYMHS8d7aIsjKWLHRp5/edit?gid=744277439#gid=744277439</t>
  </si>
  <si>
    <t>https://docs.google.com/spreadsheets/d/1T-I82NnMi2iBnFYMHS8d7aIsjKWLHRp5/edit?gid=1469583701#gid=1469583701</t>
  </si>
  <si>
    <t>https://docs.google.com/spreadsheets/d/1T-I82NnMi2iBnFYMHS8d7aIsjKWLHRp5/edit?gid=1508604409#gid=1508604409</t>
  </si>
  <si>
    <t>https://docs.google.com/spreadsheets/d/1T-I82NnMi2iBnFYMHS8d7aIsjKWLHRp5/edit?gid=1114084665#gid=1114084665</t>
  </si>
  <si>
    <t>l0</t>
  </si>
  <si>
    <t>https://docs.google.com/spreadsheets/d/1T-I82NnMi2iBnFYMHS8d7aIsjKWLHRp5/edit?gid=915348345#gid=915348345</t>
  </si>
  <si>
    <t>https://docs.google.com/spreadsheets/d/1vJiJiEV85B-CbfUtgdohgTQoVTc3wb7V/edit?gid=1678709265#gid=1678709265</t>
  </si>
  <si>
    <t>https://docs.google.com/spreadsheets/d/1vJiJiEV85B-CbfUtgdohgTQoVTc3wb7V/edit?gid=1309167043#gid=1309167043</t>
  </si>
  <si>
    <t>https://docs.google.com/spreadsheets/d/1vJiJiEV85B-CbfUtgdohgTQoVTc3wb7V/edit?gid=744277439#gid=744277439</t>
  </si>
  <si>
    <t>https://docs.google.com/spreadsheets/d/1vJiJiEV85B-CbfUtgdohgTQoVTc3wb7V/edit?gid=1469583701#gid=1469583701</t>
  </si>
  <si>
    <t>https://docs.google.com/spreadsheets/d/1vJiJiEV85B-CbfUtgdohgTQoVTc3wb7V/edit?gid=1508604409#gid=1508604409</t>
  </si>
  <si>
    <t>https://docs.google.com/spreadsheets/d/1vJiJiEV85B-CbfUtgdohgTQoVTc3wb7V/edit?gid=1114084665#gid=1114084665</t>
  </si>
  <si>
    <t>https://docs.google.com/spreadsheets/d/1vJiJiEV85B-CbfUtgdohgTQoVTc3wb7V/edit?gid=915348345#gid=915348345</t>
  </si>
  <si>
    <t>https://docs.google.com/spreadsheets/d/1w75aJJM77z1o6xGPLMxxBhAw2GrOtuab/edit?gid=1678709265#gid=1678709265</t>
  </si>
  <si>
    <t>https://docs.google.com/spreadsheets/d/1w75aJJM77z1o6xGPLMxxBhAw2GrOtuab/edit?gid=1309167043#gid=1309167043</t>
  </si>
  <si>
    <t>https://docs.google.com/spreadsheets/d/1w75aJJM77z1o6xGPLMxxBhAw2GrOtuab/edit?gid=744277439#gid=744277439</t>
  </si>
  <si>
    <t>https://docs.google.com/spreadsheets/d/1w75aJJM77z1o6xGPLMxxBhAw2GrOtuab/edit?gid=1469583701#gid=1469583701</t>
  </si>
  <si>
    <t>https://docs.google.com/spreadsheets/d/1w75aJJM77z1o6xGPLMxxBhAw2GrOtuab/edit?gid=1508604409#gid=1508604409</t>
  </si>
  <si>
    <t>https://docs.google.com/spreadsheets/d/1w75aJJM77z1o6xGPLMxxBhAw2GrOtuab/edit?gid=1114084665#gid=1114084665</t>
  </si>
  <si>
    <t>https://docs.google.com/spreadsheets/d/1w75aJJM77z1o6xGPLMxxBhAw2GrOtuab/edit?gid=915348345#gid=915348345</t>
  </si>
  <si>
    <t>https://docs.google.com/spreadsheets/d/1d_nZOi7LEymg_BAUIZRiU9BKTrvDPHJ1/edit?gid=1678709265#gid=1678709265</t>
  </si>
  <si>
    <t>https://docs.google.com/spreadsheets/d/1d_nZOi7LEymg_BAUIZRiU9BKTrvDPHJ1/edit?gid=1309167043#gid=1309167043</t>
  </si>
  <si>
    <t>https://docs.google.com/spreadsheets/d/1d_nZOi7LEymg_BAUIZRiU9BKTrvDPHJ1/edit?gid=744277439#gid=744277439</t>
  </si>
  <si>
    <t>https://docs.google.com/spreadsheets/d/1d_nZOi7LEymg_BAUIZRiU9BKTrvDPHJ1/edit?gid=1469583701#gid=1469583701</t>
  </si>
  <si>
    <t>https://docs.google.com/spreadsheets/d/1d_nZOi7LEymg_BAUIZRiU9BKTrvDPHJ1/edit?gid=1508604409#gid=1508604409</t>
  </si>
  <si>
    <t>https://docs.google.com/spreadsheets/d/1d_nZOi7LEymg_BAUIZRiU9BKTrvDPHJ1/edit?gid=1114084665#gid=1114084665</t>
  </si>
  <si>
    <t>https://docs.google.com/spreadsheets/d/1d_nZOi7LEymg_BAUIZRiU9BKTrvDPHJ1/edit?gid=915348345#gid=915348345</t>
  </si>
  <si>
    <t>https://docs.google.com/spreadsheets/d/1s7dkmVr2MuW1pPD9k_hXtVtU69wr_KKx/edit?gid=1678709265#gid=1678709265</t>
  </si>
  <si>
    <t>https://docs.google.com/spreadsheets/d/1s7dkmVr2MuW1pPD9k_hXtVtU69wr_KKx/edit?gid=1309167043#gid=1309167043</t>
  </si>
  <si>
    <t>https://docs.google.com/spreadsheets/d/1s7dkmVr2MuW1pPD9k_hXtVtU69wr_KKx/edit?gid=744277439#gid=744277439</t>
  </si>
  <si>
    <t>https://docs.google.com/spreadsheets/d/1s7dkmVr2MuW1pPD9k_hXtVtU69wr_KKx/edit?gid=1469583701#gid=1469583701</t>
  </si>
  <si>
    <t>https://docs.google.com/spreadsheets/d/1s7dkmVr2MuW1pPD9k_hXtVtU69wr_KKx/edit?gid=1508604409#gid=1508604409</t>
  </si>
  <si>
    <t>https://docs.google.com/spreadsheets/d/1s7dkmVr2MuW1pPD9k_hXtVtU69wr_KKx/edit?gid=1114084665#gid=1114084665</t>
  </si>
  <si>
    <t>https://docs.google.com/spreadsheets/d/1s7dkmVr2MuW1pPD9k_hXtVtU69wr_KKx/edit?gid=915348345#gid=915348345</t>
  </si>
  <si>
    <t>https://docs.google.com/spreadsheets/d/1cx6oFyBny32NwpstNwKa0JygDbe6fSSs/edit?gid=1678709265#gid=1678709265</t>
  </si>
  <si>
    <t>https://docs.google.com/spreadsheets/d/1cx6oFyBny32NwpstNwKa0JygDbe6fSSs/edit?gid=1309167043#gid=1309167043</t>
  </si>
  <si>
    <t>https://docs.google.com/spreadsheets/d/1cx6oFyBny32NwpstNwKa0JygDbe6fSSs/edit?gid=744277439#gid=744277439</t>
  </si>
  <si>
    <t>https://docs.google.com/spreadsheets/d/1cx6oFyBny32NwpstNwKa0JygDbe6fSSs/edit?gid=1469583701#gid=1469583701</t>
  </si>
  <si>
    <t>https://docs.google.com/spreadsheets/d/1cx6oFyBny32NwpstNwKa0JygDbe6fSSs/edit?gid=1508604409#gid=1508604409</t>
  </si>
  <si>
    <t>https://docs.google.com/spreadsheets/d/1cx6oFyBny32NwpstNwKa0JygDbe6fSSs/edit?gid=1114084665#gid=1114084665</t>
  </si>
  <si>
    <t>https://docs.google.com/spreadsheets/d/1cx6oFyBny32NwpstNwKa0JygDbe6fSSs/edit?gid=915348345#gid=915348345</t>
  </si>
  <si>
    <t>https://docs.google.com/spreadsheets/d/1qpjWiBoAiMQs7NGsi1oadr8NUx4qmO6Q/edit?gid=1678709265#gid=1678709265</t>
  </si>
  <si>
    <t>https://docs.google.com/spreadsheets/d/1qpjWiBoAiMQs7NGsi1oadr8NUx4qmO6Q/edit?gid=1309167043#gid=1309167043</t>
  </si>
  <si>
    <t>https://docs.google.com/spreadsheets/d/1qpjWiBoAiMQs7NGsi1oadr8NUx4qmO6Q/edit?gid=744277439#gid=744277439</t>
  </si>
  <si>
    <t>https://docs.google.com/spreadsheets/d/1qpjWiBoAiMQs7NGsi1oadr8NUx4qmO6Q/edit?gid=1469583701#gid=1469583701</t>
  </si>
  <si>
    <t>https://docs.google.com/spreadsheets/d/1qpjWiBoAiMQs7NGsi1oadr8NUx4qmO6Q/edit?gid=1508604409#gid=1508604409</t>
  </si>
  <si>
    <t>https://docs.google.com/spreadsheets/d/1qpjWiBoAiMQs7NGsi1oadr8NUx4qmO6Q/edit?gid=1114084665#gid=1114084665</t>
  </si>
  <si>
    <t>https://docs.google.com/spreadsheets/d/1C38XqOnSu_d5jDuOB6pz-yUuIFuQM453sW2oDseXWWs/edit?gid=1795121416#gid=1795121416</t>
  </si>
  <si>
    <t>https://docs.google.com/spreadsheets/d/1C38XqOnSu_d5jDuOB6pz-yUuIFuQM453sW2oDseXWWs/edit?gid=639565466#gid=639565466</t>
  </si>
  <si>
    <t>https://docs.google.com/spreadsheets/d/1C38XqOnSu_d5jDuOB6pz-yUuIFuQM453sW2oDseXWWs/edit?gid=98133673#gid=98133673</t>
  </si>
  <si>
    <t>https://docs.google.com/spreadsheets/d/1C38XqOnSu_d5jDuOB6pz-yUuIFuQM453sW2oDseXWWs/edit?gid=1272994502#gid=1272994502</t>
  </si>
  <si>
    <t>https://docs.google.com/spreadsheets/d/1C38XqOnSu_d5jDuOB6pz-yUuIFuQM453sW2oDseXWWs/edit?gid=1355829565#gid=1355829565</t>
  </si>
  <si>
    <t>https://docs.google.com/spreadsheets/d/1C38XqOnSu_d5jDuOB6pz-yUuIFuQM453sW2oDseXWWs/edit?gid=1503107642#gid=1503107642</t>
  </si>
  <si>
    <t>https://docs.google.com/spreadsheets/d/1-G2V8D1vOWjtkfMOSa8V6U5LpInuVGtbbmtU9LsGiZk/edit?gid=1795121416#gid=1795121416</t>
  </si>
  <si>
    <t>https://docs.google.com/spreadsheets/d/1-G2V8D1vOWjtkfMOSa8V6U5LpInuVGtbbmtU9LsGiZk/edit?gid=639565466#gid=639565466</t>
  </si>
  <si>
    <t>https://docs.google.com/spreadsheets/d/1-G2V8D1vOWjtkfMOSa8V6U5LpInuVGtbbmtU9LsGiZk/edit?gid=98133673#gid=98133673</t>
  </si>
  <si>
    <t>https://docs.google.com/spreadsheets/d/1-G2V8D1vOWjtkfMOSa8V6U5LpInuVGtbbmtU9LsGiZk/edit?gid=1272994502#gid=1272994502</t>
  </si>
  <si>
    <t>https://docs.google.com/spreadsheets/d/1-G2V8D1vOWjtkfMOSa8V6U5LpInuVGtbbmtU9LsGiZk/edit?gid=416664440#gid=416664440</t>
  </si>
  <si>
    <t>https://docs.google.com/spreadsheets/d/1-G2V8D1vOWjtkfMOSa8V6U5LpInuVGtbbmtU9LsGiZk/edit?gid=1355829565#gid=1355829565</t>
  </si>
  <si>
    <t>https://docs.google.com/spreadsheets/d/1-G2V8D1vOWjtkfMOSa8V6U5LpInuVGtbbmtU9LsGiZk/edit?gid=1503107642#gid=1503107642</t>
  </si>
  <si>
    <t>https://docs.google.com/spreadsheets/d/1dQwbNnucla9dv3bTymMWOgwg8Th5vPSga_HhHixrxtA/edit?gid=1795121416#gid=1795121416</t>
  </si>
  <si>
    <t>https://docs.google.com/spreadsheets/d/1dQwbNnucla9dv3bTymMWOgwg8Th5vPSga_HhHixrxtA/edit?gid=639565466#gid=639565466</t>
  </si>
  <si>
    <t>https://docs.google.com/spreadsheets/d/1dQwbNnucla9dv3bTymMWOgwg8Th5vPSga_HhHixrxtA/edit?gid=98133673#gid=98133673</t>
  </si>
  <si>
    <t>https://docs.google.com/spreadsheets/d/1dQwbNnucla9dv3bTymMWOgwg8Th5vPSga_HhHixrxtA/edit?gid=1272994502#gid=1272994502</t>
  </si>
  <si>
    <t>https://docs.google.com/spreadsheets/d/1dQwbNnucla9dv3bTymMWOgwg8Th5vPSga_HhHixrxtA/edit?gid=416664440#gid=416664440</t>
  </si>
  <si>
    <t>https://docs.google.com/spreadsheets/d/1dQwbNnucla9dv3bTymMWOgwg8Th5vPSga_HhHixrxtA/edit?gid=1355829565#gid=1355829565</t>
  </si>
  <si>
    <t>https://docs.google.com/spreadsheets/d/1dQwbNnucla9dv3bTymMWOgwg8Th5vPSga_HhHixrxtA/edit?gid=1503107642#gid=1503107642</t>
  </si>
  <si>
    <t>https://docs.google.com/spreadsheets/d/1aiPqOxBu0CsQ42-SRw7IG8zNcB3a2xw05AWO5fQXpPA/edit?gid=1795121416#gid=1795121416</t>
  </si>
  <si>
    <t>https://docs.google.com/spreadsheets/d/1aiPqOxBu0CsQ42-SRw7IG8zNcB3a2xw05AWO5fQXpPA/edit?gid=639565466#gid=639565466</t>
  </si>
  <si>
    <t>https://docs.google.com/spreadsheets/d/1aiPqOxBu0CsQ42-SRw7IG8zNcB3a2xw05AWO5fQXpPA/edit?gid=98133673#gid=98133673</t>
  </si>
  <si>
    <t>https://docs.google.com/spreadsheets/d/1aiPqOxBu0CsQ42-SRw7IG8zNcB3a2xw05AWO5fQXpPA/edit?gid=1272994502#gid=1272994502</t>
  </si>
  <si>
    <t>https://docs.google.com/spreadsheets/d/1aiPqOxBu0CsQ42-SRw7IG8zNcB3a2xw05AWO5fQXpPA/edit?gid=416664440#gid=416664440</t>
  </si>
  <si>
    <t>https://docs.google.com/spreadsheets/d/1aiPqOxBu0CsQ42-SRw7IG8zNcB3a2xw05AWO5fQXpPA/edit?gid=1355829565#gid=1355829565</t>
  </si>
  <si>
    <t>https://docs.google.com/spreadsheets/d/1aiPqOxBu0CsQ42-SRw7IG8zNcB3a2xw05AWO5fQXpPA/edit?gid=1503107642#gid=1503107642</t>
  </si>
  <si>
    <t>izin</t>
  </si>
  <si>
    <t>https://docs.google.com/spreadsheets/d/1YYIy-uP7N0LLhVWEj4AZuX8M-MeGycBA_OrQ2fLCZAk/edit?gid=1795121416#gid=1795121416</t>
  </si>
  <si>
    <t>https://docs.google.com/spreadsheets/d/1YYIy-uP7N0LLhVWEj4AZuX8M-MeGycBA_OrQ2fLCZAk/edit?gid=639565466#gid=639565466</t>
  </si>
  <si>
    <t>https://docs.google.com/spreadsheets/d/1YYIy-uP7N0LLhVWEj4AZuX8M-MeGycBA_OrQ2fLCZAk/edit?gid=98133673#gid=98133673</t>
  </si>
  <si>
    <t>https://docs.google.com/spreadsheets/d/1YYIy-uP7N0LLhVWEj4AZuX8M-MeGycBA_OrQ2fLCZAk/edit?gid=1272994502#gid=1272994502</t>
  </si>
  <si>
    <t>https://docs.google.com/spreadsheets/d/1YYIy-uP7N0LLhVWEj4AZuX8M-MeGycBA_OrQ2fLCZAk/edit?gid=416664440#gid=416664440</t>
  </si>
  <si>
    <t>https://docs.google.com/spreadsheets/d/1YYIy-uP7N0LLhVWEj4AZuX8M-MeGycBA_OrQ2fLCZAk/edit?gid=1355829565#gid=1355829565</t>
  </si>
  <si>
    <t>https://docs.google.com/spreadsheets/d/1YYIy-uP7N0LLhVWEj4AZuX8M-MeGycBA_OrQ2fLCZAk/edit?gid=1503107642#gid=1503107642</t>
  </si>
  <si>
    <t>https://docs.google.com/spreadsheets/d/1et1NBtz8acYi1VNiIJ82CaSXU6GV15RzC0W59a8juH8/edit?gid=1795121416#gid=1795121416</t>
  </si>
  <si>
    <t>https://docs.google.com/spreadsheets/d/1et1NBtz8acYi1VNiIJ82CaSXU6GV15RzC0W59a8juH8/edit?gid=639565466#gid=639565466</t>
  </si>
  <si>
    <t>https://docs.google.com/spreadsheets/d/1et1NBtz8acYi1VNiIJ82CaSXU6GV15RzC0W59a8juH8/edit?gid=98133673#gid=98133673</t>
  </si>
  <si>
    <t>https://docs.google.com/spreadsheets/d/1et1NBtz8acYi1VNiIJ82CaSXU6GV15RzC0W59a8juH8/edit?gid=1272994502#gid=1272994502</t>
  </si>
  <si>
    <t>https://docs.google.com/spreadsheets/d/1et1NBtz8acYi1VNiIJ82CaSXU6GV15RzC0W59a8juH8/edit?gid=416664440#gid=416664440</t>
  </si>
  <si>
    <t>https://docs.google.com/spreadsheets/d/1et1NBtz8acYi1VNiIJ82CaSXU6GV15RzC0W59a8juH8/edit?gid=1355829565#gid=1355829565</t>
  </si>
  <si>
    <t>https://docs.google.com/spreadsheets/d/1et1NBtz8acYi1VNiIJ82CaSXU6GV15RzC0W59a8juH8/edit?gid=1503107642#gid=1503107642</t>
  </si>
  <si>
    <t>https://docs.google.com/spreadsheets/d/1PahGc-yfZqOkGbjjc4JE-3vt1aRoH-7T7by69N31YfM/edit?gid=1795121416#gid=1795121416</t>
  </si>
  <si>
    <t>https://docs.google.com/spreadsheets/d/1PahGc-yfZqOkGbjjc4JE-3vt1aRoH-7T7by69N31YfM/edit?gid=639565466#gid=639565466</t>
  </si>
  <si>
    <t>https://docs.google.com/spreadsheets/d/1PahGc-yfZqOkGbjjc4JE-3vt1aRoH-7T7by69N31YfM/edit?gid=98133673#gid=98133673</t>
  </si>
  <si>
    <t>https://docs.google.com/spreadsheets/d/1PahGc-yfZqOkGbjjc4JE-3vt1aRoH-7T7by69N31YfM/edit?gid=1272994502#gid=1272994502</t>
  </si>
  <si>
    <t>https://docs.google.com/spreadsheets/d/1PahGc-yfZqOkGbjjc4JE-3vt1aRoH-7T7by69N31YfM/edit?gid=416664440#gid=416664440</t>
  </si>
  <si>
    <t>https://docs.google.com/spreadsheets/d/1PahGc-yfZqOkGbjjc4JE-3vt1aRoH-7T7by69N31YfM/edit?gid=1355829565#gid=1355829565</t>
  </si>
  <si>
    <t>https://docs.google.com/spreadsheets/d/1PahGc-yfZqOkGbjjc4JE-3vt1aRoH-7T7by69N31YfM/edit?gid=1503107642#gid=1503107642</t>
  </si>
  <si>
    <t>https://docs.google.com/spreadsheets/d/1iXXVf7annHin8TwcRX5SW60g7tdZQwxUUlXCp2AJVYc/edit?gid=1795121416#gid=1795121416</t>
  </si>
  <si>
    <t>https://docs.google.com/spreadsheets/d/1iXXVf7annHin8TwcRX5SW60g7tdZQwxUUlXCp2AJVYc/edit?gid=639565466#gid=639565466</t>
  </si>
  <si>
    <t>https://docs.google.com/spreadsheets/d/1iXXVf7annHin8TwcRX5SW60g7tdZQwxUUlXCp2AJVYc/edit?gid=98133673#gid=98133673</t>
  </si>
  <si>
    <t>https://docs.google.com/spreadsheets/d/1iXXVf7annHin8TwcRX5SW60g7tdZQwxUUlXCp2AJVYc/edit?gid=1272994502#gid=1272994502</t>
  </si>
  <si>
    <t>https://docs.google.com/spreadsheets/d/1iXXVf7annHin8TwcRX5SW60g7tdZQwxUUlXCp2AJVYc/edit?gid=416664440#gid=416664440</t>
  </si>
  <si>
    <t>https://docs.google.com/spreadsheets/d/1iXXVf7annHin8TwcRX5SW60g7tdZQwxUUlXCp2AJVYc/edit?gid=1355829565#gid=1355829565</t>
  </si>
  <si>
    <t>https://docs.google.com/spreadsheets/d/1iXXVf7annHin8TwcRX5SW60g7tdZQwxUUlXCp2AJVYc/edit?gid=1503107642#gid=1503107642</t>
  </si>
  <si>
    <t>https://docs.google.com/spreadsheets/d/1HJgwweh9SP6LA4zxAsEgfd86P3k60TYhiLtBQzQT3DQ/edit?gid=1795121416#gid=1795121416</t>
  </si>
  <si>
    <t>https://docs.google.com/spreadsheets/d/1HJgwweh9SP6LA4zxAsEgfd86P3k60TYhiLtBQzQT3DQ/edit?gid=639565466#gid=639565466</t>
  </si>
  <si>
    <t>https://docs.google.com/spreadsheets/d/1HJgwweh9SP6LA4zxAsEgfd86P3k60TYhiLtBQzQT3DQ/edit?gid=98133673#gid=98133673</t>
  </si>
  <si>
    <t>https://docs.google.com/spreadsheets/d/1HJgwweh9SP6LA4zxAsEgfd86P3k60TYhiLtBQzQT3DQ/edit?gid=1272994502#gid=1272994502</t>
  </si>
  <si>
    <t>https://docs.google.com/spreadsheets/d/1HJgwweh9SP6LA4zxAsEgfd86P3k60TYhiLtBQzQT3DQ/edit?gid=416664440#gid=416664440</t>
  </si>
  <si>
    <t>https://docs.google.com/spreadsheets/d/1HJgwweh9SP6LA4zxAsEgfd86P3k60TYhiLtBQzQT3DQ/edit?gid=1355829565#gid=1355829565</t>
  </si>
  <si>
    <t>https://docs.google.com/spreadsheets/d/1HJgwweh9SP6LA4zxAsEgfd86P3k60TYhiLtBQzQT3DQ/edit?gid=1503107642#gid=1503107642</t>
  </si>
  <si>
    <t xml:space="preserve">Farhad </t>
  </si>
  <si>
    <t xml:space="preserve">İslam </t>
  </si>
  <si>
    <t>https://docs.google.com/spreadsheets/d/17ShdzpC-3Ee8f5pt92bkhQFjCKNwzXVYZulMQc2L3lk/edit?gid=1795121416#gid=1795121416</t>
  </si>
  <si>
    <t>https://docs.google.com/spreadsheets/d/17ShdzpC-3Ee8f5pt92bkhQFjCKNwzXVYZulMQc2L3lk/edit?gid=639565466#gid=639565466</t>
  </si>
  <si>
    <t>https://docs.google.com/spreadsheets/d/17ShdzpC-3Ee8f5pt92bkhQFjCKNwzXVYZulMQc2L3lk/edit?gid=98133673#gid=98133673</t>
  </si>
  <si>
    <t>https://docs.google.com/spreadsheets/d/17ShdzpC-3Ee8f5pt92bkhQFjCKNwzXVYZulMQc2L3lk/edit?gid=1272994502#gid=1272994502</t>
  </si>
  <si>
    <t>https://docs.google.com/spreadsheets/d/17ShdzpC-3Ee8f5pt92bkhQFjCKNwzXVYZulMQc2L3lk/edit?gid=416664440#gid=416664440</t>
  </si>
  <si>
    <t>https://docs.google.com/spreadsheets/d/17ShdzpC-3Ee8f5pt92bkhQFjCKNwzXVYZulMQc2L3lk/edit?gid=1355829565#gid=1355829565</t>
  </si>
  <si>
    <t>https://docs.google.com/spreadsheets/d/17ShdzpC-3Ee8f5pt92bkhQFjCKNwzXVYZulMQc2L3lk/edit?gid=1503107642#gid=1503107642</t>
  </si>
  <si>
    <t>https://docs.google.com/spreadsheets/d/1_pP-wXKAFkl0IM-PH4zXgnaGWdgp815-xNl5OrSKUCE/edit?gid=1795121416#gid=1795121416</t>
  </si>
  <si>
    <t>https://docs.google.com/spreadsheets/d/1_pP-wXKAFkl0IM-PH4zXgnaGWdgp815-xNl5OrSKUCE/edit?gid=639565466#gid=639565466</t>
  </si>
  <si>
    <t>https://docs.google.com/spreadsheets/d/1_pP-wXKAFkl0IM-PH4zXgnaGWdgp815-xNl5OrSKUCE/edit?gid=98133673#gid=98133673</t>
  </si>
  <si>
    <t>https://docs.google.com/spreadsheets/d/1_pP-wXKAFkl0IM-PH4zXgnaGWdgp815-xNl5OrSKUCE/edit?gid=1272994502#gid=1272994502</t>
  </si>
  <si>
    <t>https://docs.google.com/spreadsheets/d/1_pP-wXKAFkl0IM-PH4zXgnaGWdgp815-xNl5OrSKUCE/edit?gid=416664440#gid=416664440</t>
  </si>
  <si>
    <t>https://docs.google.com/spreadsheets/d/1_pP-wXKAFkl0IM-PH4zXgnaGWdgp815-xNl5OrSKUCE/edit?gid=1355829565#gid=1355829565</t>
  </si>
  <si>
    <t>https://docs.google.com/spreadsheets/d/1_pP-wXKAFkl0IM-PH4zXgnaGWdgp815-xNl5OrSKUCE/edit?gid=1503107642#gid=1503107642</t>
  </si>
  <si>
    <t>https://docs.google.com/spreadsheets/d/1x_1-Zx1Z_myjHIu5JEnjiz9vILKoqFdwzbiAcaXtCAA/edit?gid=1795121416#gid=1795121416</t>
  </si>
  <si>
    <t>https://docs.google.com/spreadsheets/d/1x_1-Zx1Z_myjHIu5JEnjiz9vILKoqFdwzbiAcaXtCAA/edit?gid=639565466#gid=639565466</t>
  </si>
  <si>
    <t>https://docs.google.com/spreadsheets/d/1x_1-Zx1Z_myjHIu5JEnjiz9vILKoqFdwzbiAcaXtCAA/edit?gid=98133673#gid=98133673</t>
  </si>
  <si>
    <t>https://docs.google.com/spreadsheets/d/1x_1-Zx1Z_myjHIu5JEnjiz9vILKoqFdwzbiAcaXtCAA/edit?gid=1272994502#gid=1272994502</t>
  </si>
  <si>
    <t>https://docs.google.com/spreadsheets/d/1x_1-Zx1Z_myjHIu5JEnjiz9vILKoqFdwzbiAcaXtCAA/edit?gid=416664440#gid=416664440</t>
  </si>
  <si>
    <t>https://docs.google.com/spreadsheets/d/1x_1-Zx1Z_myjHIu5JEnjiz9vILKoqFdwzbiAcaXtCAA/edit?gid=1355829565#gid=1355829565</t>
  </si>
  <si>
    <t>https://docs.google.com/spreadsheets/d/1x_1-Zx1Z_myjHIu5JEnjiz9vILKoqFdwzbiAcaXtCAA/edit?gid=1503107642#gid=1503107642</t>
  </si>
  <si>
    <t>https://docs.google.com/spreadsheets/d/1Ydwiz0ru6WbW_FZWSaGaDUROzg9elThdGncoYFXX83c/edit?gid=1795121416#gid=1795121416</t>
  </si>
  <si>
    <t>https://docs.google.com/spreadsheets/d/1Ydwiz0ru6WbW_FZWSaGaDUROzg9elThdGncoYFXX83c/edit?gid=639565466#gid=639565466</t>
  </si>
  <si>
    <t>https://docs.google.com/spreadsheets/d/1Ydwiz0ru6WbW_FZWSaGaDUROzg9elThdGncoYFXX83c/edit?gid=98133673#gid=98133673</t>
  </si>
  <si>
    <t>https://docs.google.com/spreadsheets/d/1Ydwiz0ru6WbW_FZWSaGaDUROzg9elThdGncoYFXX83c/edit?gid=1272994502#gid=1272994502</t>
  </si>
  <si>
    <t>https://docs.google.com/spreadsheets/d/1Ydwiz0ru6WbW_FZWSaGaDUROzg9elThdGncoYFXX83c/edit?gid=416664440#gid=416664440</t>
  </si>
  <si>
    <t>https://docs.google.com/spreadsheets/d/1Ydwiz0ru6WbW_FZWSaGaDUROzg9elThdGncoYFXX83c/edit?gid=1355829565#gid=1355829565</t>
  </si>
  <si>
    <t>https://docs.google.com/spreadsheets/d/1Ydwiz0ru6WbW_FZWSaGaDUROzg9elThdGncoYFXX83c/edit?gid=1503107642#gid=1503107642</t>
  </si>
  <si>
    <t>Mlik</t>
  </si>
  <si>
    <t>https://docs.google.com/spreadsheets/d/1jhqe_3Y74EpYjPLATjzuEV50duVSxums4O82wpLx7qw/edit?gid=1795121416#gid=1795121416</t>
  </si>
  <si>
    <t>https://docs.google.com/spreadsheets/d/1jhqe_3Y74EpYjPLATjzuEV50duVSxums4O82wpLx7qw/edit?gid=639565466#gid=639565466</t>
  </si>
  <si>
    <t>https://docs.google.com/spreadsheets/d/1jhqe_3Y74EpYjPLATjzuEV50duVSxums4O82wpLx7qw/edit?gid=98133673#gid=98133673</t>
  </si>
  <si>
    <t>https://docs.google.com/spreadsheets/d/1jhqe_3Y74EpYjPLATjzuEV50duVSxums4O82wpLx7qw/edit?gid=1272994502#gid=1272994502</t>
  </si>
  <si>
    <t>https://docs.google.com/spreadsheets/d/1jhqe_3Y74EpYjPLATjzuEV50duVSxums4O82wpLx7qw/edit?gid=416664440#gid=416664440</t>
  </si>
  <si>
    <t>https://docs.google.com/spreadsheets/d/1jhqe_3Y74EpYjPLATjzuEV50duVSxums4O82wpLx7qw/edit?gid=1355829565#gid=1355829565</t>
  </si>
  <si>
    <t>https://docs.google.com/spreadsheets/d/1jhqe_3Y74EpYjPLATjzuEV50duVSxums4O82wpLx7qw/edit?gid=1503107642#gid=1503107642</t>
  </si>
  <si>
    <t>https://docs.google.com/spreadsheets/d/160MznChYTPSjsTUnmDtrYqxDMEZ3Pe9iXdk2-8d4eMM/edit?gid=1795121416#gid=1795121416</t>
  </si>
  <si>
    <t>https://docs.google.com/spreadsheets/d/160MznChYTPSjsTUnmDtrYqxDMEZ3Pe9iXdk2-8d4eMM/edit?gid=639565466#gid=639565466</t>
  </si>
  <si>
    <t>https://docs.google.com/spreadsheets/d/160MznChYTPSjsTUnmDtrYqxDMEZ3Pe9iXdk2-8d4eMM/edit?gid=98133673#gid=98133673</t>
  </si>
  <si>
    <t>https://docs.google.com/spreadsheets/d/160MznChYTPSjsTUnmDtrYqxDMEZ3Pe9iXdk2-8d4eMM/edit?gid=1272994502#gid=1272994502</t>
  </si>
  <si>
    <t>https://docs.google.com/spreadsheets/d/160MznChYTPSjsTUnmDtrYqxDMEZ3Pe9iXdk2-8d4eMM/edit?gid=416664440#gid=416664440</t>
  </si>
  <si>
    <t>https://docs.google.com/spreadsheets/d/160MznChYTPSjsTUnmDtrYqxDMEZ3Pe9iXdk2-8d4eMM/edit?gid=1355829565#gid=1355829565</t>
  </si>
  <si>
    <t>https://docs.google.com/spreadsheets/d/160MznChYTPSjsTUnmDtrYqxDMEZ3Pe9iXdk2-8d4eMM/edit?gid=1503107642#gid=1503107642</t>
  </si>
  <si>
    <t>https://docs.google.com/spreadsheets/d/1lIA0nGAQ5ZJQT9-877TLDmWHnAEDnkwi4DOUZQleSZM/edit?gid=1795121416#gid=1795121416</t>
  </si>
  <si>
    <t>https://docs.google.com/spreadsheets/d/1lIA0nGAQ5ZJQT9-877TLDmWHnAEDnkwi4DOUZQleSZM/edit?gid=639565466#gid=639565466</t>
  </si>
  <si>
    <t>https://docs.google.com/spreadsheets/d/1lIA0nGAQ5ZJQT9-877TLDmWHnAEDnkwi4DOUZQleSZM/edit?gid=98133673#gid=98133673</t>
  </si>
  <si>
    <t>https://docs.google.com/spreadsheets/d/1lIA0nGAQ5ZJQT9-877TLDmWHnAEDnkwi4DOUZQleSZM/edit?gid=1272994502#gid=1272994502</t>
  </si>
  <si>
    <t>https://docs.google.com/spreadsheets/d/1lIA0nGAQ5ZJQT9-877TLDmWHnAEDnkwi4DOUZQleSZM/edit?gid=416664440#gid=416664440</t>
  </si>
  <si>
    <t>https://docs.google.com/spreadsheets/d/1lIA0nGAQ5ZJQT9-877TLDmWHnAEDnkwi4DOUZQleSZM/edit?gid=1355829565#gid=1355829565</t>
  </si>
  <si>
    <t>https://docs.google.com/spreadsheets/d/1lIA0nGAQ5ZJQT9-877TLDmWHnAEDnkwi4DOUZQleSZM/edit?gid=1503107642#gid=1503107642</t>
  </si>
  <si>
    <t>https://docs.google.com/spreadsheets/d/1X0GiNAyJXSDuyK-NkH57rilQ-D0eyncF-1kUpOXKrYE/edit?gid=1795121416#gid=1795121416</t>
  </si>
  <si>
    <t>https://docs.google.com/spreadsheets/d/1X0GiNAyJXSDuyK-NkH57rilQ-D0eyncF-1kUpOXKrYE/edit?gid=639565466#gid=639565466</t>
  </si>
  <si>
    <t>https://docs.google.com/spreadsheets/d/1X0GiNAyJXSDuyK-NkH57rilQ-D0eyncF-1kUpOXKrYE/edit?gid=98133673#gid=98133673</t>
  </si>
  <si>
    <t>https://docs.google.com/spreadsheets/d/1X0GiNAyJXSDuyK-NkH57rilQ-D0eyncF-1kUpOXKrYE/edit?gid=1272994502#gid=1272994502</t>
  </si>
  <si>
    <t>https://docs.google.com/spreadsheets/d/1X0GiNAyJXSDuyK-NkH57rilQ-D0eyncF-1kUpOXKrYE/edit?gid=416664440#gid=416664440</t>
  </si>
  <si>
    <t>https://docs.google.com/spreadsheets/d/1X0GiNAyJXSDuyK-NkH57rilQ-D0eyncF-1kUpOXKrYE/edit?gid=1355829565#gid=1355829565</t>
  </si>
  <si>
    <t>https://docs.google.com/spreadsheets/d/1X0GiNAyJXSDuyK-NkH57rilQ-D0eyncF-1kUpOXKrYE/edit?gid=1503107642#gid=1503107642</t>
  </si>
  <si>
    <t>"</t>
  </si>
  <si>
    <t>https://docs.google.com/spreadsheets/d/1A90a-2h_sEXhAUyxeKSNcVQii6Kbrs4oqOXStaBYJvY/edit?gid=1795121416#gid=1795121416</t>
  </si>
  <si>
    <t>https://docs.google.com/spreadsheets/d/1A90a-2h_sEXhAUyxeKSNcVQii6Kbrs4oqOXStaBYJvY/edit?gid=639565466#gid=639565466</t>
  </si>
  <si>
    <t>https://docs.google.com/spreadsheets/d/1A90a-2h_sEXhAUyxeKSNcVQii6Kbrs4oqOXStaBYJvY/edit?gid=98133673#gid=98133673</t>
  </si>
  <si>
    <t>https://docs.google.com/spreadsheets/d/1A90a-2h_sEXhAUyxeKSNcVQii6Kbrs4oqOXStaBYJvY/edit?gid=1272994502#gid=1272994502</t>
  </si>
  <si>
    <t>https://docs.google.com/spreadsheets/d/1A90a-2h_sEXhAUyxeKSNcVQii6Kbrs4oqOXStaBYJvY/edit?gid=416664440#gid=416664440</t>
  </si>
  <si>
    <t>https://docs.google.com/spreadsheets/d/1A90a-2h_sEXhAUyxeKSNcVQii6Kbrs4oqOXStaBYJvY/edit?gid=1355829565#gid=1355829565</t>
  </si>
  <si>
    <t>https://docs.google.com/spreadsheets/d/1A90a-2h_sEXhAUyxeKSNcVQii6Kbrs4oqOXStaBYJvY/edit?gid=1503107642#gid=1503107642</t>
  </si>
  <si>
    <t>https://docs.google.com/spreadsheets/d/1QV4-h2mIlgJX3BgKjEZo18HCaqCSWeMGotBcgHa8a_A/edit?gid=1795121416#gid=1795121416</t>
  </si>
  <si>
    <t>https://docs.google.com/spreadsheets/d/1QV4-h2mIlgJX3BgKjEZo18HCaqCSWeMGotBcgHa8a_A/edit?gid=639565466#gid=639565466</t>
  </si>
  <si>
    <t>https://docs.google.com/spreadsheets/d/1QV4-h2mIlgJX3BgKjEZo18HCaqCSWeMGotBcgHa8a_A/edit?gid=98133673#gid=98133673</t>
  </si>
  <si>
    <t>https://docs.google.com/spreadsheets/d/1QV4-h2mIlgJX3BgKjEZo18HCaqCSWeMGotBcgHa8a_A/edit?gid=1272994502#gid=1272994502</t>
  </si>
  <si>
    <t>https://docs.google.com/spreadsheets/d/1QV4-h2mIlgJX3BgKjEZo18HCaqCSWeMGotBcgHa8a_A/edit?gid=416664440#gid=416664440</t>
  </si>
  <si>
    <t>https://docs.google.com/spreadsheets/d/1QV4-h2mIlgJX3BgKjEZo18HCaqCSWeMGotBcgHa8a_A/edit?gid=1355829565#gid=1355829565</t>
  </si>
  <si>
    <t>https://docs.google.com/spreadsheets/d/1QV4-h2mIlgJX3BgKjEZo18HCaqCSWeMGotBcgHa8a_A/edit?gid=1503107642#gid=1503107642</t>
  </si>
  <si>
    <t>https://docs.google.com/spreadsheets/d/1N1HrpWk4f1eOAcHGA0uRUp8VTC-WL0tOOmhvdLHuDr0/edit?gid=1795121416#gid=1795121416</t>
  </si>
  <si>
    <t>https://docs.google.com/spreadsheets/d/1N1HrpWk4f1eOAcHGA0uRUp8VTC-WL0tOOmhvdLHuDr0/edit?gid=639565466#gid=639565466</t>
  </si>
  <si>
    <t>https://docs.google.com/spreadsheets/d/1N1HrpWk4f1eOAcHGA0uRUp8VTC-WL0tOOmhvdLHuDr0/edit?gid=98133673#gid=98133673</t>
  </si>
  <si>
    <t>https://docs.google.com/spreadsheets/d/1N1HrpWk4f1eOAcHGA0uRUp8VTC-WL0tOOmhvdLHuDr0/edit?gid=1272994502#gid=1272994502</t>
  </si>
  <si>
    <t>https://docs.google.com/spreadsheets/d/1N1HrpWk4f1eOAcHGA0uRUp8VTC-WL0tOOmhvdLHuDr0/edit?gid=416664440#gid=416664440</t>
  </si>
  <si>
    <t>https://docs.google.com/spreadsheets/d/1N1HrpWk4f1eOAcHGA0uRUp8VTC-WL0tOOmhvdLHuDr0/edit?gid=1355829565#gid=1355829565</t>
  </si>
  <si>
    <t>https://docs.google.com/spreadsheets/d/1N1HrpWk4f1eOAcHGA0uRUp8VTC-WL0tOOmhvdLHuDr0/edit?gid=1503107642#gid=1503107642</t>
  </si>
  <si>
    <t>https://docs.google.com/spreadsheets/d/17ut_piptsdvqjTtC6qPmNDGMcHQkctENDPt0rykDwmY/edit?gid=1795121416#gid=1795121416</t>
  </si>
  <si>
    <t>https://docs.google.com/spreadsheets/d/17ut_piptsdvqjTtC6qPmNDGMcHQkctENDPt0rykDwmY/edit?gid=639565466#gid=639565466</t>
  </si>
  <si>
    <t>https://docs.google.com/spreadsheets/d/17ut_piptsdvqjTtC6qPmNDGMcHQkctENDPt0rykDwmY/edit?gid=98133673#gid=98133673</t>
  </si>
  <si>
    <t>https://docs.google.com/spreadsheets/d/17ut_piptsdvqjTtC6qPmNDGMcHQkctENDPt0rykDwmY/edit?gid=1272994502#gid=1272994502</t>
  </si>
  <si>
    <t>https://docs.google.com/spreadsheets/d/17ut_piptsdvqjTtC6qPmNDGMcHQkctENDPt0rykDwmY/edit?gid=416664440#gid=416664440</t>
  </si>
  <si>
    <t>https://docs.google.com/spreadsheets/d/17ut_piptsdvqjTtC6qPmNDGMcHQkctENDPt0rykDwmY/edit?gid=1355829565#gid=1355829565</t>
  </si>
  <si>
    <t>https://docs.google.com/spreadsheets/d/17ut_piptsdvqjTtC6qPmNDGMcHQkctENDPt0rykDwmY/edit?gid=1503107642#gid=1503107642</t>
  </si>
  <si>
    <t>https://docs.google.com/spreadsheets/d/1r36W9uHN2PGqfY3DzeZQeuMMIXde-lCBTlloe4Ly_I8/edit?gid=1795121416#gid=1795121416</t>
  </si>
  <si>
    <t>https://docs.google.com/spreadsheets/d/1r36W9uHN2PGqfY3DzeZQeuMMIXde-lCBTlloe4Ly_I8/edit?gid=639565466#gid=639565466</t>
  </si>
  <si>
    <t>https://docs.google.com/spreadsheets/d/1r36W9uHN2PGqfY3DzeZQeuMMIXde-lCBTlloe4Ly_I8/edit?gid=98133673#gid=98133673</t>
  </si>
  <si>
    <t>https://docs.google.com/spreadsheets/d/1r36W9uHN2PGqfY3DzeZQeuMMIXde-lCBTlloe4Ly_I8/edit?gid=1272994502#gid=1272994502</t>
  </si>
  <si>
    <t>https://docs.google.com/spreadsheets/d/1r36W9uHN2PGqfY3DzeZQeuMMIXde-lCBTlloe4Ly_I8/edit?gid=416664440#gid=416664440</t>
  </si>
  <si>
    <t>https://docs.google.com/spreadsheets/d/1r36W9uHN2PGqfY3DzeZQeuMMIXde-lCBTlloe4Ly_I8/edit?gid=1355829565#gid=1355829565</t>
  </si>
  <si>
    <t>https://docs.google.com/spreadsheets/d/1r36W9uHN2PGqfY3DzeZQeuMMIXde-lCBTlloe4Ly_I8/edit?gid=1503107642#gid=1503107642</t>
  </si>
  <si>
    <t>https://docs.google.com/spreadsheets/d/17Mp2J0fMUqV4SDZWhAlRrS9jgfD8zGC3xLh5nSVHyDo/edit?gid=1795121416#gid=1795121416</t>
  </si>
  <si>
    <t>https://docs.google.com/spreadsheets/d/17Mp2J0fMUqV4SDZWhAlRrS9jgfD8zGC3xLh5nSVHyDo/edit?gid=639565466#gid=639565466</t>
  </si>
  <si>
    <t>https://docs.google.com/spreadsheets/d/17Mp2J0fMUqV4SDZWhAlRrS9jgfD8zGC3xLh5nSVHyDo/edit?gid=98133673#gid=98133673</t>
  </si>
  <si>
    <t>https://docs.google.com/spreadsheets/d/17Mp2J0fMUqV4SDZWhAlRrS9jgfD8zGC3xLh5nSVHyDo/edit?gid=1272994502#gid=1272994502</t>
  </si>
  <si>
    <t>https://docs.google.com/spreadsheets/d/17Mp2J0fMUqV4SDZWhAlRrS9jgfD8zGC3xLh5nSVHyDo/edit?gid=416664440#gid=416664440</t>
  </si>
  <si>
    <t>https://docs.google.com/spreadsheets/d/17Mp2J0fMUqV4SDZWhAlRrS9jgfD8zGC3xLh5nSVHyDo/edit?gid=1355829565#gid=1355829565</t>
  </si>
  <si>
    <t>https://docs.google.com/spreadsheets/d/17Mp2J0fMUqV4SDZWhAlRrS9jgfD8zGC3xLh5nSVHyDo/edit?gid=1503107642#gid=1503107642</t>
  </si>
  <si>
    <t>https://docs.google.com/spreadsheets/d/1uwou3it559XmXMdseiQnxQS7O5ffizQa0-dmSdSJYhM/edit?gid=1795121416#gid=1795121416</t>
  </si>
  <si>
    <t>https://docs.google.com/spreadsheets/d/1uwou3it559XmXMdseiQnxQS7O5ffizQa0-dmSdSJYhM/edit?gid=639565466#gid=639565466</t>
  </si>
  <si>
    <t>https://docs.google.com/spreadsheets/d/1uwou3it559XmXMdseiQnxQS7O5ffizQa0-dmSdSJYhM/edit?gid=98133673#gid=98133673</t>
  </si>
  <si>
    <t>https://docs.google.com/spreadsheets/d/1uwou3it559XmXMdseiQnxQS7O5ffizQa0-dmSdSJYhM/edit?gid=1272994502#gid=1272994502</t>
  </si>
  <si>
    <t>https://docs.google.com/spreadsheets/d/1uwou3it559XmXMdseiQnxQS7O5ffizQa0-dmSdSJYhM/edit?gid=416664440#gid=416664440</t>
  </si>
  <si>
    <t>https://docs.google.com/spreadsheets/d/1uwou3it559XmXMdseiQnxQS7O5ffizQa0-dmSdSJYhM/edit?gid=1355829565#gid=1355829565</t>
  </si>
  <si>
    <t>https://docs.google.com/spreadsheets/d/1uwou3it559XmXMdseiQnxQS7O5ffizQa0-dmSdSJYhM/edit?gid=1503107642#gid=1503107642</t>
  </si>
  <si>
    <t>KUDO ŞAMPİYONU OLMADI</t>
  </si>
  <si>
    <t>https://docs.google.com/spreadsheets/d/1_Lwks0KRTvGk-A3Y85mC5GtAIBwueAzaKYmpcN30uZ0/edit?gid=1795121416#gid=1795121416</t>
  </si>
  <si>
    <t>https://docs.google.com/spreadsheets/d/1_Lwks0KRTvGk-A3Y85mC5GtAIBwueAzaKYmpcN30uZ0/edit?gid=639565466#gid=639565466</t>
  </si>
  <si>
    <t>https://docs.google.com/spreadsheets/d/1_Lwks0KRTvGk-A3Y85mC5GtAIBwueAzaKYmpcN30uZ0/edit?gid=98133673#gid=98133673</t>
  </si>
  <si>
    <t>https://docs.google.com/spreadsheets/d/1_Lwks0KRTvGk-A3Y85mC5GtAIBwueAzaKYmpcN30uZ0/edit?gid=1272994502#gid=1272994502</t>
  </si>
  <si>
    <t>https://docs.google.com/spreadsheets/d/1_Lwks0KRTvGk-A3Y85mC5GtAIBwueAzaKYmpcN30uZ0/edit?gid=416664440#gid=416664440</t>
  </si>
  <si>
    <t>https://docs.google.com/spreadsheets/d/1_Lwks0KRTvGk-A3Y85mC5GtAIBwueAzaKYmpcN30uZ0/edit?gid=1355829565#gid=1355829565</t>
  </si>
  <si>
    <t>https://docs.google.com/spreadsheets/d/1_Lwks0KRTvGk-A3Y85mC5GtAIBwueAzaKYmpcN30uZ0/edit?gid=1503107642#gid=1503107642</t>
  </si>
  <si>
    <t>https://docs.google.com/spreadsheets/d/1e-0JQP4_2QL--B7ozgbLkQg4bsmo0TL_ugoGOf1tHyc/edit?gid=1795121416#gid=1795121416</t>
  </si>
  <si>
    <t>https://docs.google.com/spreadsheets/d/1e-0JQP4_2QL--B7ozgbLkQg4bsmo0TL_ugoGOf1tHyc/edit?gid=639565466#gid=639565466</t>
  </si>
  <si>
    <t>https://docs.google.com/spreadsheets/d/1e-0JQP4_2QL--B7ozgbLkQg4bsmo0TL_ugoGOf1tHyc/edit?gid=98133673#gid=98133673</t>
  </si>
  <si>
    <t>https://docs.google.com/spreadsheets/d/1e-0JQP4_2QL--B7ozgbLkQg4bsmo0TL_ugoGOf1tHyc/edit?gid=1272994502#gid=1272994502</t>
  </si>
  <si>
    <t>https://docs.google.com/spreadsheets/d/1e-0JQP4_2QL--B7ozgbLkQg4bsmo0TL_ugoGOf1tHyc/edit?gid=416664440#gid=416664440</t>
  </si>
  <si>
    <t>https://docs.google.com/spreadsheets/d/1e-0JQP4_2QL--B7ozgbLkQg4bsmo0TL_ugoGOf1tHyc/edit?gid=1355829565#gid=1355829565</t>
  </si>
  <si>
    <t>https://docs.google.com/spreadsheets/d/1e-0JQP4_2QL--B7ozgbLkQg4bsmo0TL_ugoGOf1tHyc/edit?gid=1503107642#gid=1503107642</t>
  </si>
  <si>
    <t>https://docs.google.com/spreadsheets/d/1bF0g0NUQQGz1jg8CerXrjs77oAiEz4QdhuXqOwHQDN0/edit?gid=1795121416#gid=1795121416</t>
  </si>
  <si>
    <t>https://docs.google.com/spreadsheets/d/1bF0g0NUQQGz1jg8CerXrjs77oAiEz4QdhuXqOwHQDN0/edit?gid=639565466#gid=639565466</t>
  </si>
  <si>
    <t>https://docs.google.com/spreadsheets/d/1bF0g0NUQQGz1jg8CerXrjs77oAiEz4QdhuXqOwHQDN0/edit?gid=98133673#gid=98133673</t>
  </si>
  <si>
    <t>https://docs.google.com/spreadsheets/d/1bF0g0NUQQGz1jg8CerXrjs77oAiEz4QdhuXqOwHQDN0/edit?gid=1272994502#gid=1272994502</t>
  </si>
  <si>
    <t>https://docs.google.com/spreadsheets/d/1bF0g0NUQQGz1jg8CerXrjs77oAiEz4QdhuXqOwHQDN0/edit?gid=416664440#gid=416664440</t>
  </si>
  <si>
    <t>https://docs.google.com/spreadsheets/d/1bF0g0NUQQGz1jg8CerXrjs77oAiEz4QdhuXqOwHQDN0/edit?gid=1355829565#gid=1355829565</t>
  </si>
  <si>
    <t>https://docs.google.com/spreadsheets/d/1bF0g0NUQQGz1jg8CerXrjs77oAiEz4QdhuXqOwHQDN0/edit?gid=1503107642#gid=1503107642</t>
  </si>
  <si>
    <t>https://docs.google.com/spreadsheets/d/1lbRHodiU4jX8p--dPE6lnZl4bmDnCQsR6EdHe84S1Rk/edit#gid=1795121416</t>
  </si>
  <si>
    <t>https://docs.google.com/spreadsheets/d/1lbRHodiU4jX8p--dPE6lnZl4bmDnCQsR6EdHe84S1Rk/edit#gid=639565466</t>
  </si>
  <si>
    <t>https://docs.google.com/spreadsheets/d/1lbRHodiU4jX8p--dPE6lnZl4bmDnCQsR6EdHe84S1Rk/edit#gid=98133673</t>
  </si>
  <si>
    <t>https://docs.google.com/spreadsheets/d/1lbRHodiU4jX8p--dPE6lnZl4bmDnCQsR6EdHe84S1Rk/edit#gid=1272994502</t>
  </si>
  <si>
    <t>https://docs.google.com/spreadsheets/d/1lbRHodiU4jX8p--dPE6lnZl4bmDnCQsR6EdHe84S1Rk/edit#gid=416664440</t>
  </si>
  <si>
    <t>https://docs.google.com/spreadsheets/d/1lbRHodiU4jX8p--dPE6lnZl4bmDnCQsR6EdHe84S1Rk/edit#gid=1355829565</t>
  </si>
  <si>
    <t>https://docs.google.com/spreadsheets/d/1lbRHodiU4jX8p--dPE6lnZl4bmDnCQsR6EdHe84S1Rk/edit#gid=1503107642</t>
  </si>
  <si>
    <t>https://docs.google.com/spreadsheets/d/1UR9BzmEE_Oph-l5zBvNOqFcYFNHWI9ApjIaCS9GxRGQ/edit#gid=1795121416</t>
  </si>
  <si>
    <t>https://docs.google.com/spreadsheets/d/1UR9BzmEE_Oph-l5zBvNOqFcYFNHWI9ApjIaCS9GxRGQ/edit#gid=639565466</t>
  </si>
  <si>
    <t>https://docs.google.com/spreadsheets/d/1UR9BzmEE_Oph-l5zBvNOqFcYFNHWI9ApjIaCS9GxRGQ/edit#gid=98133673</t>
  </si>
  <si>
    <t>https://docs.google.com/spreadsheets/d/1UR9BzmEE_Oph-l5zBvNOqFcYFNHWI9ApjIaCS9GxRGQ/edit#gid=1272994502</t>
  </si>
  <si>
    <t>https://docs.google.com/spreadsheets/d/1UR9BzmEE_Oph-l5zBvNOqFcYFNHWI9ApjIaCS9GxRGQ/edit#gid=416664440</t>
  </si>
  <si>
    <t>https://docs.google.com/spreadsheets/d/1UR9BzmEE_Oph-l5zBvNOqFcYFNHWI9ApjIaCS9GxRGQ/edit#gid=1355829565</t>
  </si>
  <si>
    <t>https://docs.google.com/spreadsheets/d/1UR9BzmEE_Oph-l5zBvNOqFcYFNHWI9ApjIaCS9GxRGQ/edit#gid=1503107642</t>
  </si>
  <si>
    <t>https://docs.google.com/spreadsheets/d/11ANpW6wt09iOytF_9cydQLuF53tvL_xW-jl2e_yurAU/edit#gid=1795121416</t>
  </si>
  <si>
    <t>https://docs.google.com/spreadsheets/d/11ANpW6wt09iOytF_9cydQLuF53tvL_xW-jl2e_yurAU/edit#gid=639565466</t>
  </si>
  <si>
    <t>https://docs.google.com/spreadsheets/d/11ANpW6wt09iOytF_9cydQLuF53tvL_xW-jl2e_yurAU/edit#gid=98133673</t>
  </si>
  <si>
    <t>https://docs.google.com/spreadsheets/d/11ANpW6wt09iOytF_9cydQLuF53tvL_xW-jl2e_yurAU/edit#gid=1272994502</t>
  </si>
  <si>
    <t>https://docs.google.com/spreadsheets/d/11ANpW6wt09iOytF_9cydQLuF53tvL_xW-jl2e_yurAU/edit#gid=416664440</t>
  </si>
  <si>
    <t>https://docs.google.com/spreadsheets/d/11ANpW6wt09iOytF_9cydQLuF53tvL_xW-jl2e_yurAU/edit#gid=1355829565</t>
  </si>
  <si>
    <t>https://docs.google.com/spreadsheets/d/11ANpW6wt09iOytF_9cydQLuF53tvL_xW-jl2e_yurAU/edit#gid=1503107642</t>
  </si>
  <si>
    <t>23 NİSAN VE 1 MAYIS NEDENİYLE EKSİK GÜNLERİ ALAN 2 HAFTALIK ÇALIŞMADIR</t>
  </si>
  <si>
    <t>https://docs.google.com/spreadsheets/d/17otxMDNzhsaAroNwL6Bh8jNX0d7RzTUQk8Ahpx216-Q/edit#gid=1795121416</t>
  </si>
  <si>
    <t>https://docs.google.com/spreadsheets/d/17otxMDNzhsaAroNwL6Bh8jNX0d7RzTUQk8Ahpx216-Q/edit#gid=639565466</t>
  </si>
  <si>
    <t>https://docs.google.com/spreadsheets/d/17otxMDNzhsaAroNwL6Bh8jNX0d7RzTUQk8Ahpx216-Q/edit#gid=98133673</t>
  </si>
  <si>
    <t>https://docs.google.com/spreadsheets/d/17otxMDNzhsaAroNwL6Bh8jNX0d7RzTUQk8Ahpx216-Q/edit#gid=1272994502</t>
  </si>
  <si>
    <t>https://docs.google.com/spreadsheets/d/17otxMDNzhsaAroNwL6Bh8jNX0d7RzTUQk8Ahpx216-Q/edit#gid=416664440</t>
  </si>
  <si>
    <t>https://docs.google.com/spreadsheets/d/17otxMDNzhsaAroNwL6Bh8jNX0d7RzTUQk8Ahpx216-Q/edit#gid=1355829565</t>
  </si>
  <si>
    <t>https://docs.google.com/spreadsheets/d/17otxMDNzhsaAroNwL6Bh8jNX0d7RzTUQk8Ahpx216-Q/edit#gid=1503107642</t>
  </si>
  <si>
    <t>NOT: RAMAZAN BAYRAMI NEDENİYLE  3 HAFTALIK BİR PERİYOTTA HESAPLAMALAR YAPILMIŞTIR</t>
  </si>
  <si>
    <t>https://docs.google.com/spreadsheets/d/1W98Ox9UZncN_GM-ZB2YG2m7m56P57Dy-_JLLn14SOqs/edit#gid=1272994502</t>
  </si>
  <si>
    <t>https://docs.google.com/spreadsheets/d/1W98Ox9UZncN_GM-ZB2YG2m7m56P57Dy-_JLLn14SOqs/edit#gid=639565466</t>
  </si>
  <si>
    <t>https://docs.google.com/spreadsheets/d/1W98Ox9UZncN_GM-ZB2YG2m7m56P57Dy-_JLLn14SOqs/edit#gid=98133673</t>
  </si>
  <si>
    <t>https://docs.google.com/spreadsheets/d/1W98Ox9UZncN_GM-ZB2YG2m7m56P57Dy-_JLLn14SOqs/edit#gid=416664440</t>
  </si>
  <si>
    <t>https://docs.google.com/spreadsheets/d/1W98Ox9UZncN_GM-ZB2YG2m7m56P57Dy-_JLLn14SOqs/edit#gid=1355829565</t>
  </si>
  <si>
    <t>https://docs.google.com/spreadsheets/d/1W98Ox9UZncN_GM-ZB2YG2m7m56P57Dy-_JLLn14SOqs/edit#gid=1503107642</t>
  </si>
  <si>
    <t>https://docs.google.com/spreadsheets/d/1KOMWzcxFSuUHvDQrtRrlrDDyDRUpLL_cy6LpzsVrqRc/edit#gid=1795121416</t>
  </si>
  <si>
    <t>https://docs.google.com/spreadsheets/d/1KOMWzcxFSuUHvDQrtRrlrDDyDRUpLL_cy6LpzsVrqRc/edit#gid=639565466</t>
  </si>
  <si>
    <t>https://docs.google.com/spreadsheets/d/1KOMWzcxFSuUHvDQrtRrlrDDyDRUpLL_cy6LpzsVrqRc/edit#gid=98133673</t>
  </si>
  <si>
    <t>https://docs.google.com/spreadsheets/d/1KOMWzcxFSuUHvDQrtRrlrDDyDRUpLL_cy6LpzsVrqRc/edit#gid=1272994502</t>
  </si>
  <si>
    <t>https://docs.google.com/spreadsheets/d/1KOMWzcxFSuUHvDQrtRrlrDDyDRUpLL_cy6LpzsVrqRc/edit#gid=416664440</t>
  </si>
  <si>
    <t>https://docs.google.com/spreadsheets/d/1KOMWzcxFSuUHvDQrtRrlrDDyDRUpLL_cy6LpzsVrqRc/edit#gid=1355829565</t>
  </si>
  <si>
    <t>https://docs.google.com/spreadsheets/d/1KOMWzcxFSuUHvDQrtRrlrDDyDRUpLL_cy6LpzsVrqRc/edit#gid=1503107642</t>
  </si>
  <si>
    <t>https://docs.google.com/spreadsheets/d/13H9HKXeJ99B8eBmqm5YEZ-_7vvxAvErwZ7avVXO2at8/edit#gid=1795121416</t>
  </si>
  <si>
    <t>https://docs.google.com/spreadsheets/d/13H9HKXeJ99B8eBmqm5YEZ-_7vvxAvErwZ7avVXO2at8/edit#gid=639565466</t>
  </si>
  <si>
    <t>https://docs.google.com/spreadsheets/d/13H9HKXeJ99B8eBmqm5YEZ-_7vvxAvErwZ7avVXO2at8/edit#gid=98133673</t>
  </si>
  <si>
    <t>https://docs.google.com/spreadsheets/d/13H9HKXeJ99B8eBmqm5YEZ-_7vvxAvErwZ7avVXO2at8/edit#gid=1272994502</t>
  </si>
  <si>
    <t>https://docs.google.com/spreadsheets/d/13H9HKXeJ99B8eBmqm5YEZ-_7vvxAvErwZ7avVXO2at8/edit#gid=416664440</t>
  </si>
  <si>
    <t>https://docs.google.com/spreadsheets/d/13H9HKXeJ99B8eBmqm5YEZ-_7vvxAvErwZ7avVXO2at8/edit#gid=1355829565</t>
  </si>
  <si>
    <t>https://docs.google.com/spreadsheets/d/13H9HKXeJ99B8eBmqm5YEZ-_7vvxAvErwZ7avVXO2at8/edit#gid=1503107642</t>
  </si>
  <si>
    <t>https://docs.google.com/spreadsheets/d/1vHHNvMgEfWsZ3hMQEyR4hg4PK3B_u3MB4a5CE22-PQY/edit#gid=1795121416</t>
  </si>
  <si>
    <t>https://docs.google.com/spreadsheets/d/1vHHNvMgEfWsZ3hMQEyR4hg4PK3B_u3MB4a5CE22-PQY/edit#gid=639565466</t>
  </si>
  <si>
    <t>https://docs.google.com/spreadsheets/d/1vHHNvMgEfWsZ3hMQEyR4hg4PK3B_u3MB4a5CE22-PQY/edit#gid=98133673</t>
  </si>
  <si>
    <t>https://docs.google.com/spreadsheets/d/1vHHNvMgEfWsZ3hMQEyR4hg4PK3B_u3MB4a5CE22-PQY/edit#gid=1272994502</t>
  </si>
  <si>
    <t>https://docs.google.com/spreadsheets/d/1vHHNvMgEfWsZ3hMQEyR4hg4PK3B_u3MB4a5CE22-PQY/edit#gid=416664440</t>
  </si>
  <si>
    <t>https://docs.google.com/spreadsheets/d/1vHHNvMgEfWsZ3hMQEyR4hg4PK3B_u3MB4a5CE22-PQY/edit#gid=1355829565</t>
  </si>
  <si>
    <t>https://docs.google.com/spreadsheets/d/1vHHNvMgEfWsZ3hMQEyR4hg4PK3B_u3MB4a5CE22-PQY/edit#gid=1503107642</t>
  </si>
  <si>
    <t>https://docs.google.com/spreadsheets/d/171GS3NdWB1GsFSTN7ovih2DtoJxR82uSOg_gVL8bgIE/edit#gid=1795121416</t>
  </si>
  <si>
    <t>https://docs.google.com/spreadsheets/d/171GS3NdWB1GsFSTN7ovih2DtoJxR82uSOg_gVL8bgIE/edit#gid=639565466</t>
  </si>
  <si>
    <t>https://docs.google.com/spreadsheets/d/171GS3NdWB1GsFSTN7ovih2DtoJxR82uSOg_gVL8bgIE/edit#gid=98133673</t>
  </si>
  <si>
    <t>https://docs.google.com/spreadsheets/d/171GS3NdWB1GsFSTN7ovih2DtoJxR82uSOg_gVL8bgIE/edit#gid=1272994502</t>
  </si>
  <si>
    <t>https://docs.google.com/spreadsheets/d/171GS3NdWB1GsFSTN7ovih2DtoJxR82uSOg_gVL8bgIE/edit#gid=416664440</t>
  </si>
  <si>
    <t>https://docs.google.com/spreadsheets/d/171GS3NdWB1GsFSTN7ovih2DtoJxR82uSOg_gVL8bgIE/edit#gid=1355829565</t>
  </si>
  <si>
    <t>https://docs.google.com/spreadsheets/d/171GS3NdWB1GsFSTN7ovih2DtoJxR82uSOg_gVL8bgIE/edit#gid=1503107642</t>
  </si>
  <si>
    <t>Kudo şampiyonu malik</t>
  </si>
  <si>
    <t>https://docs.google.com/spreadsheets/d/1viInZHqbGD0K4n4qXI9-PByUhr7NC3ef_z-xljBYko0/edit#gid=1795121416</t>
  </si>
  <si>
    <t>https://docs.google.com/spreadsheets/d/1viInZHqbGD0K4n4qXI9-PByUhr7NC3ef_z-xljBYko0/edit#gid=639565466</t>
  </si>
  <si>
    <t>https://docs.google.com/spreadsheets/d/1viInZHqbGD0K4n4qXI9-PByUhr7NC3ef_z-xljBYko0/edit#gid=98133673</t>
  </si>
  <si>
    <t>https://docs.google.com/spreadsheets/d/1viInZHqbGD0K4n4qXI9-PByUhr7NC3ef_z-xljBYko0/edit#gid=1272994502</t>
  </si>
  <si>
    <t>https://docs.google.com/spreadsheets/d/1viInZHqbGD0K4n4qXI9-PByUhr7NC3ef_z-xljBYko0/edit#gid=416664440</t>
  </si>
  <si>
    <t>https://docs.google.com/spreadsheets/d/1viInZHqbGD0K4n4qXI9-PByUhr7NC3ef_z-xljBYko0/edit#gid=1355829565</t>
  </si>
  <si>
    <t>https://docs.google.com/spreadsheets/d/1viInZHqbGD0K4n4qXI9-PByUhr7NC3ef_z-xljBYko0/edit#gid=1503107642</t>
  </si>
  <si>
    <t>Kudo şampiyonu Malik</t>
  </si>
  <si>
    <t>https://docs.google.com/spreadsheets/d/1EqRV_zxrw2cK2mZ_6tUVrrMGnu7t6Yufyt2E4oTLH_0/edit#gid=1795121416</t>
  </si>
  <si>
    <t>https://docs.google.com/spreadsheets/d/1EqRV_zxrw2cK2mZ_6tUVrrMGnu7t6Yufyt2E4oTLH_0/edit#gid=639565466</t>
  </si>
  <si>
    <t>https://docs.google.com/spreadsheets/d/1EqRV_zxrw2cK2mZ_6tUVrrMGnu7t6Yufyt2E4oTLH_0/edit#gid=98133673</t>
  </si>
  <si>
    <t>https://docs.google.com/spreadsheets/d/1EqRV_zxrw2cK2mZ_6tUVrrMGnu7t6Yufyt2E4oTLH_0/edit#gid=1272994502</t>
  </si>
  <si>
    <t>https://docs.google.com/spreadsheets/d/1EqRV_zxrw2cK2mZ_6tUVrrMGnu7t6Yufyt2E4oTLH_0/edit#gid=416664440</t>
  </si>
  <si>
    <t>https://docs.google.com/spreadsheets/d/1EqRV_zxrw2cK2mZ_6tUVrrMGnu7t6Yufyt2E4oTLH_0/edit#gid=1355829565</t>
  </si>
  <si>
    <t>https://docs.google.com/spreadsheets/d/1EqRV_zxrw2cK2mZ_6tUVrrMGnu7t6Yufyt2E4oTLH_0/edit#gid=1503107642</t>
  </si>
  <si>
    <t>Kudo şampiyonu Farhad</t>
  </si>
  <si>
    <t>yılmaz</t>
  </si>
  <si>
    <t>11 Aralık-24Aralık 2023_KPI dosyası</t>
  </si>
  <si>
    <t>https://docs.google.com/spreadsheets/d/1es-pHaMiMLR8b6bzTlsv7R0sRxNoBJnUYRrwy1zXf20/edit#gid=639565466</t>
  </si>
  <si>
    <t>https://docs.google.com/spreadsheets/d/1es-pHaMiMLR8b6bzTlsv7R0sRxNoBJnUYRrwy1zXf20/edit#gid=98133673</t>
  </si>
  <si>
    <t>https://docs.google.com/spreadsheets/d/1es-pHaMiMLR8b6bzTlsv7R0sRxNoBJnUYRrwy1zXf20/edit#gid=1272994502</t>
  </si>
  <si>
    <t>https://docs.google.com/spreadsheets/d/1es-pHaMiMLR8b6bzTlsv7R0sRxNoBJnUYRrwy1zXf20/edit#gid=416664440</t>
  </si>
  <si>
    <t>https://docs.google.com/spreadsheets/d/1es-pHaMiMLR8b6bzTlsv7R0sRxNoBJnUYRrwy1zXf20/edit#gid=1355829565</t>
  </si>
  <si>
    <t>https://docs.google.com/spreadsheets/d/1es-pHaMiMLR8b6bzTlsv7R0sRxNoBJnUYRrwy1zXf20/edit#gid=1503107642</t>
  </si>
  <si>
    <t>Kudo şampiyonu Selim</t>
  </si>
  <si>
    <t>https://docs.google.com/spreadsheets/d/1-aaZi7S66xl8DDhM3veqjq6RcoOKstSZHj_rvCISao4/edit#gid=1795121416</t>
  </si>
  <si>
    <t>https://docs.google.com/spreadsheets/d/1-aaZi7S66xl8DDhM3veqjq6RcoOKstSZHj_rvCISao4/edit#gid=639565466</t>
  </si>
  <si>
    <t>https://docs.google.com/spreadsheets/d/1-aaZi7S66xl8DDhM3veqjq6RcoOKstSZHj_rvCISao4/edit#gid=98133673</t>
  </si>
  <si>
    <t>https://docs.google.com/spreadsheets/d/1-aaZi7S66xl8DDhM3veqjq6RcoOKstSZHj_rvCISao4/edit#gid=1272994502</t>
  </si>
  <si>
    <t>https://docs.google.com/spreadsheets/d/1-aaZi7S66xl8DDhM3veqjq6RcoOKstSZHj_rvCISao4/edit#gid=416664440</t>
  </si>
  <si>
    <t>https://docs.google.com/spreadsheets/d/1-aaZi7S66xl8DDhM3veqjq6RcoOKstSZHj_rvCISao4/edit#gid=1355829565</t>
  </si>
  <si>
    <t>https://docs.google.com/spreadsheets/d/1-aaZi7S66xl8DDhM3veqjq6RcoOKstSZHj_rvCISao4/edit#gid=1503107642</t>
  </si>
  <si>
    <t>https://docs.google.com/spreadsheets/d/1UCR2t9Rdyaxa_vuoAm3gqr8s-uSvJDr-8CoRgsZH_p4/edit#gid=1795121416</t>
  </si>
  <si>
    <t>https://docs.google.com/spreadsheets/d/1UCR2t9Rdyaxa_vuoAm3gqr8s-uSvJDr-8CoRgsZH_p4/edit#gid=639565466</t>
  </si>
  <si>
    <t>https://docs.google.com/spreadsheets/d/1UCR2t9Rdyaxa_vuoAm3gqr8s-uSvJDr-8CoRgsZH_p4/edit#gid=98133673</t>
  </si>
  <si>
    <t>https://docs.google.com/spreadsheets/d/1UCR2t9Rdyaxa_vuoAm3gqr8s-uSvJDr-8CoRgsZH_p4/edit#gid=1272994502</t>
  </si>
  <si>
    <t>https://docs.google.com/spreadsheets/d/1UCR2t9Rdyaxa_vuoAm3gqr8s-uSvJDr-8CoRgsZH_p4/edit#gid=416664440</t>
  </si>
  <si>
    <t>https://docs.google.com/spreadsheets/d/1UCR2t9Rdyaxa_vuoAm3gqr8s-uSvJDr-8CoRgsZH_p4/edit#gid=1355829565</t>
  </si>
  <si>
    <t>https://docs.google.com/spreadsheets/d/1UCR2t9Rdyaxa_vuoAm3gqr8s-uSvJDr-8CoRgsZH_p4/edit#gid=1503107642</t>
  </si>
  <si>
    <t>Kudo şampiyonu: farhad</t>
  </si>
  <si>
    <t>https://docs.google.com/spreadsheets/d/1pW4m1Qf2khLgeE_WCM0q7iBb8iqCX4m9a7XqkcoERko/edit#gid=1795121416</t>
  </si>
  <si>
    <t>https://docs.google.com/spreadsheets/d/1pW4m1Qf2khLgeE_WCM0q7iBb8iqCX4m9a7XqkcoERko/edit#gid=639565466</t>
  </si>
  <si>
    <t>https://docs.google.com/spreadsheets/d/1pW4m1Qf2khLgeE_WCM0q7iBb8iqCX4m9a7XqkcoERko/edit#gid=98133673</t>
  </si>
  <si>
    <t>https://docs.google.com/spreadsheets/d/1pW4m1Qf2khLgeE_WCM0q7iBb8iqCX4m9a7XqkcoERko/edit#gid=1272994502</t>
  </si>
  <si>
    <t>https://docs.google.com/spreadsheets/d/1pW4m1Qf2khLgeE_WCM0q7iBb8iqCX4m9a7XqkcoERko/edit#gid=416664440</t>
  </si>
  <si>
    <t>https://docs.google.com/spreadsheets/d/1pW4m1Qf2khLgeE_WCM0q7iBb8iqCX4m9a7XqkcoERko/edit#gid=1355829565</t>
  </si>
  <si>
    <t>https://docs.google.com/spreadsheets/d/1pW4m1Qf2khLgeE_WCM0q7iBb8iqCX4m9a7XqkcoERko/edit#gid=1503107642</t>
  </si>
  <si>
    <t xml:space="preserve">Kudo şampiyonu farhad </t>
  </si>
  <si>
    <t>Kudo şampiyonu ömer</t>
  </si>
  <si>
    <t>https://docs.google.com/spreadsheets/d/1aXTAlTKw4_rocVNN9yX7HWWDeHA966svUIkt9rUxxYE/edit#gid=1795121416</t>
  </si>
  <si>
    <t>https://docs.google.com/spreadsheets/d/1aXTAlTKw4_rocVNN9yX7HWWDeHA966svUIkt9rUxxYE/edit#gid=639565466</t>
  </si>
  <si>
    <t>https://docs.google.com/spreadsheets/d/1aXTAlTKw4_rocVNN9yX7HWWDeHA966svUIkt9rUxxYE/edit#gid=98133673</t>
  </si>
  <si>
    <t>https://docs.google.com/spreadsheets/d/1aXTAlTKw4_rocVNN9yX7HWWDeHA966svUIkt9rUxxYE/edit#gid=1272994502</t>
  </si>
  <si>
    <t>https://docs.google.com/spreadsheets/d/1aXTAlTKw4_rocVNN9yX7HWWDeHA966svUIkt9rUxxYE/edit#gid=416664440</t>
  </si>
  <si>
    <t>https://docs.google.com/spreadsheets/d/1aXTAlTKw4_rocVNN9yX7HWWDeHA966svUIkt9rUxxYE/edit#gid=1355829565</t>
  </si>
  <si>
    <t>https://docs.google.com/spreadsheets/d/1aXTAlTKw4_rocVNN9yX7HWWDeHA966svUIkt9rUxxYE/edit#gid=427662145</t>
  </si>
  <si>
    <t>https://docs.google.com/spreadsheets/d/1aXTAlTKw4_rocVNN9yX7HWWDeHA966svUIkt9rUxxYE/edit#gid=1503107642</t>
  </si>
  <si>
    <t>Kudo şampiyonu Murat</t>
  </si>
  <si>
    <t>ortalama</t>
  </si>
  <si>
    <t>https://docs.google.com/spreadsheets/d/1NFmnqy-dx7zyXisWX-AW-hu7_jPRGiDfp-0iDwDVKZ4/edit#gid=1795121416</t>
  </si>
  <si>
    <t>https://docs.google.com/spreadsheets/d/1NFmnqy-dx7zyXisWX-AW-hu7_jPRGiDfp-0iDwDVKZ4/edit#gid=639565466</t>
  </si>
  <si>
    <t>https://docs.google.com/spreadsheets/d/1NFmnqy-dx7zyXisWX-AW-hu7_jPRGiDfp-0iDwDVKZ4/edit#gid=98133673</t>
  </si>
  <si>
    <t>https://docs.google.com/spreadsheets/d/1NFmnqy-dx7zyXisWX-AW-hu7_jPRGiDfp-0iDwDVKZ4/edit#gid=1272994502</t>
  </si>
  <si>
    <t>https://docs.google.com/spreadsheets/d/1NFmnqy-dx7zyXisWX-AW-hu7_jPRGiDfp-0iDwDVKZ4/edit#gid=416664440</t>
  </si>
  <si>
    <t>https://docs.google.com/spreadsheets/d/1NFmnqy-dx7zyXisWX-AW-hu7_jPRGiDfp-0iDwDVKZ4/edit#gid=1355829565</t>
  </si>
  <si>
    <t>https://docs.google.com/spreadsheets/d/1NFmnqy-dx7zyXisWX-AW-hu7_jPRGiDfp-0iDwDVKZ4/edit#gid=427662145</t>
  </si>
  <si>
    <t>https://docs.google.com/spreadsheets/d/1NFmnqy-dx7zyXisWX-AW-hu7_jPRGiDfp-0iDwDVKZ4/edit#gid=1503107642</t>
  </si>
  <si>
    <t>Kudo şampiyonu : Murat</t>
  </si>
  <si>
    <t>DGN-13279, DGN-13020</t>
  </si>
  <si>
    <t>https://docs.google.com/spreadsheets/d/1CuAQoX8emFZEtrN0dSU41W3f2o2gEn2LOiyH7Dqla34/edit#gid=1795121416</t>
  </si>
  <si>
    <t>DGN-13137</t>
  </si>
  <si>
    <t>https://docs.google.com/spreadsheets/d/1CuAQoX8emFZEtrN0dSU41W3f2o2gEn2LOiyH7Dqla34/edit#gid=639565466</t>
  </si>
  <si>
    <t>DGN-13319</t>
  </si>
  <si>
    <t>https://docs.google.com/spreadsheets/d/1CuAQoX8emFZEtrN0dSU41W3f2o2gEn2LOiyH7Dqla34/edit#gid=98133673</t>
  </si>
  <si>
    <t>https://docs.google.com/spreadsheets/d/1CuAQoX8emFZEtrN0dSU41W3f2o2gEn2LOiyH7Dqla34/edit#gid=1272994502</t>
  </si>
  <si>
    <t>DGN-13297, DGN-13264, DGN-12831</t>
  </si>
  <si>
    <t>https://docs.google.com/spreadsheets/d/1CuAQoX8emFZEtrN0dSU41W3f2o2gEn2LOiyH7Dqla34/edit#gid=416664440</t>
  </si>
  <si>
    <t>DGN-12895, DGN-12896</t>
  </si>
  <si>
    <t>https://docs.google.com/spreadsheets/d/1CuAQoX8emFZEtrN0dSU41W3f2o2gEn2LOiyH7Dqla34/edit#gid=1355829565</t>
  </si>
  <si>
    <t>DGN-13275, DGN-13263</t>
  </si>
  <si>
    <t>https://docs.google.com/spreadsheets/d/1CuAQoX8emFZEtrN0dSU41W3f2o2gEn2LOiyH7Dqla34/edit#gid=427662145</t>
  </si>
  <si>
    <t>DGN-12970</t>
  </si>
  <si>
    <t>https://docs.google.com/spreadsheets/d/1CuAQoX8emFZEtrN0dSU41W3f2o2gEn2LOiyH7Dqla34/edit#gid=1503107642</t>
  </si>
  <si>
    <t>Kudo şampiyonu farhad</t>
  </si>
  <si>
    <t>DGN-13207, DGN-13020</t>
  </si>
  <si>
    <t>https://docs.google.com/spreadsheets/d/1E6FtWRVBjDvUZ3DDdMlNtQKsDoGbw892Lpxsjc3awRw/edit#gid=1795121416</t>
  </si>
  <si>
    <t>DGN-13211,DGN-13137</t>
  </si>
  <si>
    <t>https://docs.google.com/spreadsheets/d/1E6FtWRVBjDvUZ3DDdMlNtQKsDoGbw892Lpxsjc3awRw/edit#gid=639565466</t>
  </si>
  <si>
    <t>DGN-13136</t>
  </si>
  <si>
    <t>https://docs.google.com/spreadsheets/d/1E6FtWRVBjDvUZ3DDdMlNtQKsDoGbw892Lpxsjc3awRw/edit#gid=98133673</t>
  </si>
  <si>
    <t>https://docs.google.com/spreadsheets/d/1E6FtWRVBjDvUZ3DDdMlNtQKsDoGbw892Lpxsjc3awRw/edit#gid=1272994502</t>
  </si>
  <si>
    <t>DGN-13172,DGN-13160,DGN-13134,DGN-12878,DGN-12831</t>
  </si>
  <si>
    <t>https://docs.google.com/spreadsheets/d/1E6FtWRVBjDvUZ3DDdMlNtQKsDoGbw892Lpxsjc3awRw/edit#gid=416664440</t>
  </si>
  <si>
    <t>DGN-13120,DGN-13010,DGN-13007,DGN-13004, DGN-12997,DGN-12896,DGN-12895,DGN-12830</t>
  </si>
  <si>
    <t>https://docs.google.com/spreadsheets/d/1E6FtWRVBjDvUZ3DDdMlNtQKsDoGbw892Lpxsjc3awRw/edit#gid=1355829565</t>
  </si>
  <si>
    <t>DGN-13208</t>
  </si>
  <si>
    <t>https://docs.google.com/spreadsheets/d/1E6FtWRVBjDvUZ3DDdMlNtQKsDoGbw892Lpxsjc3awRw/edit#gid=427662145</t>
  </si>
  <si>
    <t>DGN-12878</t>
  </si>
  <si>
    <t>https://docs.google.com/spreadsheets/d/1E6FtWRVBjDvUZ3DDdMlNtQKsDoGbw892Lpxsjc3awRw/edit#gid=1503107642</t>
  </si>
  <si>
    <t>Jüri özel ödülü</t>
  </si>
  <si>
    <t>Ofise en fazla gelen</t>
  </si>
  <si>
    <t>127 gün</t>
  </si>
  <si>
    <t>en çok madde kodlayan</t>
  </si>
  <si>
    <t xml:space="preserve">emre </t>
  </si>
  <si>
    <t>185 madde</t>
  </si>
  <si>
    <t>en çok score üreten</t>
  </si>
  <si>
    <t>524 score</t>
  </si>
  <si>
    <t>en  fazla code review yapan</t>
  </si>
  <si>
    <t>197 madde</t>
  </si>
  <si>
    <t>en çok kudo şampiyonu olan</t>
  </si>
  <si>
    <t>7 defa</t>
  </si>
  <si>
    <t>en çok kpı şampiyonu</t>
  </si>
  <si>
    <t>8 defa</t>
  </si>
  <si>
    <t>Bilgi yarışması şampiyonu</t>
  </si>
  <si>
    <t>?</t>
  </si>
  <si>
    <t>https://docs.google.com/spreadsheets/d/16WR1cgYq-9Ix_-s_urwVCq8Efk-oTpNICHL54RcirL0/edit#gid=1795121416</t>
  </si>
  <si>
    <t>https://docs.google.com/spreadsheets/d/16WR1cgYq-9Ix_-s_urwVCq8Efk-oTpNICHL54RcirL0/edit#gid=639565466</t>
  </si>
  <si>
    <t>https://docs.google.com/spreadsheets/d/16WR1cgYq-9Ix_-s_urwVCq8Efk-oTpNICHL54RcirL0/edit#gid=98133673</t>
  </si>
  <si>
    <t>https://docs.google.com/spreadsheets/d/16WR1cgYq-9Ix_-s_urwVCq8Efk-oTpNICHL54RcirL0/edit#gid=1272994502</t>
  </si>
  <si>
    <t>https://docs.google.com/spreadsheets/d/16WR1cgYq-9Ix_-s_urwVCq8Efk-oTpNICHL54RcirL0/edit#gid=416664440</t>
  </si>
  <si>
    <t>https://docs.google.com/spreadsheets/d/16WR1cgYq-9Ix_-s_urwVCq8Efk-oTpNICHL54RcirL0/edit#gid=1355829565</t>
  </si>
  <si>
    <t>https://docs.google.com/spreadsheets/d/16WR1cgYq-9Ix_-s_urwVCq8Efk-oTpNICHL54RcirL0/edit#gid=427662145</t>
  </si>
  <si>
    <t>https://docs.google.com/spreadsheets/d/16WR1cgYq-9Ix_-s_urwVCq8Efk-oTpNICHL54RcirL0/edit#gid=1503107642</t>
  </si>
  <si>
    <t>yasemin</t>
  </si>
  <si>
    <t>https://docs.google.com/spreadsheets/d/1tDIvEqieN5yIKKBjvQyCCYRb6tgCdft9nlizNC3Pg3I/edit#gid=1795121416</t>
  </si>
  <si>
    <t>https://docs.google.com/spreadsheets/d/1tDIvEqieN5yIKKBjvQyCCYRb6tgCdft9nlizNC3Pg3I/edit#gid=639565466</t>
  </si>
  <si>
    <t>https://docs.google.com/spreadsheets/d/1tDIvEqieN5yIKKBjvQyCCYRb6tgCdft9nlizNC3Pg3I/edit#gid=98133673</t>
  </si>
  <si>
    <t>https://docs.google.com/spreadsheets/d/1tDIvEqieN5yIKKBjvQyCCYRb6tgCdft9nlizNC3Pg3I/edit#gid=1272994502</t>
  </si>
  <si>
    <t>https://docs.google.com/spreadsheets/d/1tDIvEqieN5yIKKBjvQyCCYRb6tgCdft9nlizNC3Pg3I/edit#gid=416664440</t>
  </si>
  <si>
    <t>https://docs.google.com/spreadsheets/d/1tDIvEqieN5yIKKBjvQyCCYRb6tgCdft9nlizNC3Pg3I/edit#gid=1355829565</t>
  </si>
  <si>
    <t>https://docs.google.com/spreadsheets/d/1tDIvEqieN5yIKKBjvQyCCYRb6tgCdft9nlizNC3Pg3I/edit#gid=427662145</t>
  </si>
  <si>
    <t>https://docs.google.com/spreadsheets/d/1tDIvEqieN5yIKKBjvQyCCYRb6tgCdft9nlizNC3Pg3I/edit#gid=1503107642</t>
  </si>
  <si>
    <t>https://docs.google.com/spreadsheets/d/1P1Dxi9qKn0aBYRkGklwwauncOyYmRBlQf0Rx1l02vHU/edit#gid=1795121416</t>
  </si>
  <si>
    <t>https://docs.google.com/spreadsheets/d/1P1Dxi9qKn0aBYRkGklwwauncOyYmRBlQf0Rx1l02vHU/edit#gid=639565466</t>
  </si>
  <si>
    <t>https://docs.google.com/spreadsheets/d/1P1Dxi9qKn0aBYRkGklwwauncOyYmRBlQf0Rx1l02vHU/edit#gid=98133673</t>
  </si>
  <si>
    <t>https://docs.google.com/spreadsheets/d/1P1Dxi9qKn0aBYRkGklwwauncOyYmRBlQf0Rx1l02vHU/edit#gid=1272994502</t>
  </si>
  <si>
    <t>https://docs.google.com/spreadsheets/d/1P1Dxi9qKn0aBYRkGklwwauncOyYmRBlQf0Rx1l02vHU/edit#gid=416664440</t>
  </si>
  <si>
    <t>https://docs.google.com/spreadsheets/d/1P1Dxi9qKn0aBYRkGklwwauncOyYmRBlQf0Rx1l02vHU/edit#gid=1355829565</t>
  </si>
  <si>
    <t>https://docs.google.com/spreadsheets/d/1P1Dxi9qKn0aBYRkGklwwauncOyYmRBlQf0Rx1l02vHU/edit#gid=427662145</t>
  </si>
  <si>
    <t>https://docs.google.com/spreadsheets/d/13DICY6H0ppjlejoYiqUSWOii9tg1XzJqQT3z0ldRqOc/edit#gid=1795121416</t>
  </si>
  <si>
    <t>https://docs.google.com/spreadsheets/d/13DICY6H0ppjlejoYiqUSWOii9tg1XzJqQT3z0ldRqOc/edit#gid=639565466</t>
  </si>
  <si>
    <t>https://docs.google.com/spreadsheets/d/13DICY6H0ppjlejoYiqUSWOii9tg1XzJqQT3z0ldRqOc/edit#gid=98133673</t>
  </si>
  <si>
    <t>https://docs.google.com/spreadsheets/d/13DICY6H0ppjlejoYiqUSWOii9tg1XzJqQT3z0ldRqOc/edit#gid=1272994502</t>
  </si>
  <si>
    <t>https://docs.google.com/spreadsheets/d/13DICY6H0ppjlejoYiqUSWOii9tg1XzJqQT3z0ldRqOc/edit#gid=416664440</t>
  </si>
  <si>
    <t>https://docs.google.com/spreadsheets/d/13DICY6H0ppjlejoYiqUSWOii9tg1XzJqQT3z0ldRqOc/edit#gid=1355829565</t>
  </si>
  <si>
    <t>Kudo Şampiyonu</t>
  </si>
  <si>
    <t>https://docs.google.com/spreadsheets/d/1JrZpunTQIHsDCB0a1cAkW_Nks2KRVViaby15B8LOJzc/edit#gid=1795121416</t>
  </si>
  <si>
    <t>https://docs.google.com/spreadsheets/d/1JrZpunTQIHsDCB0a1cAkW_Nks2KRVViaby15B8LOJzc/edit#gid=639565466</t>
  </si>
  <si>
    <t>https://docs.google.com/spreadsheets/d/1JrZpunTQIHsDCB0a1cAkW_Nks2KRVViaby15B8LOJzc/edit#gid=98133673</t>
  </si>
  <si>
    <t>https://docs.google.com/spreadsheets/d/1JrZpunTQIHsDCB0a1cAkW_Nks2KRVViaby15B8LOJzc/edit#gid=1272994502</t>
  </si>
  <si>
    <t>https://docs.google.com/spreadsheets/d/1JrZpunTQIHsDCB0a1cAkW_Nks2KRVViaby15B8LOJzc/edit#gid=416664440</t>
  </si>
  <si>
    <t>https://docs.google.com/spreadsheets/d/1JrZpunTQIHsDCB0a1cAkW_Nks2KRVViaby15B8LOJzc/edit#gid=1355829565</t>
  </si>
  <si>
    <t>https://docs.google.com/spreadsheets/d/1JrZpunTQIHsDCB0a1cAkW_Nks2KRVViaby15B8LOJzc/edit#gid=49628835</t>
  </si>
  <si>
    <t>https://docs.google.com/spreadsheets/d/1JrZpunTQIHsDCB0a1cAkW_Nks2KRVViaby15B8LOJzc/edit#gid=609170198</t>
  </si>
  <si>
    <t>kudo şampiyonu</t>
  </si>
  <si>
    <t>Toplam SP</t>
  </si>
  <si>
    <t>Kapasite SP</t>
  </si>
  <si>
    <t>https://docs.google.com/spreadsheets/d/1l1t2_iPtiHe14XgUHTMu2DkotoU74SYFAj7Frc_kKBU/edit#gid=1795121416</t>
  </si>
  <si>
    <t>https://docs.google.com/spreadsheets/d/1l1t2_iPtiHe14XgUHTMu2DkotoU74SYFAj7Frc_kKBU/edit#gid=639565466</t>
  </si>
  <si>
    <t>https://docs.google.com/spreadsheets/d/1l1t2_iPtiHe14XgUHTMu2DkotoU74SYFAj7Frc_kKBU/edit#gid=98133673</t>
  </si>
  <si>
    <t>https://docs.google.com/spreadsheets/d/1l1t2_iPtiHe14XgUHTMu2DkotoU74SYFAj7Frc_kKBU/edit#gid=1272994502</t>
  </si>
  <si>
    <t>https://docs.google.com/spreadsheets/d/1l1t2_iPtiHe14XgUHTMu2DkotoU74SYFAj7Frc_kKBU/edit#gid=416664440</t>
  </si>
  <si>
    <t>https://docs.google.com/spreadsheets/d/1l1t2_iPtiHe14XgUHTMu2DkotoU74SYFAj7Frc_kKBU/edit#gid=1355829565</t>
  </si>
  <si>
    <t>https://docs.google.com/spreadsheets/d/1l1t2_iPtiHe14XgUHTMu2DkotoU74SYFAj7Frc_kKBU/edit#gid=49628835</t>
  </si>
  <si>
    <t>https://docs.google.com/spreadsheets/d/1l1t2_iPtiHe14XgUHTMu2DkotoU74SYFAj7Frc_kKBU/edit#gid=609170198</t>
  </si>
  <si>
    <t>https://docs.google.com/spreadsheets/d/1t_One5cQAohggUHOpqwpyW8iTSczHhoAH1g6ZgNwz6E/edit#gid=1795121416</t>
  </si>
  <si>
    <t>https://docs.google.com/spreadsheets/d/1t_One5cQAohggUHOpqwpyW8iTSczHhoAH1g6ZgNwz6E/edit#gid=639565466</t>
  </si>
  <si>
    <t>https://docs.google.com/spreadsheets/d/1t_One5cQAohggUHOpqwpyW8iTSczHhoAH1g6ZgNwz6E/edit#gid=98133673</t>
  </si>
  <si>
    <t>https://docs.google.com/spreadsheets/d/1t_One5cQAohggUHOpqwpyW8iTSczHhoAH1g6ZgNwz6E/edit#gid=1272994502</t>
  </si>
  <si>
    <t>https://docs.google.com/spreadsheets/d/1t_One5cQAohggUHOpqwpyW8iTSczHhoAH1g6ZgNwz6E/edit#gid=416664440</t>
  </si>
  <si>
    <t>https://docs.google.com/spreadsheets/d/1t_One5cQAohggUHOpqwpyW8iTSczHhoAH1g6ZgNwz6E/edit#gid=1355829565</t>
  </si>
  <si>
    <t>https://docs.google.com/spreadsheets/d/1t_One5cQAohggUHOpqwpyW8iTSczHhoAH1g6ZgNwz6E/edit#gid=49628835</t>
  </si>
  <si>
    <t>https://docs.google.com/spreadsheets/d/1t_One5cQAohggUHOpqwpyW8iTSczHhoAH1g6ZgNwz6E/edit#gid=609170198</t>
  </si>
  <si>
    <t>kpı şampiyonu</t>
  </si>
  <si>
    <t>https://docs.google.com/spreadsheets/d/1SorG2LEngJmTUuNtyVXmIXjBRvmdtZ5qSeg94QoXiDw/edit#gid=1795121416</t>
  </si>
  <si>
    <t>https://docs.google.com/spreadsheets/d/1SorG2LEngJmTUuNtyVXmIXjBRvmdtZ5qSeg94QoXiDw/edit#gid=639565466</t>
  </si>
  <si>
    <t>https://docs.google.com/spreadsheets/d/1SorG2LEngJmTUuNtyVXmIXjBRvmdtZ5qSeg94QoXiDw/edit#gid=98133673</t>
  </si>
  <si>
    <t>https://docs.google.com/spreadsheets/d/1SorG2LEngJmTUuNtyVXmIXjBRvmdtZ5qSeg94QoXiDw/edit#gid=1272994502</t>
  </si>
  <si>
    <t>https://docs.google.com/spreadsheets/d/1SorG2LEngJmTUuNtyVXmIXjBRvmdtZ5qSeg94QoXiDw/edit#gid=416664440</t>
  </si>
  <si>
    <t>https://docs.google.com/spreadsheets/d/1SorG2LEngJmTUuNtyVXmIXjBRvmdtZ5qSeg94QoXiDw/edit#gid=1355829565</t>
  </si>
  <si>
    <t>https://docs.google.com/spreadsheets/d/1SorG2LEngJmTUuNtyVXmIXjBRvmdtZ5qSeg94QoXiDw/edit#gid=49628835</t>
  </si>
  <si>
    <t>https://docs.google.com/spreadsheets/d/1SorG2LEngJmTUuNtyVXmIXjBRvmdtZ5qSeg94QoXiDw/edit#gid=609170198</t>
  </si>
  <si>
    <t>KPI şampiyonu</t>
  </si>
  <si>
    <t>https://docs.google.com/spreadsheets/d/1qrzn0NIQ3ldd5yof04OUV-uyYaZ0NtLpXSaOJD-QEIU/edit#gid=1795121416</t>
  </si>
  <si>
    <t>https://docs.google.com/spreadsheets/d/1qrzn0NIQ3ldd5yof04OUV-uyYaZ0NtLpXSaOJD-QEIU/edit#gid=639565466</t>
  </si>
  <si>
    <t>https://docs.google.com/spreadsheets/d/1qrzn0NIQ3ldd5yof04OUV-uyYaZ0NtLpXSaOJD-QEIU/edit#gid=98133673</t>
  </si>
  <si>
    <t>https://docs.google.com/spreadsheets/d/1qrzn0NIQ3ldd5yof04OUV-uyYaZ0NtLpXSaOJD-QEIU/edit#gid=1272994502</t>
  </si>
  <si>
    <t>https://docs.google.com/spreadsheets/d/1qrzn0NIQ3ldd5yof04OUV-uyYaZ0NtLpXSaOJD-QEIU/edit#gid=416664440</t>
  </si>
  <si>
    <t>https://docs.google.com/spreadsheets/d/1qrzn0NIQ3ldd5yof04OUV-uyYaZ0NtLpXSaOJD-QEIU/edit#gid=1355829565</t>
  </si>
  <si>
    <t>https://docs.google.com/spreadsheets/d/1qrzn0NIQ3ldd5yof04OUV-uyYaZ0NtLpXSaOJD-QEIU/edit#gid=49628835</t>
  </si>
  <si>
    <t>https://docs.google.com/spreadsheets/d/1qrzn0NIQ3ldd5yof04OUV-uyYaZ0NtLpXSaOJD-QEIU/edit#gid=609170198</t>
  </si>
  <si>
    <t>https://docs.google.com/spreadsheets/d/1B8jcPVz_vDQljKAllbvF7DZkmq8ZGTNvkTtD2yqW8Yo/edit#gid=1795121416</t>
  </si>
  <si>
    <t>https://docs.google.com/spreadsheets/d/1B8jcPVz_vDQljKAllbvF7DZkmq8ZGTNvkTtD2yqW8Yo/edit#gid=639565466</t>
  </si>
  <si>
    <t>https://docs.google.com/spreadsheets/d/1B8jcPVz_vDQljKAllbvF7DZkmq8ZGTNvkTtD2yqW8Yo/edit#gid=98133673</t>
  </si>
  <si>
    <t>https://docs.google.com/spreadsheets/d/1B8jcPVz_vDQljKAllbvF7DZkmq8ZGTNvkTtD2yqW8Yo/edit#gid=1272994502</t>
  </si>
  <si>
    <t>https://docs.google.com/spreadsheets/d/1B8jcPVz_vDQljKAllbvF7DZkmq8ZGTNvkTtD2yqW8Yo/edit#gid=416664440</t>
  </si>
  <si>
    <t>https://docs.google.com/spreadsheets/d/1B8jcPVz_vDQljKAllbvF7DZkmq8ZGTNvkTtD2yqW8Yo/edit#gid=1355829565</t>
  </si>
  <si>
    <t>https://docs.google.com/spreadsheets/d/1B8jcPVz_vDQljKAllbvF7DZkmq8ZGTNvkTtD2yqW8Yo/edit#gid=49628835</t>
  </si>
  <si>
    <t>https://docs.google.com/spreadsheets/d/1B8jcPVz_vDQljKAllbvF7DZkmq8ZGTNvkTtD2yqW8Yo/edit#gid=609170198</t>
  </si>
  <si>
    <t xml:space="preserve">kudo şampiyonu </t>
  </si>
  <si>
    <t>https://docs.google.com/spreadsheets/d/1pR-sxHioVLUn4dk5-JeDmSq6ePk8Dv4q9bw-xXfl748/edit#gid=1795121416</t>
  </si>
  <si>
    <t>https://docs.google.com/spreadsheets/d/1pR-sxHioVLUn4dk5-JeDmSq6ePk8Dv4q9bw-xXfl748/edit#gid=639565466</t>
  </si>
  <si>
    <t>https://docs.google.com/spreadsheets/d/1pR-sxHioVLUn4dk5-JeDmSq6ePk8Dv4q9bw-xXfl748/edit#gid=98133673</t>
  </si>
  <si>
    <t>https://docs.google.com/spreadsheets/d/1pR-sxHioVLUn4dk5-JeDmSq6ePk8Dv4q9bw-xXfl748/edit#gid=1272994502</t>
  </si>
  <si>
    <t>https://docs.google.com/spreadsheets/d/1pR-sxHioVLUn4dk5-JeDmSq6ePk8Dv4q9bw-xXfl748/edit#gid=416664440</t>
  </si>
  <si>
    <t>https://docs.google.com/spreadsheets/d/1pR-sxHioVLUn4dk5-JeDmSq6ePk8Dv4q9bw-xXfl748/edit#gid=1355829565</t>
  </si>
  <si>
    <t>https://docs.google.com/spreadsheets/d/1pR-sxHioVLUn4dk5-JeDmSq6ePk8Dv4q9bw-xXfl748/edit#gid=49628835</t>
  </si>
  <si>
    <t>https://docs.google.com/spreadsheets/d/1pR-sxHioVLUn4dk5-JeDmSq6ePk8Dv4q9bw-xXfl748/edit#gid=609170198</t>
  </si>
  <si>
    <t>Proddan Dönen Madde Sayısı</t>
  </si>
  <si>
    <t>https://docs.google.com/spreadsheets/d/1o4RvRqPDT5bUuPKHkdPkryF8llXjtZKbLKXY1hv-6WY/edit#gid=1795121416</t>
  </si>
  <si>
    <t>ok</t>
  </si>
  <si>
    <t>https://docs.google.com/spreadsheets/d/1o4RvRqPDT5bUuPKHkdPkryF8llXjtZKbLKXY1hv-6WY/edit#gid=639565466</t>
  </si>
  <si>
    <t>https://docs.google.com/spreadsheets/d/1o4RvRqPDT5bUuPKHkdPkryF8llXjtZKbLKXY1hv-6WY/edit#gid=98133673</t>
  </si>
  <si>
    <t>https://docs.google.com/spreadsheets/d/1o4RvRqPDT5bUuPKHkdPkryF8llXjtZKbLKXY1hv-6WY/edit#gid=1272994502</t>
  </si>
  <si>
    <t>https://docs.google.com/spreadsheets/d/1o4RvRqPDT5bUuPKHkdPkryF8llXjtZKbLKXY1hv-6WY/edit#gid=416664440</t>
  </si>
  <si>
    <t>https://docs.google.com/spreadsheets/d/1o4RvRqPDT5bUuPKHkdPkryF8llXjtZKbLKXY1hv-6WY/edit#gid=1355829565</t>
  </si>
  <si>
    <t>https://docs.google.com/spreadsheets/d/1o4RvRqPDT5bUuPKHkdPkryF8llXjtZKbLKXY1hv-6WY/edit#gid=49628835</t>
  </si>
  <si>
    <t>https://docs.google.com/spreadsheets/d/1o4RvRqPDT5bUuPKHkdPkryF8llXjtZKbLKXY1hv-6WY/edit#gid=609170198</t>
  </si>
  <si>
    <t>Kapasite %</t>
  </si>
  <si>
    <t>DGN-11480</t>
  </si>
  <si>
    <t>DGN-11512, DGN-11350, DGN-11277, DGN-11190, DGN-10997</t>
  </si>
  <si>
    <t>DGN-11653, DGN-11212,DGN-11205, DGN-11163, DGN-11095, DGN-11040, DGN-11036, DGN-10957</t>
  </si>
  <si>
    <t>DGN-11808, DGN-11650, DGN-11626, DGN-11492, DGN-11452, DGN-11388, DGN-11299, DGN-11253, DGN-11206, DGN-11197, DGN-11020, DGN-10910</t>
  </si>
  <si>
    <t>DGN-11355, DGN-11190, DGN-11177, DGN-11071</t>
  </si>
  <si>
    <t>DGN-11470, DGN-11179</t>
  </si>
  <si>
    <t>DGN-11110, DGN-10930, DGN-10746, DGN-10337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</si>
</sst>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2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1.0"/>
      <color rgb="FF222222"/>
      <name val="&quot;Google Sans&quot;"/>
    </font>
    <font>
      <sz val="11.0"/>
      <color theme="1"/>
      <name val="Calibri"/>
    </font>
    <font>
      <sz val="14.0"/>
      <color theme="1"/>
      <name val="Arial"/>
      <scheme val="minor"/>
    </font>
    <font>
      <sz val="10.0"/>
      <color rgb="FF222222"/>
      <name val="Arial"/>
      <scheme val="minor"/>
    </font>
    <font>
      <color theme="1"/>
      <name val="Arial"/>
    </font>
    <font/>
    <font>
      <color rgb="FF000000"/>
      <name val="Arial"/>
    </font>
    <font>
      <u/>
      <color rgb="FF0000FF"/>
    </font>
    <font>
      <u/>
      <color rgb="FF0000FF"/>
    </font>
    <font>
      <sz val="18.0"/>
      <color theme="1"/>
      <name val="Arial"/>
      <scheme val="minor"/>
    </font>
    <font>
      <u/>
      <color rgb="FF0000FF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sz val="11.0"/>
      <color rgb="FF0000FF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1E9F7"/>
        <bgColor rgb="FFE1E9F7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1" fillId="0" fontId="3" numFmtId="4" xfId="0" applyAlignment="1" applyBorder="1" applyFont="1" applyNumberFormat="1">
      <alignment horizontal="left" readingOrder="0"/>
    </xf>
    <xf borderId="0" fillId="0" fontId="3" numFmtId="4" xfId="0" applyAlignment="1" applyFont="1" applyNumberFormat="1">
      <alignment horizontal="left" readingOrder="0"/>
    </xf>
    <xf borderId="0" fillId="0" fontId="3" numFmtId="4" xfId="0" applyAlignment="1" applyFont="1" applyNumberForma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2" fontId="4" numFmtId="0" xfId="0" applyAlignment="1" applyBorder="1" applyFill="1" applyFont="1">
      <alignment readingOrder="0"/>
    </xf>
    <xf borderId="1" fillId="0" fontId="3" numFmtId="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4" xfId="0" applyAlignment="1" applyBorder="1" applyFont="1" applyNumberFormat="1">
      <alignment readingOrder="0" shrinkToFit="0" wrapText="1"/>
    </xf>
    <xf borderId="1" fillId="0" fontId="5" numFmtId="0" xfId="0" applyAlignment="1" applyBorder="1" applyFont="1">
      <alignment shrinkToFit="0" vertical="bottom" wrapText="1"/>
    </xf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4" fontId="3" numFmtId="0" xfId="0" applyAlignment="1" applyBorder="1" applyFont="1">
      <alignment horizontal="right" readingOrder="0"/>
    </xf>
    <xf borderId="1" fillId="3" fontId="3" numFmtId="0" xfId="0" applyAlignment="1" applyBorder="1" applyFont="1">
      <alignment horizontal="right" readingOrder="0"/>
    </xf>
    <xf borderId="1" fillId="6" fontId="3" numFmtId="0" xfId="0" applyAlignment="1" applyBorder="1" applyFill="1" applyFont="1">
      <alignment readingOrder="0"/>
    </xf>
    <xf borderId="1" fillId="4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6" fontId="5" numFmtId="0" xfId="0" applyAlignment="1" applyBorder="1" applyFont="1">
      <alignment readingOrder="0" shrinkToFit="0" vertical="bottom" wrapText="1"/>
    </xf>
    <xf borderId="1" fillId="6" fontId="3" numFmtId="4" xfId="0" applyAlignment="1" applyBorder="1" applyFont="1" applyNumberFormat="1">
      <alignment readingOrder="0"/>
    </xf>
    <xf borderId="1" fillId="4" fontId="3" numFmtId="4" xfId="0" applyAlignment="1" applyBorder="1" applyFont="1" applyNumberFormat="1">
      <alignment readingOrder="0"/>
    </xf>
    <xf borderId="1" fillId="5" fontId="3" numFmtId="4" xfId="0" applyAlignment="1" applyBorder="1" applyFont="1" applyNumberFormat="1">
      <alignment readingOrder="0"/>
    </xf>
    <xf borderId="1" fillId="6" fontId="3" numFmtId="4" xfId="0" applyAlignment="1" applyBorder="1" applyFont="1" applyNumberFormat="1">
      <alignment horizontal="left" readingOrder="0"/>
    </xf>
    <xf borderId="1" fillId="6" fontId="3" numFmtId="4" xfId="0" applyAlignment="1" applyBorder="1" applyFont="1" applyNumberFormat="1">
      <alignment readingOrder="0" shrinkToFit="0" wrapText="1"/>
    </xf>
    <xf borderId="1" fillId="4" fontId="5" numFmtId="0" xfId="0" applyAlignment="1" applyBorder="1" applyFont="1">
      <alignment readingOrder="0" shrinkToFit="0" vertical="bottom" wrapText="1"/>
    </xf>
    <xf borderId="1" fillId="7" fontId="3" numFmtId="4" xfId="0" applyAlignment="1" applyBorder="1" applyFill="1" applyFont="1" applyNumberFormat="1">
      <alignment readingOrder="0"/>
    </xf>
    <xf borderId="1" fillId="5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bottom" wrapText="1"/>
    </xf>
    <xf borderId="1" fillId="6" fontId="3" numFmtId="0" xfId="0" applyAlignment="1" applyBorder="1" applyFont="1">
      <alignment horizontal="right" readingOrder="0"/>
    </xf>
    <xf borderId="1" fillId="8" fontId="3" numFmtId="4" xfId="0" applyAlignment="1" applyBorder="1" applyFill="1" applyFont="1" applyNumberFormat="1">
      <alignment horizontal="left" readingOrder="0"/>
    </xf>
    <xf borderId="1" fillId="5" fontId="3" numFmtId="4" xfId="0" applyAlignment="1" applyBorder="1" applyFont="1" applyNumberFormat="1">
      <alignment readingOrder="0" shrinkToFit="0" wrapText="1"/>
    </xf>
    <xf borderId="1" fillId="6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4" xfId="0" applyBorder="1" applyFont="1" applyNumberFormat="1"/>
    <xf borderId="1" fillId="0" fontId="3" numFmtId="0" xfId="0" applyAlignment="1" applyBorder="1" applyFont="1">
      <alignment horizontal="right"/>
    </xf>
    <xf borderId="1" fillId="0" fontId="3" numFmtId="4" xfId="0" applyAlignment="1" applyBorder="1" applyFont="1" applyNumberFormat="1">
      <alignment horizontal="left"/>
    </xf>
    <xf borderId="1" fillId="0" fontId="3" numFmtId="4" xfId="0" applyAlignment="1" applyBorder="1" applyFont="1" applyNumberFormat="1">
      <alignment shrinkToFit="0" wrapText="1"/>
    </xf>
    <xf borderId="1" fillId="5" fontId="3" numFmtId="0" xfId="0" applyAlignment="1" applyBorder="1" applyFont="1">
      <alignment readingOrder="0"/>
    </xf>
    <xf borderId="1" fillId="5" fontId="5" numFmtId="0" xfId="0" applyAlignment="1" applyBorder="1" applyFont="1">
      <alignment readingOrder="0" shrinkToFit="0" vertical="bottom" wrapText="1"/>
    </xf>
    <xf borderId="1" fillId="5" fontId="3" numFmtId="4" xfId="0" applyAlignment="1" applyBorder="1" applyFont="1" applyNumberFormat="1">
      <alignment horizontal="left" readingOrder="0"/>
    </xf>
    <xf borderId="1" fillId="8" fontId="3" numFmtId="4" xfId="0" applyAlignment="1" applyBorder="1" applyFont="1" applyNumberFormat="1">
      <alignment readingOrder="0"/>
    </xf>
    <xf borderId="1" fillId="3" fontId="3" numFmtId="4" xfId="0" applyAlignment="1" applyBorder="1" applyFont="1" applyNumberFormat="1">
      <alignment readingOrder="0"/>
    </xf>
    <xf borderId="1" fillId="4" fontId="3" numFmtId="4" xfId="0" applyAlignment="1" applyBorder="1" applyFont="1" applyNumberFormat="1">
      <alignment horizontal="left" readingOrder="0"/>
    </xf>
    <xf borderId="1" fillId="4" fontId="3" numFmtId="4" xfId="0" applyAlignment="1" applyBorder="1" applyFont="1" applyNumberFormat="1">
      <alignment readingOrder="0" shrinkToFit="0" wrapText="1"/>
    </xf>
    <xf borderId="1" fillId="6" fontId="3" numFmtId="4" xfId="0" applyBorder="1" applyFont="1" applyNumberFormat="1"/>
    <xf borderId="0" fillId="0" fontId="3" numFmtId="0" xfId="0" applyAlignment="1" applyFont="1">
      <alignment horizontal="right"/>
    </xf>
    <xf borderId="0" fillId="0" fontId="3" numFmtId="4" xfId="0" applyFont="1" applyNumberFormat="1"/>
    <xf borderId="0" fillId="0" fontId="3" numFmtId="4" xfId="0" applyAlignment="1" applyFont="1" applyNumberFormat="1">
      <alignment horizontal="left"/>
    </xf>
    <xf borderId="0" fillId="0" fontId="3" numFmtId="4" xfId="0" applyAlignment="1" applyFont="1" applyNumberForma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4" fontId="3" numFmtId="0" xfId="0" applyFont="1"/>
    <xf borderId="0" fillId="3" fontId="3" numFmtId="0" xfId="0" applyFont="1"/>
    <xf borderId="0" fillId="5" fontId="3" numFmtId="0" xfId="0" applyFont="1"/>
    <xf borderId="0" fillId="0" fontId="3" numFmtId="4" xfId="0" applyAlignment="1" applyFont="1" applyNumberFormat="1">
      <alignment horizontal="left" shrinkToFit="0" wrapText="1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0" fillId="9" fontId="3" numFmtId="4" xfId="0" applyFont="1" applyNumberFormat="1"/>
    <xf borderId="0" fillId="0" fontId="3" numFmtId="0" xfId="0" applyFont="1"/>
    <xf borderId="0" fillId="9" fontId="3" numFmtId="0" xfId="0" applyFont="1"/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0" fontId="5" numFmtId="4" xfId="0" applyAlignment="1" applyBorder="1" applyFont="1" applyNumberFormat="1">
      <alignment horizontal="right" shrinkToFit="0" vertical="bottom" wrapText="1"/>
    </xf>
    <xf borderId="1" fillId="0" fontId="5" numFmtId="4" xfId="0" applyAlignment="1" applyBorder="1" applyFont="1" applyNumberFormat="1">
      <alignment horizontal="right" readingOrder="0" shrinkToFit="0" vertical="bottom" wrapText="1"/>
    </xf>
    <xf borderId="1" fillId="0" fontId="5" numFmtId="4" xfId="0" applyAlignment="1" applyBorder="1" applyFont="1" applyNumberFormat="1">
      <alignment shrinkToFit="0" vertical="bottom" wrapText="1"/>
    </xf>
    <xf borderId="1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horizontal="right" vertical="bottom"/>
    </xf>
    <xf borderId="1" fillId="0" fontId="5" numFmtId="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1" fillId="0" fontId="5" numFmtId="0" xfId="0" applyAlignment="1" applyBorder="1" applyFont="1">
      <alignment horizontal="right" shrinkToFit="0" vertical="bottom" wrapText="1"/>
    </xf>
    <xf borderId="0" fillId="0" fontId="8" numFmtId="0" xfId="0" applyAlignment="1" applyFont="1">
      <alignment horizontal="center" vertical="bottom"/>
    </xf>
    <xf borderId="2" fillId="0" fontId="3" numFmtId="0" xfId="0" applyAlignment="1" applyBorder="1" applyFont="1">
      <alignment horizontal="center" readingOrder="0"/>
    </xf>
    <xf borderId="3" fillId="0" fontId="9" numFmtId="0" xfId="0" applyBorder="1" applyFont="1"/>
    <xf borderId="4" fillId="0" fontId="9" numFmtId="0" xfId="0" applyBorder="1" applyFont="1"/>
    <xf borderId="0" fillId="10" fontId="10" numFmtId="0" xfId="0" applyAlignment="1" applyFill="1" applyFont="1">
      <alignment horizontal="left" readingOrder="0"/>
    </xf>
    <xf borderId="0" fillId="0" fontId="3" numFmtId="10" xfId="0" applyAlignment="1" applyFont="1" applyNumberFormat="1">
      <alignment readingOrder="0"/>
    </xf>
    <xf borderId="0" fillId="0" fontId="3" numFmtId="10" xfId="0" applyFont="1" applyNumberFormat="1"/>
    <xf borderId="1" fillId="0" fontId="3" numFmtId="10" xfId="0" applyAlignment="1" applyBorder="1" applyFont="1" applyNumberFormat="1">
      <alignment readingOrder="0"/>
    </xf>
    <xf borderId="1" fillId="0" fontId="5" numFmtId="10" xfId="0" applyAlignment="1" applyBorder="1" applyFont="1" applyNumberFormat="1">
      <alignment horizontal="center" readingOrder="0" shrinkToFit="0" vertical="bottom" wrapText="1"/>
    </xf>
    <xf borderId="1" fillId="0" fontId="3" numFmtId="10" xfId="0" applyAlignment="1" applyBorder="1" applyFont="1" applyNumberFormat="1">
      <alignment horizontal="left" readingOrder="0"/>
    </xf>
    <xf borderId="1" fillId="0" fontId="3" numFmtId="10" xfId="0" applyBorder="1" applyFont="1" applyNumberFormat="1"/>
    <xf borderId="0" fillId="0" fontId="3" numFmtId="10" xfId="0" applyAlignment="1" applyFont="1" applyNumberForma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3" numFmtId="10" xfId="0" applyAlignment="1" applyBorder="1" applyFont="1" applyNumberFormat="1">
      <alignment readingOrder="0" shrinkToFit="0" wrapText="1"/>
    </xf>
    <xf borderId="1" fillId="0" fontId="5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readingOrder="0" shrinkToFit="0" wrapText="1"/>
    </xf>
    <xf borderId="0" fillId="0" fontId="5" numFmtId="4" xfId="0" applyAlignment="1" applyFont="1" applyNumberFormat="1">
      <alignment horizontal="right" vertical="bottom"/>
    </xf>
    <xf borderId="1" fillId="10" fontId="5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 vertical="bottom"/>
    </xf>
    <xf borderId="1" fillId="0" fontId="5" numFmtId="4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0" fillId="0" fontId="5" numFmtId="4" xfId="0" applyAlignment="1" applyFont="1" applyNumberFormat="1">
      <alignment horizontal="right" shrinkToFit="0" vertical="bottom" wrapText="1"/>
    </xf>
    <xf borderId="1" fillId="0" fontId="12" numFmtId="0" xfId="0" applyAlignment="1" applyBorder="1" applyFont="1">
      <alignment readingOrder="0"/>
    </xf>
    <xf borderId="1" fillId="10" fontId="5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5" fillId="10" fontId="5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5" fillId="0" fontId="5" numFmtId="4" xfId="0" applyAlignment="1" applyBorder="1" applyFont="1" applyNumberFormat="1">
      <alignment horizontal="right" shrinkToFit="0" vertical="bottom" wrapText="1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right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/>
    </xf>
    <xf borderId="0" fillId="1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center" vertical="bottom"/>
    </xf>
    <xf borderId="4" fillId="0" fontId="5" numFmtId="4" xfId="0" applyAlignment="1" applyBorder="1" applyFont="1" applyNumberFormat="1">
      <alignment horizontal="right" shrinkToFit="0" vertical="bottom" wrapText="1"/>
    </xf>
    <xf borderId="6" fillId="0" fontId="5" numFmtId="4" xfId="0" applyAlignment="1" applyBorder="1" applyFont="1" applyNumberFormat="1">
      <alignment horizontal="right" shrinkToFit="0" vertical="bottom" wrapText="1"/>
    </xf>
    <xf borderId="1" fillId="0" fontId="14" numFmtId="0" xfId="0" applyAlignment="1" applyBorder="1" applyFont="1">
      <alignment readingOrder="0"/>
    </xf>
    <xf borderId="6" fillId="10" fontId="5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/>
    </xf>
    <xf borderId="6" fillId="10" fontId="5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1"/>
    </xf>
    <xf borderId="1" fillId="0" fontId="3" numFmtId="10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readingOrder="0" shrinkToFit="0" vertical="bottom" wrapText="1"/>
    </xf>
    <xf borderId="5" fillId="10" fontId="5" numFmtId="0" xfId="0" applyAlignment="1" applyBorder="1" applyFont="1">
      <alignment readingOrder="0" vertical="bottom"/>
    </xf>
    <xf borderId="5" fillId="10" fontId="5" numFmtId="0" xfId="0" applyAlignment="1" applyBorder="1" applyFont="1">
      <alignment horizontal="center" shrinkToFit="0" vertical="bottom" wrapText="1"/>
    </xf>
    <xf borderId="5" fillId="10" fontId="16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readingOrder="0" shrinkToFit="0" vertical="bottom" wrapText="1"/>
    </xf>
    <xf borderId="5" fillId="0" fontId="17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shrinkToFit="0" vertical="bottom" wrapText="1"/>
    </xf>
    <xf borderId="5" fillId="0" fontId="5" numFmtId="0" xfId="0" applyAlignment="1" applyBorder="1" applyFont="1">
      <alignment horizontal="right" vertical="bottom"/>
    </xf>
    <xf borderId="1" fillId="0" fontId="18" numFmtId="0" xfId="0" applyAlignment="1" applyBorder="1" applyFont="1">
      <alignment readingOrder="0" shrinkToFit="0" vertical="bottom" wrapText="1"/>
    </xf>
    <xf borderId="5" fillId="10" fontId="19" numFmtId="0" xfId="0" applyAlignment="1" applyBorder="1" applyFont="1">
      <alignment readingOrder="0" shrinkToFit="0" vertical="bottom" wrapText="1"/>
    </xf>
    <xf borderId="5" fillId="0" fontId="20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0" fillId="0" fontId="21" numFmtId="0" xfId="0" applyAlignment="1" applyFont="1">
      <alignment readingOrder="0"/>
    </xf>
    <xf borderId="5" fillId="10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shrinkToFit="0" vertical="bottom" wrapText="1"/>
    </xf>
    <xf borderId="0" fillId="0" fontId="22" numFmtId="0" xfId="0" applyAlignment="1" applyFont="1">
      <alignment readingOrder="0"/>
    </xf>
    <xf borderId="0" fillId="0" fontId="5" numFmtId="4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vertical="bottom" wrapText="1"/>
    </xf>
    <xf borderId="0" fillId="0" fontId="5" numFmtId="4" xfId="0" applyAlignment="1" applyFont="1" applyNumberFormat="1">
      <alignment horizontal="right" readingOrder="0"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5" fillId="0" fontId="5" numFmtId="4" xfId="0" applyAlignment="1" applyBorder="1" applyFont="1" applyNumberFormat="1">
      <alignment horizontal="right" readingOrder="0" shrinkToFit="0" vertical="bottom" wrapText="1"/>
    </xf>
    <xf borderId="5" fillId="10" fontId="5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right" readingOrder="0" shrinkToFit="0" vertical="bottom" wrapText="1"/>
    </xf>
    <xf borderId="1" fillId="0" fontId="5" numFmtId="0" xfId="0" applyAlignment="1" applyBorder="1" applyFont="1">
      <alignment horizontal="right" readingOrder="0" shrinkToFit="0" vertical="bottom" wrapText="1"/>
    </xf>
    <xf borderId="5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10" fontId="5" numFmtId="0" xfId="0" applyAlignment="1" applyBorder="1" applyFont="1">
      <alignment vertical="bottom"/>
    </xf>
    <xf borderId="5" fillId="0" fontId="23" numFmtId="0" xfId="0" applyAlignment="1" applyBorder="1" applyFont="1">
      <alignment horizontal="right" readingOrder="0" shrinkToFit="0" vertical="bottom" wrapText="1"/>
    </xf>
    <xf borderId="1" fillId="1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5" fillId="1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horizontal="center" shrinkToFit="0" wrapText="1"/>
    </xf>
    <xf borderId="5" fillId="10" fontId="5" numFmtId="0" xfId="0" applyAlignment="1" applyBorder="1" applyFont="1">
      <alignment readingOrder="0" shrinkToFit="0" vertical="bottom" wrapText="1"/>
    </xf>
    <xf borderId="1" fillId="10" fontId="24" numFmtId="0" xfId="0" applyAlignment="1" applyBorder="1" applyFont="1">
      <alignment horizontal="left" readingOrder="0"/>
    </xf>
    <xf borderId="1" fillId="10" fontId="2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88" Type="http://schemas.openxmlformats.org/officeDocument/2006/relationships/worksheet" Target="worksheets/sheet84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</xdr:row>
      <xdr:rowOff>0</xdr:rowOff>
    </xdr:from>
    <xdr:ext cx="2114550" cy="221932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Xd-V9gi9DNGzEllZsklwMJw6I0LW4T8/edit?gid=1678709265" TargetMode="External"/><Relationship Id="rId2" Type="http://schemas.openxmlformats.org/officeDocument/2006/relationships/hyperlink" Target="https://docs.google.com/spreadsheets/d/1gXd-V9gi9DNGzEllZsklwMJw6I0LW4T8/edit?gid=1309167043" TargetMode="External"/><Relationship Id="rId3" Type="http://schemas.openxmlformats.org/officeDocument/2006/relationships/hyperlink" Target="https://docs.google.com/spreadsheets/d/1gXd-V9gi9DNGzEllZsklwMJw6I0LW4T8/edit?gid=744277439" TargetMode="External"/><Relationship Id="rId4" Type="http://schemas.openxmlformats.org/officeDocument/2006/relationships/hyperlink" Target="https://docs.google.com/spreadsheets/d/1gXd-V9gi9DNGzEllZsklwMJw6I0LW4T8/edit?gid=1469583701" TargetMode="External"/><Relationship Id="rId5" Type="http://schemas.openxmlformats.org/officeDocument/2006/relationships/hyperlink" Target="https://docs.google.com/spreadsheets/d/1gXd-V9gi9DNGzEllZsklwMJw6I0LW4T8/edit?gid=1508604409" TargetMode="External"/><Relationship Id="rId6" Type="http://schemas.openxmlformats.org/officeDocument/2006/relationships/hyperlink" Target="https://docs.google.com/spreadsheets/d/1gXd-V9gi9DNGzEllZsklwMJw6I0LW4T8/edit?gid=1114084665" TargetMode="External"/><Relationship Id="rId7" Type="http://schemas.openxmlformats.org/officeDocument/2006/relationships/hyperlink" Target="https://docs.google.com/spreadsheets/d/1gXd-V9gi9DNGzEllZsklwMJw6I0LW4T8/edit?gid=915348345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lmPNLbeL-o1E2uvkXKyu6BPSi4Ktumc/edit?gid=1678709265" TargetMode="External"/><Relationship Id="rId2" Type="http://schemas.openxmlformats.org/officeDocument/2006/relationships/hyperlink" Target="https://docs.google.com/spreadsheets/d/1vlmPNLbeL-o1E2uvkXKyu6BPSi4Ktumc/edit?gid=1309167043" TargetMode="External"/><Relationship Id="rId3" Type="http://schemas.openxmlformats.org/officeDocument/2006/relationships/hyperlink" Target="https://docs.google.com/spreadsheets/d/1vlmPNLbeL-o1E2uvkXKyu6BPSi4Ktumc/edit?gid=744277439" TargetMode="External"/><Relationship Id="rId4" Type="http://schemas.openxmlformats.org/officeDocument/2006/relationships/hyperlink" Target="https://docs.google.com/spreadsheets/d/1vlmPNLbeL-o1E2uvkXKyu6BPSi4Ktumc/edit?gid=1469583701" TargetMode="External"/><Relationship Id="rId5" Type="http://schemas.openxmlformats.org/officeDocument/2006/relationships/hyperlink" Target="https://docs.google.com/spreadsheets/d/1vlmPNLbeL-o1E2uvkXKyu6BPSi4Ktumc/edit?gid=1508604409" TargetMode="External"/><Relationship Id="rId6" Type="http://schemas.openxmlformats.org/officeDocument/2006/relationships/hyperlink" Target="https://docs.google.com/spreadsheets/d/1vlmPNLbeL-o1E2uvkXKyu6BPSi4Ktumc/edit?gid=1114084665" TargetMode="External"/><Relationship Id="rId7" Type="http://schemas.openxmlformats.org/officeDocument/2006/relationships/hyperlink" Target="https://docs.google.com/spreadsheets/d/1vlmPNLbeL-o1E2uvkXKyu6BPSi4Ktumc/edit?gid=915348345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gNKA9n3B2xrOOR1M9jZ0oWAxXR4tuub/edit?gid=1678709265" TargetMode="External"/><Relationship Id="rId2" Type="http://schemas.openxmlformats.org/officeDocument/2006/relationships/hyperlink" Target="https://docs.google.com/spreadsheets/d/1NgNKA9n3B2xrOOR1M9jZ0oWAxXR4tuub/edit?gid=1309167043" TargetMode="External"/><Relationship Id="rId3" Type="http://schemas.openxmlformats.org/officeDocument/2006/relationships/hyperlink" Target="https://docs.google.com/spreadsheets/d/1NgNKA9n3B2xrOOR1M9jZ0oWAxXR4tuub/edit?gid=744277439" TargetMode="External"/><Relationship Id="rId4" Type="http://schemas.openxmlformats.org/officeDocument/2006/relationships/hyperlink" Target="https://docs.google.com/spreadsheets/d/1NgNKA9n3B2xrOOR1M9jZ0oWAxXR4tuub/edit?gid=1469583701" TargetMode="External"/><Relationship Id="rId5" Type="http://schemas.openxmlformats.org/officeDocument/2006/relationships/hyperlink" Target="https://docs.google.com/spreadsheets/d/1NgNKA9n3B2xrOOR1M9jZ0oWAxXR4tuub/edit?gid=1508604409" TargetMode="External"/><Relationship Id="rId6" Type="http://schemas.openxmlformats.org/officeDocument/2006/relationships/hyperlink" Target="https://docs.google.com/spreadsheets/d/1NgNKA9n3B2xrOOR1M9jZ0oWAxXR4tuub/edit?gid=1114084665" TargetMode="External"/><Relationship Id="rId7" Type="http://schemas.openxmlformats.org/officeDocument/2006/relationships/hyperlink" Target="https://docs.google.com/spreadsheets/d/1NgNKA9n3B2xrOOR1M9jZ0oWAxXR4tuub/edit?gid=915348345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86nUraVcRlaefM0T4K6KjvOZk6VA-Pe/edit?gid=1678709265" TargetMode="External"/><Relationship Id="rId2" Type="http://schemas.openxmlformats.org/officeDocument/2006/relationships/hyperlink" Target="https://docs.google.com/spreadsheets/d/1a86nUraVcRlaefM0T4K6KjvOZk6VA-Pe/edit?gid=1309167043" TargetMode="External"/><Relationship Id="rId3" Type="http://schemas.openxmlformats.org/officeDocument/2006/relationships/hyperlink" Target="https://docs.google.com/spreadsheets/d/1a86nUraVcRlaefM0T4K6KjvOZk6VA-Pe/edit?gid=744277439" TargetMode="External"/><Relationship Id="rId4" Type="http://schemas.openxmlformats.org/officeDocument/2006/relationships/hyperlink" Target="https://docs.google.com/spreadsheets/d/1a86nUraVcRlaefM0T4K6KjvOZk6VA-Pe/edit?gid=1469583701" TargetMode="External"/><Relationship Id="rId5" Type="http://schemas.openxmlformats.org/officeDocument/2006/relationships/hyperlink" Target="https://docs.google.com/spreadsheets/d/1a86nUraVcRlaefM0T4K6KjvOZk6VA-Pe/edit?gid=1508604409" TargetMode="External"/><Relationship Id="rId6" Type="http://schemas.openxmlformats.org/officeDocument/2006/relationships/hyperlink" Target="https://docs.google.com/spreadsheets/d/1a86nUraVcRlaefM0T4K6KjvOZk6VA-Pe/edit?gid=1114084665" TargetMode="External"/><Relationship Id="rId7" Type="http://schemas.openxmlformats.org/officeDocument/2006/relationships/hyperlink" Target="https://docs.google.com/spreadsheets/d/1a86nUraVcRlaefM0T4K6KjvOZk6VA-Pe/edit?gid=915348345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T-Uug_Hf9lsjWaP-P7RR8CtBuppncWI/edit?gid=1678709265" TargetMode="External"/><Relationship Id="rId2" Type="http://schemas.openxmlformats.org/officeDocument/2006/relationships/hyperlink" Target="https://docs.google.com/spreadsheets/d/13T-Uug_Hf9lsjWaP-P7RR8CtBuppncWI/edit?gid=1309167043" TargetMode="External"/><Relationship Id="rId3" Type="http://schemas.openxmlformats.org/officeDocument/2006/relationships/hyperlink" Target="https://docs.google.com/spreadsheets/d/13T-Uug_Hf9lsjWaP-P7RR8CtBuppncWI/edit?gid=744277439" TargetMode="External"/><Relationship Id="rId4" Type="http://schemas.openxmlformats.org/officeDocument/2006/relationships/hyperlink" Target="https://docs.google.com/spreadsheets/d/13T-Uug_Hf9lsjWaP-P7RR8CtBuppncWI/edit?gid=1469583701" TargetMode="External"/><Relationship Id="rId5" Type="http://schemas.openxmlformats.org/officeDocument/2006/relationships/hyperlink" Target="https://docs.google.com/spreadsheets/d/13T-Uug_Hf9lsjWaP-P7RR8CtBuppncWI/edit?gid=1508604409" TargetMode="External"/><Relationship Id="rId6" Type="http://schemas.openxmlformats.org/officeDocument/2006/relationships/hyperlink" Target="https://docs.google.com/spreadsheets/d/13T-Uug_Hf9lsjWaP-P7RR8CtBuppncWI/edit?gid=1114084665" TargetMode="External"/><Relationship Id="rId7" Type="http://schemas.openxmlformats.org/officeDocument/2006/relationships/hyperlink" Target="https://docs.google.com/spreadsheets/d/13T-Uug_Hf9lsjWaP-P7RR8CtBuppncWI/edit?gid=915348345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tDfL9K1zMrhpLYOZucWjXf3PbQKOlxR/edit?gid=1678709265" TargetMode="External"/><Relationship Id="rId2" Type="http://schemas.openxmlformats.org/officeDocument/2006/relationships/hyperlink" Target="https://docs.google.com/spreadsheets/d/1ItDfL9K1zMrhpLYOZucWjXf3PbQKOlxR/edit?gid=1309167043" TargetMode="External"/><Relationship Id="rId3" Type="http://schemas.openxmlformats.org/officeDocument/2006/relationships/hyperlink" Target="https://docs.google.com/spreadsheets/d/1ItDfL9K1zMrhpLYOZucWjXf3PbQKOlxR/edit?gid=744277439" TargetMode="External"/><Relationship Id="rId4" Type="http://schemas.openxmlformats.org/officeDocument/2006/relationships/hyperlink" Target="https://docs.google.com/spreadsheets/d/1ItDfL9K1zMrhpLYOZucWjXf3PbQKOlxR/edit?gid=1469583701" TargetMode="External"/><Relationship Id="rId5" Type="http://schemas.openxmlformats.org/officeDocument/2006/relationships/hyperlink" Target="https://docs.google.com/spreadsheets/d/1ItDfL9K1zMrhpLYOZucWjXf3PbQKOlxR/edit?gid=1508604409" TargetMode="External"/><Relationship Id="rId6" Type="http://schemas.openxmlformats.org/officeDocument/2006/relationships/hyperlink" Target="https://docs.google.com/spreadsheets/d/1ItDfL9K1zMrhpLYOZucWjXf3PbQKOlxR/edit?gid=1114084665" TargetMode="External"/><Relationship Id="rId7" Type="http://schemas.openxmlformats.org/officeDocument/2006/relationships/hyperlink" Target="https://docs.google.com/spreadsheets/d/1ItDfL9K1zMrhpLYOZucWjXf3PbQKOlxR/edit?gid=915348345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EzBceW14AKGxXdpfzvf0joUZoP5ekZ/edit?gid=1678709265" TargetMode="External"/><Relationship Id="rId2" Type="http://schemas.openxmlformats.org/officeDocument/2006/relationships/hyperlink" Target="https://docs.google.com/spreadsheets/d/16xEzBceW14AKGxXdpfzvf0joUZoP5ekZ/edit?gid=1309167043" TargetMode="External"/><Relationship Id="rId3" Type="http://schemas.openxmlformats.org/officeDocument/2006/relationships/hyperlink" Target="https://docs.google.com/spreadsheets/d/16xEzBceW14AKGxXdpfzvf0joUZoP5ekZ/edit?gid=744277439" TargetMode="External"/><Relationship Id="rId4" Type="http://schemas.openxmlformats.org/officeDocument/2006/relationships/hyperlink" Target="https://docs.google.com/spreadsheets/d/16xEzBceW14AKGxXdpfzvf0joUZoP5ekZ/edit?gid=1469583701" TargetMode="External"/><Relationship Id="rId5" Type="http://schemas.openxmlformats.org/officeDocument/2006/relationships/hyperlink" Target="https://docs.google.com/spreadsheets/d/16xEzBceW14AKGxXdpfzvf0joUZoP5ekZ/edit?gid=1508604409" TargetMode="External"/><Relationship Id="rId6" Type="http://schemas.openxmlformats.org/officeDocument/2006/relationships/hyperlink" Target="https://docs.google.com/spreadsheets/d/16xEzBceW14AKGxXdpfzvf0joUZoP5ekZ/edit?gid=1114084665" TargetMode="External"/><Relationship Id="rId7" Type="http://schemas.openxmlformats.org/officeDocument/2006/relationships/hyperlink" Target="https://docs.google.com/spreadsheets/d/16xEzBceW14AKGxXdpfzvf0joUZoP5ekZ/edit?gid=915348345" TargetMode="External"/><Relationship Id="rId8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mCenoOElR-nD5zFqBoEt2b751lEzyJP/edit?gid=1678709265" TargetMode="External"/><Relationship Id="rId2" Type="http://schemas.openxmlformats.org/officeDocument/2006/relationships/hyperlink" Target="https://docs.google.com/spreadsheets/d/1WmCenoOElR-nD5zFqBoEt2b751lEzyJP/edit?gid=1309167043" TargetMode="External"/><Relationship Id="rId3" Type="http://schemas.openxmlformats.org/officeDocument/2006/relationships/hyperlink" Target="https://docs.google.com/spreadsheets/d/1WmCenoOElR-nD5zFqBoEt2b751lEzyJP/edit?gid=744277439" TargetMode="External"/><Relationship Id="rId4" Type="http://schemas.openxmlformats.org/officeDocument/2006/relationships/hyperlink" Target="https://docs.google.com/spreadsheets/d/1WmCenoOElR-nD5zFqBoEt2b751lEzyJP/edit?gid=1469583701" TargetMode="External"/><Relationship Id="rId5" Type="http://schemas.openxmlformats.org/officeDocument/2006/relationships/hyperlink" Target="https://docs.google.com/spreadsheets/d/1WmCenoOElR-nD5zFqBoEt2b751lEzyJP/edit?gid=1508604409" TargetMode="External"/><Relationship Id="rId6" Type="http://schemas.openxmlformats.org/officeDocument/2006/relationships/hyperlink" Target="https://docs.google.com/spreadsheets/d/1WmCenoOElR-nD5zFqBoEt2b751lEzyJP/edit?gid=1114084665" TargetMode="External"/><Relationship Id="rId7" Type="http://schemas.openxmlformats.org/officeDocument/2006/relationships/hyperlink" Target="https://docs.google.com/spreadsheets/d/1WmCenoOElR-nD5zFqBoEt2b751lEzyJP/edit?gid=915348345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E4bigwfSk72H9yUhhx1kvhx66USHCE2/edit?gid=1678709265" TargetMode="External"/><Relationship Id="rId2" Type="http://schemas.openxmlformats.org/officeDocument/2006/relationships/hyperlink" Target="https://docs.google.com/spreadsheets/d/1YE4bigwfSk72H9yUhhx1kvhx66USHCE2/edit?gid=1309167043" TargetMode="External"/><Relationship Id="rId3" Type="http://schemas.openxmlformats.org/officeDocument/2006/relationships/hyperlink" Target="https://docs.google.com/spreadsheets/d/1YE4bigwfSk72H9yUhhx1kvhx66USHCE2/edit?gid=744277439" TargetMode="External"/><Relationship Id="rId4" Type="http://schemas.openxmlformats.org/officeDocument/2006/relationships/hyperlink" Target="https://docs.google.com/spreadsheets/d/1YE4bigwfSk72H9yUhhx1kvhx66USHCE2/edit?gid=1469583701" TargetMode="External"/><Relationship Id="rId5" Type="http://schemas.openxmlformats.org/officeDocument/2006/relationships/hyperlink" Target="https://docs.google.com/spreadsheets/d/1YE4bigwfSk72H9yUhhx1kvhx66USHCE2/edit?gid=1508604409" TargetMode="External"/><Relationship Id="rId6" Type="http://schemas.openxmlformats.org/officeDocument/2006/relationships/hyperlink" Target="https://docs.google.com/spreadsheets/d/1YE4bigwfSk72H9yUhhx1kvhx66USHCE2/edit?gid=1114084665" TargetMode="External"/><Relationship Id="rId7" Type="http://schemas.openxmlformats.org/officeDocument/2006/relationships/hyperlink" Target="https://docs.google.com/spreadsheets/d/1YE4bigwfSk72H9yUhhx1kvhx66USHCE2/edit?gid=915348345" TargetMode="External"/><Relationship Id="rId8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_eipzztW0pw3Lfr6fDtLliIKaGyQ3at/edit?gid=1678709265" TargetMode="External"/><Relationship Id="rId2" Type="http://schemas.openxmlformats.org/officeDocument/2006/relationships/hyperlink" Target="https://docs.google.com/spreadsheets/d/1F_eipzztW0pw3Lfr6fDtLliIKaGyQ3at/edit?gid=1309167043" TargetMode="External"/><Relationship Id="rId3" Type="http://schemas.openxmlformats.org/officeDocument/2006/relationships/hyperlink" Target="https://docs.google.com/spreadsheets/d/1F_eipzztW0pw3Lfr6fDtLliIKaGyQ3at/edit?gid=744277439" TargetMode="External"/><Relationship Id="rId4" Type="http://schemas.openxmlformats.org/officeDocument/2006/relationships/hyperlink" Target="https://docs.google.com/spreadsheets/d/1F_eipzztW0pw3Lfr6fDtLliIKaGyQ3at/edit?gid=1469583701" TargetMode="External"/><Relationship Id="rId5" Type="http://schemas.openxmlformats.org/officeDocument/2006/relationships/hyperlink" Target="https://docs.google.com/spreadsheets/d/1F_eipzztW0pw3Lfr6fDtLliIKaGyQ3at/edit?gid=1508604409" TargetMode="External"/><Relationship Id="rId6" Type="http://schemas.openxmlformats.org/officeDocument/2006/relationships/hyperlink" Target="https://docs.google.com/spreadsheets/d/1F_eipzztW0pw3Lfr6fDtLliIKaGyQ3at/edit?gid=1114084665" TargetMode="External"/><Relationship Id="rId7" Type="http://schemas.openxmlformats.org/officeDocument/2006/relationships/hyperlink" Target="https://docs.google.com/spreadsheets/d/1F_eipzztW0pw3Lfr6fDtLliIKaGyQ3at/edit?gid=915348345" TargetMode="External"/><Relationship Id="rId8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-I82NnMi2iBnFYMHS8d7aIsjKWLHRp5/edit?gid=1678709265" TargetMode="External"/><Relationship Id="rId2" Type="http://schemas.openxmlformats.org/officeDocument/2006/relationships/hyperlink" Target="https://docs.google.com/spreadsheets/d/1T-I82NnMi2iBnFYMHS8d7aIsjKWLHRp5/edit?gid=1309167043" TargetMode="External"/><Relationship Id="rId3" Type="http://schemas.openxmlformats.org/officeDocument/2006/relationships/hyperlink" Target="https://docs.google.com/spreadsheets/d/1T-I82NnMi2iBnFYMHS8d7aIsjKWLHRp5/edit?gid=744277439" TargetMode="External"/><Relationship Id="rId4" Type="http://schemas.openxmlformats.org/officeDocument/2006/relationships/hyperlink" Target="https://docs.google.com/spreadsheets/d/1T-I82NnMi2iBnFYMHS8d7aIsjKWLHRp5/edit?gid=1469583701" TargetMode="External"/><Relationship Id="rId5" Type="http://schemas.openxmlformats.org/officeDocument/2006/relationships/hyperlink" Target="https://docs.google.com/spreadsheets/d/1T-I82NnMi2iBnFYMHS8d7aIsjKWLHRp5/edit?gid=1508604409" TargetMode="External"/><Relationship Id="rId6" Type="http://schemas.openxmlformats.org/officeDocument/2006/relationships/hyperlink" Target="https://docs.google.com/spreadsheets/d/1T-I82NnMi2iBnFYMHS8d7aIsjKWLHRp5/edit?gid=1114084665" TargetMode="External"/><Relationship Id="rId7" Type="http://schemas.openxmlformats.org/officeDocument/2006/relationships/hyperlink" Target="https://docs.google.com/spreadsheets/d/1T-I82NnMi2iBnFYMHS8d7aIsjKWLHRp5/edit?gid=915348345" TargetMode="External"/><Relationship Id="rId8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JiJiEV85B-CbfUtgdohgTQoVTc3wb7V/edit?gid=1678709265" TargetMode="External"/><Relationship Id="rId2" Type="http://schemas.openxmlformats.org/officeDocument/2006/relationships/hyperlink" Target="https://docs.google.com/spreadsheets/d/1vJiJiEV85B-CbfUtgdohgTQoVTc3wb7V/edit?gid=1309167043" TargetMode="External"/><Relationship Id="rId3" Type="http://schemas.openxmlformats.org/officeDocument/2006/relationships/hyperlink" Target="https://docs.google.com/spreadsheets/d/1vJiJiEV85B-CbfUtgdohgTQoVTc3wb7V/edit?gid=744277439" TargetMode="External"/><Relationship Id="rId4" Type="http://schemas.openxmlformats.org/officeDocument/2006/relationships/hyperlink" Target="https://docs.google.com/spreadsheets/d/1vJiJiEV85B-CbfUtgdohgTQoVTc3wb7V/edit?gid=1469583701" TargetMode="External"/><Relationship Id="rId5" Type="http://schemas.openxmlformats.org/officeDocument/2006/relationships/hyperlink" Target="https://docs.google.com/spreadsheets/d/1vJiJiEV85B-CbfUtgdohgTQoVTc3wb7V/edit?gid=1508604409" TargetMode="External"/><Relationship Id="rId6" Type="http://schemas.openxmlformats.org/officeDocument/2006/relationships/hyperlink" Target="https://docs.google.com/spreadsheets/d/1vJiJiEV85B-CbfUtgdohgTQoVTc3wb7V/edit?gid=1114084665" TargetMode="External"/><Relationship Id="rId7" Type="http://schemas.openxmlformats.org/officeDocument/2006/relationships/hyperlink" Target="https://docs.google.com/spreadsheets/d/1vJiJiEV85B-CbfUtgdohgTQoVTc3wb7V/edit?gid=915348345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75aJJM77z1o6xGPLMxxBhAw2GrOtuab/edit?gid=1678709265" TargetMode="External"/><Relationship Id="rId2" Type="http://schemas.openxmlformats.org/officeDocument/2006/relationships/hyperlink" Target="https://docs.google.com/spreadsheets/d/1w75aJJM77z1o6xGPLMxxBhAw2GrOtuab/edit?gid=1309167043" TargetMode="External"/><Relationship Id="rId3" Type="http://schemas.openxmlformats.org/officeDocument/2006/relationships/hyperlink" Target="https://docs.google.com/spreadsheets/d/1w75aJJM77z1o6xGPLMxxBhAw2GrOtuab/edit?gid=744277439" TargetMode="External"/><Relationship Id="rId4" Type="http://schemas.openxmlformats.org/officeDocument/2006/relationships/hyperlink" Target="https://docs.google.com/spreadsheets/d/1w75aJJM77z1o6xGPLMxxBhAw2GrOtuab/edit?gid=1469583701" TargetMode="External"/><Relationship Id="rId5" Type="http://schemas.openxmlformats.org/officeDocument/2006/relationships/hyperlink" Target="https://docs.google.com/spreadsheets/d/1w75aJJM77z1o6xGPLMxxBhAw2GrOtuab/edit?gid=1508604409" TargetMode="External"/><Relationship Id="rId6" Type="http://schemas.openxmlformats.org/officeDocument/2006/relationships/hyperlink" Target="https://docs.google.com/spreadsheets/d/1w75aJJM77z1o6xGPLMxxBhAw2GrOtuab/edit?gid=1114084665" TargetMode="External"/><Relationship Id="rId7" Type="http://schemas.openxmlformats.org/officeDocument/2006/relationships/hyperlink" Target="https://docs.google.com/spreadsheets/d/1w75aJJM77z1o6xGPLMxxBhAw2GrOtuab/edit?gid=915348345" TargetMode="External"/><Relationship Id="rId8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_nZOi7LEymg_BAUIZRiU9BKTrvDPHJ1/edit?gid=1678709265" TargetMode="External"/><Relationship Id="rId2" Type="http://schemas.openxmlformats.org/officeDocument/2006/relationships/hyperlink" Target="https://docs.google.com/spreadsheets/d/1d_nZOi7LEymg_BAUIZRiU9BKTrvDPHJ1/edit?gid=1309167043" TargetMode="External"/><Relationship Id="rId3" Type="http://schemas.openxmlformats.org/officeDocument/2006/relationships/hyperlink" Target="https://docs.google.com/spreadsheets/d/1d_nZOi7LEymg_BAUIZRiU9BKTrvDPHJ1/edit?gid=744277439" TargetMode="External"/><Relationship Id="rId4" Type="http://schemas.openxmlformats.org/officeDocument/2006/relationships/hyperlink" Target="https://docs.google.com/spreadsheets/d/1d_nZOi7LEymg_BAUIZRiU9BKTrvDPHJ1/edit?gid=1469583701" TargetMode="External"/><Relationship Id="rId5" Type="http://schemas.openxmlformats.org/officeDocument/2006/relationships/hyperlink" Target="https://docs.google.com/spreadsheets/d/1d_nZOi7LEymg_BAUIZRiU9BKTrvDPHJ1/edit?gid=1508604409" TargetMode="External"/><Relationship Id="rId6" Type="http://schemas.openxmlformats.org/officeDocument/2006/relationships/hyperlink" Target="https://docs.google.com/spreadsheets/d/1d_nZOi7LEymg_BAUIZRiU9BKTrvDPHJ1/edit?gid=1114084665" TargetMode="External"/><Relationship Id="rId7" Type="http://schemas.openxmlformats.org/officeDocument/2006/relationships/hyperlink" Target="https://docs.google.com/spreadsheets/d/1d_nZOi7LEymg_BAUIZRiU9BKTrvDPHJ1/edit?gid=915348345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dkmVr2MuW1pPD9k_hXtVtU69wr_KKx/edit?gid=1678709265" TargetMode="External"/><Relationship Id="rId2" Type="http://schemas.openxmlformats.org/officeDocument/2006/relationships/hyperlink" Target="https://docs.google.com/spreadsheets/d/1s7dkmVr2MuW1pPD9k_hXtVtU69wr_KKx/edit?gid=1309167043" TargetMode="External"/><Relationship Id="rId3" Type="http://schemas.openxmlformats.org/officeDocument/2006/relationships/hyperlink" Target="https://docs.google.com/spreadsheets/d/1s7dkmVr2MuW1pPD9k_hXtVtU69wr_KKx/edit?gid=744277439" TargetMode="External"/><Relationship Id="rId4" Type="http://schemas.openxmlformats.org/officeDocument/2006/relationships/hyperlink" Target="https://docs.google.com/spreadsheets/d/1s7dkmVr2MuW1pPD9k_hXtVtU69wr_KKx/edit?gid=1469583701" TargetMode="External"/><Relationship Id="rId5" Type="http://schemas.openxmlformats.org/officeDocument/2006/relationships/hyperlink" Target="https://docs.google.com/spreadsheets/d/1s7dkmVr2MuW1pPD9k_hXtVtU69wr_KKx/edit?gid=1508604409" TargetMode="External"/><Relationship Id="rId6" Type="http://schemas.openxmlformats.org/officeDocument/2006/relationships/hyperlink" Target="https://docs.google.com/spreadsheets/d/1s7dkmVr2MuW1pPD9k_hXtVtU69wr_KKx/edit?gid=1114084665" TargetMode="External"/><Relationship Id="rId7" Type="http://schemas.openxmlformats.org/officeDocument/2006/relationships/hyperlink" Target="https://docs.google.com/spreadsheets/d/1s7dkmVr2MuW1pPD9k_hXtVtU69wr_KKx/edit?gid=915348345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x6oFyBny32NwpstNwKa0JygDbe6fSSs/edit?gid=1678709265" TargetMode="External"/><Relationship Id="rId2" Type="http://schemas.openxmlformats.org/officeDocument/2006/relationships/hyperlink" Target="https://docs.google.com/spreadsheets/d/1cx6oFyBny32NwpstNwKa0JygDbe6fSSs/edit?gid=1309167043" TargetMode="External"/><Relationship Id="rId3" Type="http://schemas.openxmlformats.org/officeDocument/2006/relationships/hyperlink" Target="https://docs.google.com/spreadsheets/d/1cx6oFyBny32NwpstNwKa0JygDbe6fSSs/edit?gid=744277439" TargetMode="External"/><Relationship Id="rId4" Type="http://schemas.openxmlformats.org/officeDocument/2006/relationships/hyperlink" Target="https://docs.google.com/spreadsheets/d/1cx6oFyBny32NwpstNwKa0JygDbe6fSSs/edit?gid=1469583701" TargetMode="External"/><Relationship Id="rId5" Type="http://schemas.openxmlformats.org/officeDocument/2006/relationships/hyperlink" Target="https://docs.google.com/spreadsheets/d/1cx6oFyBny32NwpstNwKa0JygDbe6fSSs/edit?gid=1508604409" TargetMode="External"/><Relationship Id="rId6" Type="http://schemas.openxmlformats.org/officeDocument/2006/relationships/hyperlink" Target="https://docs.google.com/spreadsheets/d/1cx6oFyBny32NwpstNwKa0JygDbe6fSSs/edit?gid=1114084665" TargetMode="External"/><Relationship Id="rId7" Type="http://schemas.openxmlformats.org/officeDocument/2006/relationships/hyperlink" Target="https://docs.google.com/spreadsheets/d/1cx6oFyBny32NwpstNwKa0JygDbe6fSSs/edit?gid=915348345" TargetMode="External"/><Relationship Id="rId8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pjWiBoAiMQs7NGsi1oadr8NUx4qmO6Q/edit?gid=1678709265" TargetMode="External"/><Relationship Id="rId2" Type="http://schemas.openxmlformats.org/officeDocument/2006/relationships/hyperlink" Target="https://docs.google.com/spreadsheets/d/1qpjWiBoAiMQs7NGsi1oadr8NUx4qmO6Q/edit?gid=1309167043" TargetMode="External"/><Relationship Id="rId3" Type="http://schemas.openxmlformats.org/officeDocument/2006/relationships/hyperlink" Target="https://docs.google.com/spreadsheets/d/1qpjWiBoAiMQs7NGsi1oadr8NUx4qmO6Q/edit?gid=744277439" TargetMode="External"/><Relationship Id="rId4" Type="http://schemas.openxmlformats.org/officeDocument/2006/relationships/hyperlink" Target="https://docs.google.com/spreadsheets/d/1qpjWiBoAiMQs7NGsi1oadr8NUx4qmO6Q/edit?gid=1469583701" TargetMode="External"/><Relationship Id="rId5" Type="http://schemas.openxmlformats.org/officeDocument/2006/relationships/hyperlink" Target="https://docs.google.com/spreadsheets/d/1qpjWiBoAiMQs7NGsi1oadr8NUx4qmO6Q/edit?gid=1508604409" TargetMode="External"/><Relationship Id="rId6" Type="http://schemas.openxmlformats.org/officeDocument/2006/relationships/hyperlink" Target="https://docs.google.com/spreadsheets/d/1qpjWiBoAiMQs7NGsi1oadr8NUx4qmO6Q/edit?gid=1114084665" TargetMode="External"/><Relationship Id="rId7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38XqOnSu_d5jDuOB6pz-yUuIFuQM453sW2oDseXWWs/edit?gid=1795121416" TargetMode="External"/><Relationship Id="rId2" Type="http://schemas.openxmlformats.org/officeDocument/2006/relationships/hyperlink" Target="https://docs.google.com/spreadsheets/d/1C38XqOnSu_d5jDuOB6pz-yUuIFuQM453sW2oDseXWWs/edit?gid=639565466" TargetMode="External"/><Relationship Id="rId3" Type="http://schemas.openxmlformats.org/officeDocument/2006/relationships/hyperlink" Target="https://docs.google.com/spreadsheets/d/1C38XqOnSu_d5jDuOB6pz-yUuIFuQM453sW2oDseXWWs/edit?gid=98133673" TargetMode="External"/><Relationship Id="rId4" Type="http://schemas.openxmlformats.org/officeDocument/2006/relationships/hyperlink" Target="https://docs.google.com/spreadsheets/d/1C38XqOnSu_d5jDuOB6pz-yUuIFuQM453sW2oDseXWWs/edit?gid=1272994502" TargetMode="External"/><Relationship Id="rId5" Type="http://schemas.openxmlformats.org/officeDocument/2006/relationships/hyperlink" Target="https://docs.google.com/spreadsheets/d/1C38XqOnSu_d5jDuOB6pz-yUuIFuQM453sW2oDseXWWs/edit?gid=1355829565" TargetMode="External"/><Relationship Id="rId6" Type="http://schemas.openxmlformats.org/officeDocument/2006/relationships/hyperlink" Target="https://docs.google.com/spreadsheets/d/1C38XqOnSu_d5jDuOB6pz-yUuIFuQM453sW2oDseXWWs/edit?gid=1503107642" TargetMode="External"/><Relationship Id="rId7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G2V8D1vOWjtkfMOSa8V6U5LpInuVGtbbmtU9LsGiZk/edit?gid=1795121416" TargetMode="External"/><Relationship Id="rId2" Type="http://schemas.openxmlformats.org/officeDocument/2006/relationships/hyperlink" Target="https://docs.google.com/spreadsheets/d/1-G2V8D1vOWjtkfMOSa8V6U5LpInuVGtbbmtU9LsGiZk/edit?gid=639565466" TargetMode="External"/><Relationship Id="rId3" Type="http://schemas.openxmlformats.org/officeDocument/2006/relationships/hyperlink" Target="https://docs.google.com/spreadsheets/d/1-G2V8D1vOWjtkfMOSa8V6U5LpInuVGtbbmtU9LsGiZk/edit?gid=98133673" TargetMode="External"/><Relationship Id="rId4" Type="http://schemas.openxmlformats.org/officeDocument/2006/relationships/hyperlink" Target="https://docs.google.com/spreadsheets/d/1-G2V8D1vOWjtkfMOSa8V6U5LpInuVGtbbmtU9LsGiZk/edit?gid=1272994502" TargetMode="External"/><Relationship Id="rId5" Type="http://schemas.openxmlformats.org/officeDocument/2006/relationships/hyperlink" Target="https://docs.google.com/spreadsheets/d/1-G2V8D1vOWjtkfMOSa8V6U5LpInuVGtbbmtU9LsGiZk/edit?gid=416664440" TargetMode="External"/><Relationship Id="rId6" Type="http://schemas.openxmlformats.org/officeDocument/2006/relationships/hyperlink" Target="https://docs.google.com/spreadsheets/d/1-G2V8D1vOWjtkfMOSa8V6U5LpInuVGtbbmtU9LsGiZk/edit?gid=1355829565" TargetMode="External"/><Relationship Id="rId7" Type="http://schemas.openxmlformats.org/officeDocument/2006/relationships/hyperlink" Target="https://docs.google.com/spreadsheets/d/1-G2V8D1vOWjtkfMOSa8V6U5LpInuVGtbbmtU9LsGiZk/edit?gid=1503107642" TargetMode="External"/><Relationship Id="rId8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QwbNnucla9dv3bTymMWOgwg8Th5vPSga_HhHixrxtA/edit?gid=1795121416" TargetMode="External"/><Relationship Id="rId2" Type="http://schemas.openxmlformats.org/officeDocument/2006/relationships/hyperlink" Target="https://docs.google.com/spreadsheets/d/1dQwbNnucla9dv3bTymMWOgwg8Th5vPSga_HhHixrxtA/edit?gid=639565466" TargetMode="External"/><Relationship Id="rId3" Type="http://schemas.openxmlformats.org/officeDocument/2006/relationships/hyperlink" Target="https://docs.google.com/spreadsheets/d/1dQwbNnucla9dv3bTymMWOgwg8Th5vPSga_HhHixrxtA/edit?gid=98133673" TargetMode="External"/><Relationship Id="rId4" Type="http://schemas.openxmlformats.org/officeDocument/2006/relationships/hyperlink" Target="https://docs.google.com/spreadsheets/d/1dQwbNnucla9dv3bTymMWOgwg8Th5vPSga_HhHixrxtA/edit?gid=1272994502" TargetMode="External"/><Relationship Id="rId5" Type="http://schemas.openxmlformats.org/officeDocument/2006/relationships/hyperlink" Target="https://docs.google.com/spreadsheets/d/1dQwbNnucla9dv3bTymMWOgwg8Th5vPSga_HhHixrxtA/edit?gid=416664440" TargetMode="External"/><Relationship Id="rId6" Type="http://schemas.openxmlformats.org/officeDocument/2006/relationships/hyperlink" Target="https://docs.google.com/spreadsheets/d/1dQwbNnucla9dv3bTymMWOgwg8Th5vPSga_HhHixrxtA/edit?gid=1355829565" TargetMode="External"/><Relationship Id="rId7" Type="http://schemas.openxmlformats.org/officeDocument/2006/relationships/hyperlink" Target="https://docs.google.com/spreadsheets/d/1dQwbNnucla9dv3bTymMWOgwg8Th5vPSga_HhHixrxtA/edit?gid=1503107642" TargetMode="External"/><Relationship Id="rId8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iPqOxBu0CsQ42-SRw7IG8zNcB3a2xw05AWO5fQXpPA/edit?gid=1795121416" TargetMode="External"/><Relationship Id="rId2" Type="http://schemas.openxmlformats.org/officeDocument/2006/relationships/hyperlink" Target="https://docs.google.com/spreadsheets/d/1aiPqOxBu0CsQ42-SRw7IG8zNcB3a2xw05AWO5fQXpPA/edit?gid=639565466" TargetMode="External"/><Relationship Id="rId3" Type="http://schemas.openxmlformats.org/officeDocument/2006/relationships/hyperlink" Target="https://docs.google.com/spreadsheets/d/1aiPqOxBu0CsQ42-SRw7IG8zNcB3a2xw05AWO5fQXpPA/edit?gid=98133673" TargetMode="External"/><Relationship Id="rId4" Type="http://schemas.openxmlformats.org/officeDocument/2006/relationships/hyperlink" Target="https://docs.google.com/spreadsheets/d/1aiPqOxBu0CsQ42-SRw7IG8zNcB3a2xw05AWO5fQXpPA/edit?gid=1272994502" TargetMode="External"/><Relationship Id="rId5" Type="http://schemas.openxmlformats.org/officeDocument/2006/relationships/hyperlink" Target="https://docs.google.com/spreadsheets/d/1aiPqOxBu0CsQ42-SRw7IG8zNcB3a2xw05AWO5fQXpPA/edit?gid=416664440" TargetMode="External"/><Relationship Id="rId6" Type="http://schemas.openxmlformats.org/officeDocument/2006/relationships/hyperlink" Target="https://docs.google.com/spreadsheets/d/1aiPqOxBu0CsQ42-SRw7IG8zNcB3a2xw05AWO5fQXpPA/edit?gid=1355829565" TargetMode="External"/><Relationship Id="rId7" Type="http://schemas.openxmlformats.org/officeDocument/2006/relationships/hyperlink" Target="https://docs.google.com/spreadsheets/d/1aiPqOxBu0CsQ42-SRw7IG8zNcB3a2xw05AWO5fQXpPA/edit?gid=1503107642" TargetMode="External"/><Relationship Id="rId8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YIy-uP7N0LLhVWEj4AZuX8M-MeGycBA_OrQ2fLCZAk/edit?gid=1795121416" TargetMode="External"/><Relationship Id="rId2" Type="http://schemas.openxmlformats.org/officeDocument/2006/relationships/hyperlink" Target="https://docs.google.com/spreadsheets/d/1YYIy-uP7N0LLhVWEj4AZuX8M-MeGycBA_OrQ2fLCZAk/edit?gid=639565466" TargetMode="External"/><Relationship Id="rId3" Type="http://schemas.openxmlformats.org/officeDocument/2006/relationships/hyperlink" Target="https://docs.google.com/spreadsheets/d/1YYIy-uP7N0LLhVWEj4AZuX8M-MeGycBA_OrQ2fLCZAk/edit?gid=98133673" TargetMode="External"/><Relationship Id="rId4" Type="http://schemas.openxmlformats.org/officeDocument/2006/relationships/hyperlink" Target="https://docs.google.com/spreadsheets/d/1YYIy-uP7N0LLhVWEj4AZuX8M-MeGycBA_OrQ2fLCZAk/edit?gid=1272994502" TargetMode="External"/><Relationship Id="rId5" Type="http://schemas.openxmlformats.org/officeDocument/2006/relationships/hyperlink" Target="https://docs.google.com/spreadsheets/d/1YYIy-uP7N0LLhVWEj4AZuX8M-MeGycBA_OrQ2fLCZAk/edit?gid=416664440" TargetMode="External"/><Relationship Id="rId6" Type="http://schemas.openxmlformats.org/officeDocument/2006/relationships/hyperlink" Target="https://docs.google.com/spreadsheets/d/1YYIy-uP7N0LLhVWEj4AZuX8M-MeGycBA_OrQ2fLCZAk/edit?gid=1355829565" TargetMode="External"/><Relationship Id="rId7" Type="http://schemas.openxmlformats.org/officeDocument/2006/relationships/hyperlink" Target="https://docs.google.com/spreadsheets/d/1YYIy-uP7N0LLhVWEj4AZuX8M-MeGycBA_OrQ2fLCZAk/edit?gid=1503107642" TargetMode="External"/><Relationship Id="rId8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t1NBtz8acYi1VNiIJ82CaSXU6GV15RzC0W59a8juH8/edit?gid=1795121416" TargetMode="External"/><Relationship Id="rId2" Type="http://schemas.openxmlformats.org/officeDocument/2006/relationships/hyperlink" Target="https://docs.google.com/spreadsheets/d/1et1NBtz8acYi1VNiIJ82CaSXU6GV15RzC0W59a8juH8/edit?gid=639565466" TargetMode="External"/><Relationship Id="rId3" Type="http://schemas.openxmlformats.org/officeDocument/2006/relationships/hyperlink" Target="https://docs.google.com/spreadsheets/d/1et1NBtz8acYi1VNiIJ82CaSXU6GV15RzC0W59a8juH8/edit?gid=98133673" TargetMode="External"/><Relationship Id="rId4" Type="http://schemas.openxmlformats.org/officeDocument/2006/relationships/hyperlink" Target="https://docs.google.com/spreadsheets/d/1et1NBtz8acYi1VNiIJ82CaSXU6GV15RzC0W59a8juH8/edit?gid=1272994502" TargetMode="External"/><Relationship Id="rId5" Type="http://schemas.openxmlformats.org/officeDocument/2006/relationships/hyperlink" Target="https://docs.google.com/spreadsheets/d/1et1NBtz8acYi1VNiIJ82CaSXU6GV15RzC0W59a8juH8/edit?gid=416664440" TargetMode="External"/><Relationship Id="rId6" Type="http://schemas.openxmlformats.org/officeDocument/2006/relationships/hyperlink" Target="https://docs.google.com/spreadsheets/d/1et1NBtz8acYi1VNiIJ82CaSXU6GV15RzC0W59a8juH8/edit?gid=1355829565" TargetMode="External"/><Relationship Id="rId7" Type="http://schemas.openxmlformats.org/officeDocument/2006/relationships/hyperlink" Target="https://docs.google.com/spreadsheets/d/1et1NBtz8acYi1VNiIJ82CaSXU6GV15RzC0W59a8juH8/edit?gid=1503107642" TargetMode="External"/><Relationship Id="rId8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ahGc-yfZqOkGbjjc4JE-3vt1aRoH-7T7by69N31YfM/edit?gid=1795121416" TargetMode="External"/><Relationship Id="rId2" Type="http://schemas.openxmlformats.org/officeDocument/2006/relationships/hyperlink" Target="https://docs.google.com/spreadsheets/d/1PahGc-yfZqOkGbjjc4JE-3vt1aRoH-7T7by69N31YfM/edit?gid=639565466" TargetMode="External"/><Relationship Id="rId3" Type="http://schemas.openxmlformats.org/officeDocument/2006/relationships/hyperlink" Target="https://docs.google.com/spreadsheets/d/1PahGc-yfZqOkGbjjc4JE-3vt1aRoH-7T7by69N31YfM/edit?gid=98133673" TargetMode="External"/><Relationship Id="rId4" Type="http://schemas.openxmlformats.org/officeDocument/2006/relationships/hyperlink" Target="https://docs.google.com/spreadsheets/d/1PahGc-yfZqOkGbjjc4JE-3vt1aRoH-7T7by69N31YfM/edit?gid=1272994502" TargetMode="External"/><Relationship Id="rId5" Type="http://schemas.openxmlformats.org/officeDocument/2006/relationships/hyperlink" Target="https://docs.google.com/spreadsheets/d/1PahGc-yfZqOkGbjjc4JE-3vt1aRoH-7T7by69N31YfM/edit?gid=416664440" TargetMode="External"/><Relationship Id="rId6" Type="http://schemas.openxmlformats.org/officeDocument/2006/relationships/hyperlink" Target="https://docs.google.com/spreadsheets/d/1PahGc-yfZqOkGbjjc4JE-3vt1aRoH-7T7by69N31YfM/edit?gid=1355829565" TargetMode="External"/><Relationship Id="rId7" Type="http://schemas.openxmlformats.org/officeDocument/2006/relationships/hyperlink" Target="https://docs.google.com/spreadsheets/d/1PahGc-yfZqOkGbjjc4JE-3vt1aRoH-7T7by69N31YfM/edit?gid=1503107642" TargetMode="External"/><Relationship Id="rId8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XVf7annHin8TwcRX5SW60g7tdZQwxUUlXCp2AJVYc/edit?gid=1795121416" TargetMode="External"/><Relationship Id="rId2" Type="http://schemas.openxmlformats.org/officeDocument/2006/relationships/hyperlink" Target="https://docs.google.com/spreadsheets/d/1iXXVf7annHin8TwcRX5SW60g7tdZQwxUUlXCp2AJVYc/edit?gid=639565466" TargetMode="External"/><Relationship Id="rId3" Type="http://schemas.openxmlformats.org/officeDocument/2006/relationships/hyperlink" Target="https://docs.google.com/spreadsheets/d/1iXXVf7annHin8TwcRX5SW60g7tdZQwxUUlXCp2AJVYc/edit?gid=98133673" TargetMode="External"/><Relationship Id="rId4" Type="http://schemas.openxmlformats.org/officeDocument/2006/relationships/hyperlink" Target="https://docs.google.com/spreadsheets/d/1iXXVf7annHin8TwcRX5SW60g7tdZQwxUUlXCp2AJVYc/edit?gid=1272994502" TargetMode="External"/><Relationship Id="rId5" Type="http://schemas.openxmlformats.org/officeDocument/2006/relationships/hyperlink" Target="https://docs.google.com/spreadsheets/d/1iXXVf7annHin8TwcRX5SW60g7tdZQwxUUlXCp2AJVYc/edit?gid=416664440" TargetMode="External"/><Relationship Id="rId6" Type="http://schemas.openxmlformats.org/officeDocument/2006/relationships/hyperlink" Target="https://docs.google.com/spreadsheets/d/1iXXVf7annHin8TwcRX5SW60g7tdZQwxUUlXCp2AJVYc/edit?gid=1355829565" TargetMode="External"/><Relationship Id="rId7" Type="http://schemas.openxmlformats.org/officeDocument/2006/relationships/hyperlink" Target="https://docs.google.com/spreadsheets/d/1iXXVf7annHin8TwcRX5SW60g7tdZQwxUUlXCp2AJVYc/edit?gid=1503107642" TargetMode="External"/><Relationship Id="rId8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Jgwweh9SP6LA4zxAsEgfd86P3k60TYhiLtBQzQT3DQ/edit?gid=1795121416" TargetMode="External"/><Relationship Id="rId2" Type="http://schemas.openxmlformats.org/officeDocument/2006/relationships/hyperlink" Target="https://docs.google.com/spreadsheets/d/1HJgwweh9SP6LA4zxAsEgfd86P3k60TYhiLtBQzQT3DQ/edit?gid=639565466" TargetMode="External"/><Relationship Id="rId3" Type="http://schemas.openxmlformats.org/officeDocument/2006/relationships/hyperlink" Target="https://docs.google.com/spreadsheets/d/1HJgwweh9SP6LA4zxAsEgfd86P3k60TYhiLtBQzQT3DQ/edit?gid=98133673" TargetMode="External"/><Relationship Id="rId4" Type="http://schemas.openxmlformats.org/officeDocument/2006/relationships/hyperlink" Target="https://docs.google.com/spreadsheets/d/1HJgwweh9SP6LA4zxAsEgfd86P3k60TYhiLtBQzQT3DQ/edit?gid=1272994502" TargetMode="External"/><Relationship Id="rId5" Type="http://schemas.openxmlformats.org/officeDocument/2006/relationships/hyperlink" Target="https://docs.google.com/spreadsheets/d/1HJgwweh9SP6LA4zxAsEgfd86P3k60TYhiLtBQzQT3DQ/edit?gid=416664440" TargetMode="External"/><Relationship Id="rId6" Type="http://schemas.openxmlformats.org/officeDocument/2006/relationships/hyperlink" Target="https://docs.google.com/spreadsheets/d/1HJgwweh9SP6LA4zxAsEgfd86P3k60TYhiLtBQzQT3DQ/edit?gid=1355829565" TargetMode="External"/><Relationship Id="rId7" Type="http://schemas.openxmlformats.org/officeDocument/2006/relationships/hyperlink" Target="https://docs.google.com/spreadsheets/d/1HJgwweh9SP6LA4zxAsEgfd86P3k60TYhiLtBQzQT3DQ/edit?gid=1503107642" TargetMode="External"/><Relationship Id="rId8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ShdzpC-3Ee8f5pt92bkhQFjCKNwzXVYZulMQc2L3lk/edit?gid=1795121416" TargetMode="External"/><Relationship Id="rId2" Type="http://schemas.openxmlformats.org/officeDocument/2006/relationships/hyperlink" Target="https://docs.google.com/spreadsheets/d/17ShdzpC-3Ee8f5pt92bkhQFjCKNwzXVYZulMQc2L3lk/edit?gid=639565466" TargetMode="External"/><Relationship Id="rId3" Type="http://schemas.openxmlformats.org/officeDocument/2006/relationships/hyperlink" Target="https://docs.google.com/spreadsheets/d/17ShdzpC-3Ee8f5pt92bkhQFjCKNwzXVYZulMQc2L3lk/edit?gid=98133673" TargetMode="External"/><Relationship Id="rId4" Type="http://schemas.openxmlformats.org/officeDocument/2006/relationships/hyperlink" Target="https://docs.google.com/spreadsheets/d/17ShdzpC-3Ee8f5pt92bkhQFjCKNwzXVYZulMQc2L3lk/edit?gid=1272994502" TargetMode="External"/><Relationship Id="rId5" Type="http://schemas.openxmlformats.org/officeDocument/2006/relationships/hyperlink" Target="https://docs.google.com/spreadsheets/d/17ShdzpC-3Ee8f5pt92bkhQFjCKNwzXVYZulMQc2L3lk/edit?gid=416664440" TargetMode="External"/><Relationship Id="rId6" Type="http://schemas.openxmlformats.org/officeDocument/2006/relationships/hyperlink" Target="https://docs.google.com/spreadsheets/d/17ShdzpC-3Ee8f5pt92bkhQFjCKNwzXVYZulMQc2L3lk/edit?gid=1355829565" TargetMode="External"/><Relationship Id="rId7" Type="http://schemas.openxmlformats.org/officeDocument/2006/relationships/hyperlink" Target="https://docs.google.com/spreadsheets/d/17ShdzpC-3Ee8f5pt92bkhQFjCKNwzXVYZulMQc2L3lk/edit?gid=1503107642" TargetMode="External"/><Relationship Id="rId8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pP-wXKAFkl0IM-PH4zXgnaGWdgp815-xNl5OrSKUCE/edit?gid=1795121416" TargetMode="External"/><Relationship Id="rId2" Type="http://schemas.openxmlformats.org/officeDocument/2006/relationships/hyperlink" Target="https://docs.google.com/spreadsheets/d/1_pP-wXKAFkl0IM-PH4zXgnaGWdgp815-xNl5OrSKUCE/edit?gid=639565466" TargetMode="External"/><Relationship Id="rId3" Type="http://schemas.openxmlformats.org/officeDocument/2006/relationships/hyperlink" Target="https://docs.google.com/spreadsheets/d/1_pP-wXKAFkl0IM-PH4zXgnaGWdgp815-xNl5OrSKUCE/edit?gid=98133673" TargetMode="External"/><Relationship Id="rId4" Type="http://schemas.openxmlformats.org/officeDocument/2006/relationships/hyperlink" Target="https://docs.google.com/spreadsheets/d/1_pP-wXKAFkl0IM-PH4zXgnaGWdgp815-xNl5OrSKUCE/edit?gid=1272994502" TargetMode="External"/><Relationship Id="rId5" Type="http://schemas.openxmlformats.org/officeDocument/2006/relationships/hyperlink" Target="https://docs.google.com/spreadsheets/d/1_pP-wXKAFkl0IM-PH4zXgnaGWdgp815-xNl5OrSKUCE/edit?gid=416664440" TargetMode="External"/><Relationship Id="rId6" Type="http://schemas.openxmlformats.org/officeDocument/2006/relationships/hyperlink" Target="https://docs.google.com/spreadsheets/d/1_pP-wXKAFkl0IM-PH4zXgnaGWdgp815-xNl5OrSKUCE/edit?gid=1355829565" TargetMode="External"/><Relationship Id="rId7" Type="http://schemas.openxmlformats.org/officeDocument/2006/relationships/hyperlink" Target="https://docs.google.com/spreadsheets/d/1_pP-wXKAFkl0IM-PH4zXgnaGWdgp815-xNl5OrSKUCE/edit?gid=1503107642" TargetMode="External"/><Relationship Id="rId8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1-Zx1Z_myjHIu5JEnjiz9vILKoqFdwzbiAcaXtCAA/edit?gid=1795121416" TargetMode="External"/><Relationship Id="rId2" Type="http://schemas.openxmlformats.org/officeDocument/2006/relationships/hyperlink" Target="https://docs.google.com/spreadsheets/d/1x_1-Zx1Z_myjHIu5JEnjiz9vILKoqFdwzbiAcaXtCAA/edit?gid=639565466" TargetMode="External"/><Relationship Id="rId3" Type="http://schemas.openxmlformats.org/officeDocument/2006/relationships/hyperlink" Target="https://docs.google.com/spreadsheets/d/1x_1-Zx1Z_myjHIu5JEnjiz9vILKoqFdwzbiAcaXtCAA/edit?gid=98133673" TargetMode="External"/><Relationship Id="rId4" Type="http://schemas.openxmlformats.org/officeDocument/2006/relationships/hyperlink" Target="https://docs.google.com/spreadsheets/d/1x_1-Zx1Z_myjHIu5JEnjiz9vILKoqFdwzbiAcaXtCAA/edit?gid=1272994502" TargetMode="External"/><Relationship Id="rId5" Type="http://schemas.openxmlformats.org/officeDocument/2006/relationships/hyperlink" Target="https://docs.google.com/spreadsheets/d/1x_1-Zx1Z_myjHIu5JEnjiz9vILKoqFdwzbiAcaXtCAA/edit?gid=416664440" TargetMode="External"/><Relationship Id="rId6" Type="http://schemas.openxmlformats.org/officeDocument/2006/relationships/hyperlink" Target="https://docs.google.com/spreadsheets/d/1x_1-Zx1Z_myjHIu5JEnjiz9vILKoqFdwzbiAcaXtCAA/edit?gid=1355829565" TargetMode="External"/><Relationship Id="rId7" Type="http://schemas.openxmlformats.org/officeDocument/2006/relationships/hyperlink" Target="https://docs.google.com/spreadsheets/d/1x_1-Zx1Z_myjHIu5JEnjiz9vILKoqFdwzbiAcaXtCAA/edit?gid=1503107642" TargetMode="External"/><Relationship Id="rId8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dwiz0ru6WbW_FZWSaGaDUROzg9elThdGncoYFXX83c/edit?gid=1795121416" TargetMode="External"/><Relationship Id="rId2" Type="http://schemas.openxmlformats.org/officeDocument/2006/relationships/hyperlink" Target="https://docs.google.com/spreadsheets/d/1Ydwiz0ru6WbW_FZWSaGaDUROzg9elThdGncoYFXX83c/edit?gid=639565466" TargetMode="External"/><Relationship Id="rId3" Type="http://schemas.openxmlformats.org/officeDocument/2006/relationships/hyperlink" Target="https://docs.google.com/spreadsheets/d/1Ydwiz0ru6WbW_FZWSaGaDUROzg9elThdGncoYFXX83c/edit?gid=98133673" TargetMode="External"/><Relationship Id="rId4" Type="http://schemas.openxmlformats.org/officeDocument/2006/relationships/hyperlink" Target="https://docs.google.com/spreadsheets/d/1Ydwiz0ru6WbW_FZWSaGaDUROzg9elThdGncoYFXX83c/edit?gid=1272994502" TargetMode="External"/><Relationship Id="rId5" Type="http://schemas.openxmlformats.org/officeDocument/2006/relationships/hyperlink" Target="https://docs.google.com/spreadsheets/d/1Ydwiz0ru6WbW_FZWSaGaDUROzg9elThdGncoYFXX83c/edit?gid=416664440" TargetMode="External"/><Relationship Id="rId6" Type="http://schemas.openxmlformats.org/officeDocument/2006/relationships/hyperlink" Target="https://docs.google.com/spreadsheets/d/1Ydwiz0ru6WbW_FZWSaGaDUROzg9elThdGncoYFXX83c/edit?gid=1355829565" TargetMode="External"/><Relationship Id="rId7" Type="http://schemas.openxmlformats.org/officeDocument/2006/relationships/hyperlink" Target="https://docs.google.com/spreadsheets/d/1Ydwiz0ru6WbW_FZWSaGaDUROzg9elThdGncoYFXX83c/edit?gid=1503107642" TargetMode="External"/><Relationship Id="rId8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hqe_3Y74EpYjPLATjzuEV50duVSxums4O82wpLx7qw/edit?gid=1795121416" TargetMode="External"/><Relationship Id="rId2" Type="http://schemas.openxmlformats.org/officeDocument/2006/relationships/hyperlink" Target="https://docs.google.com/spreadsheets/d/1jhqe_3Y74EpYjPLATjzuEV50duVSxums4O82wpLx7qw/edit?gid=639565466" TargetMode="External"/><Relationship Id="rId3" Type="http://schemas.openxmlformats.org/officeDocument/2006/relationships/hyperlink" Target="https://docs.google.com/spreadsheets/d/1jhqe_3Y74EpYjPLATjzuEV50duVSxums4O82wpLx7qw/edit?gid=98133673" TargetMode="External"/><Relationship Id="rId4" Type="http://schemas.openxmlformats.org/officeDocument/2006/relationships/hyperlink" Target="https://docs.google.com/spreadsheets/d/1jhqe_3Y74EpYjPLATjzuEV50duVSxums4O82wpLx7qw/edit?gid=1272994502" TargetMode="External"/><Relationship Id="rId5" Type="http://schemas.openxmlformats.org/officeDocument/2006/relationships/hyperlink" Target="https://docs.google.com/spreadsheets/d/1jhqe_3Y74EpYjPLATjzuEV50duVSxums4O82wpLx7qw/edit?gid=416664440" TargetMode="External"/><Relationship Id="rId6" Type="http://schemas.openxmlformats.org/officeDocument/2006/relationships/hyperlink" Target="https://docs.google.com/spreadsheets/d/1jhqe_3Y74EpYjPLATjzuEV50duVSxums4O82wpLx7qw/edit?gid=1355829565" TargetMode="External"/><Relationship Id="rId7" Type="http://schemas.openxmlformats.org/officeDocument/2006/relationships/hyperlink" Target="https://docs.google.com/spreadsheets/d/1jhqe_3Y74EpYjPLATjzuEV50duVSxums4O82wpLx7qw/edit?gid=1503107642" TargetMode="External"/><Relationship Id="rId8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0MznChYTPSjsTUnmDtrYqxDMEZ3Pe9iXdk2-8d4eMM/edit?gid=1795121416" TargetMode="External"/><Relationship Id="rId2" Type="http://schemas.openxmlformats.org/officeDocument/2006/relationships/hyperlink" Target="https://docs.google.com/spreadsheets/d/160MznChYTPSjsTUnmDtrYqxDMEZ3Pe9iXdk2-8d4eMM/edit?gid=639565466" TargetMode="External"/><Relationship Id="rId3" Type="http://schemas.openxmlformats.org/officeDocument/2006/relationships/hyperlink" Target="https://docs.google.com/spreadsheets/d/160MznChYTPSjsTUnmDtrYqxDMEZ3Pe9iXdk2-8d4eMM/edit?gid=98133673" TargetMode="External"/><Relationship Id="rId4" Type="http://schemas.openxmlformats.org/officeDocument/2006/relationships/hyperlink" Target="https://docs.google.com/spreadsheets/d/160MznChYTPSjsTUnmDtrYqxDMEZ3Pe9iXdk2-8d4eMM/edit?gid=1272994502" TargetMode="External"/><Relationship Id="rId5" Type="http://schemas.openxmlformats.org/officeDocument/2006/relationships/hyperlink" Target="https://docs.google.com/spreadsheets/d/160MznChYTPSjsTUnmDtrYqxDMEZ3Pe9iXdk2-8d4eMM/edit?gid=416664440" TargetMode="External"/><Relationship Id="rId6" Type="http://schemas.openxmlformats.org/officeDocument/2006/relationships/hyperlink" Target="https://docs.google.com/spreadsheets/d/160MznChYTPSjsTUnmDtrYqxDMEZ3Pe9iXdk2-8d4eMM/edit?gid=1355829565" TargetMode="External"/><Relationship Id="rId7" Type="http://schemas.openxmlformats.org/officeDocument/2006/relationships/hyperlink" Target="https://docs.google.com/spreadsheets/d/160MznChYTPSjsTUnmDtrYqxDMEZ3Pe9iXdk2-8d4eMM/edit?gid=1503107642" TargetMode="External"/><Relationship Id="rId8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IA0nGAQ5ZJQT9-877TLDmWHnAEDnkwi4DOUZQleSZM/edit?gid=1795121416" TargetMode="External"/><Relationship Id="rId2" Type="http://schemas.openxmlformats.org/officeDocument/2006/relationships/hyperlink" Target="https://docs.google.com/spreadsheets/d/1lIA0nGAQ5ZJQT9-877TLDmWHnAEDnkwi4DOUZQleSZM/edit?gid=639565466" TargetMode="External"/><Relationship Id="rId3" Type="http://schemas.openxmlformats.org/officeDocument/2006/relationships/hyperlink" Target="https://docs.google.com/spreadsheets/d/1lIA0nGAQ5ZJQT9-877TLDmWHnAEDnkwi4DOUZQleSZM/edit?gid=98133673" TargetMode="External"/><Relationship Id="rId4" Type="http://schemas.openxmlformats.org/officeDocument/2006/relationships/hyperlink" Target="https://docs.google.com/spreadsheets/d/1lIA0nGAQ5ZJQT9-877TLDmWHnAEDnkwi4DOUZQleSZM/edit?gid=1272994502" TargetMode="External"/><Relationship Id="rId5" Type="http://schemas.openxmlformats.org/officeDocument/2006/relationships/hyperlink" Target="https://docs.google.com/spreadsheets/d/1lIA0nGAQ5ZJQT9-877TLDmWHnAEDnkwi4DOUZQleSZM/edit?gid=416664440" TargetMode="External"/><Relationship Id="rId6" Type="http://schemas.openxmlformats.org/officeDocument/2006/relationships/hyperlink" Target="https://docs.google.com/spreadsheets/d/1lIA0nGAQ5ZJQT9-877TLDmWHnAEDnkwi4DOUZQleSZM/edit?gid=1355829565" TargetMode="External"/><Relationship Id="rId7" Type="http://schemas.openxmlformats.org/officeDocument/2006/relationships/hyperlink" Target="https://docs.google.com/spreadsheets/d/1lIA0nGAQ5ZJQT9-877TLDmWHnAEDnkwi4DOUZQleSZM/edit?gid=1503107642" TargetMode="External"/><Relationship Id="rId8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0GiNAyJXSDuyK-NkH57rilQ-D0eyncF-1kUpOXKrYE/edit?gid=1795121416" TargetMode="External"/><Relationship Id="rId2" Type="http://schemas.openxmlformats.org/officeDocument/2006/relationships/hyperlink" Target="https://docs.google.com/spreadsheets/d/1X0GiNAyJXSDuyK-NkH57rilQ-D0eyncF-1kUpOXKrYE/edit?gid=639565466" TargetMode="External"/><Relationship Id="rId3" Type="http://schemas.openxmlformats.org/officeDocument/2006/relationships/hyperlink" Target="https://docs.google.com/spreadsheets/d/1X0GiNAyJXSDuyK-NkH57rilQ-D0eyncF-1kUpOXKrYE/edit?gid=98133673" TargetMode="External"/><Relationship Id="rId4" Type="http://schemas.openxmlformats.org/officeDocument/2006/relationships/hyperlink" Target="https://docs.google.com/spreadsheets/d/1X0GiNAyJXSDuyK-NkH57rilQ-D0eyncF-1kUpOXKrYE/edit?gid=1272994502" TargetMode="External"/><Relationship Id="rId5" Type="http://schemas.openxmlformats.org/officeDocument/2006/relationships/hyperlink" Target="https://docs.google.com/spreadsheets/d/1X0GiNAyJXSDuyK-NkH57rilQ-D0eyncF-1kUpOXKrYE/edit?gid=416664440" TargetMode="External"/><Relationship Id="rId6" Type="http://schemas.openxmlformats.org/officeDocument/2006/relationships/hyperlink" Target="https://docs.google.com/spreadsheets/d/1X0GiNAyJXSDuyK-NkH57rilQ-D0eyncF-1kUpOXKrYE/edit?gid=1355829565" TargetMode="External"/><Relationship Id="rId7" Type="http://schemas.openxmlformats.org/officeDocument/2006/relationships/hyperlink" Target="https://docs.google.com/spreadsheets/d/1X0GiNAyJXSDuyK-NkH57rilQ-D0eyncF-1kUpOXKrYE/edit?gid=1503107642" TargetMode="External"/><Relationship Id="rId8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90a-2h_sEXhAUyxeKSNcVQii6Kbrs4oqOXStaBYJvY/edit?gid=1795121416" TargetMode="External"/><Relationship Id="rId2" Type="http://schemas.openxmlformats.org/officeDocument/2006/relationships/hyperlink" Target="https://docs.google.com/spreadsheets/d/1A90a-2h_sEXhAUyxeKSNcVQii6Kbrs4oqOXStaBYJvY/edit?gid=639565466" TargetMode="External"/><Relationship Id="rId3" Type="http://schemas.openxmlformats.org/officeDocument/2006/relationships/hyperlink" Target="https://docs.google.com/spreadsheets/d/1A90a-2h_sEXhAUyxeKSNcVQii6Kbrs4oqOXStaBYJvY/edit?gid=98133673" TargetMode="External"/><Relationship Id="rId4" Type="http://schemas.openxmlformats.org/officeDocument/2006/relationships/hyperlink" Target="https://docs.google.com/spreadsheets/d/1A90a-2h_sEXhAUyxeKSNcVQii6Kbrs4oqOXStaBYJvY/edit?gid=1272994502" TargetMode="External"/><Relationship Id="rId5" Type="http://schemas.openxmlformats.org/officeDocument/2006/relationships/hyperlink" Target="https://docs.google.com/spreadsheets/d/1A90a-2h_sEXhAUyxeKSNcVQii6Kbrs4oqOXStaBYJvY/edit?gid=416664440" TargetMode="External"/><Relationship Id="rId6" Type="http://schemas.openxmlformats.org/officeDocument/2006/relationships/hyperlink" Target="https://docs.google.com/spreadsheets/d/1A90a-2h_sEXhAUyxeKSNcVQii6Kbrs4oqOXStaBYJvY/edit?gid=1355829565" TargetMode="External"/><Relationship Id="rId7" Type="http://schemas.openxmlformats.org/officeDocument/2006/relationships/hyperlink" Target="https://docs.google.com/spreadsheets/d/1A90a-2h_sEXhAUyxeKSNcVQii6Kbrs4oqOXStaBYJvY/edit?gid=1503107642" TargetMode="External"/><Relationship Id="rId8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V4-h2mIlgJX3BgKjEZo18HCaqCSWeMGotBcgHa8a_A/edit?gid=1795121416" TargetMode="External"/><Relationship Id="rId2" Type="http://schemas.openxmlformats.org/officeDocument/2006/relationships/hyperlink" Target="https://docs.google.com/spreadsheets/d/1QV4-h2mIlgJX3BgKjEZo18HCaqCSWeMGotBcgHa8a_A/edit?gid=639565466" TargetMode="External"/><Relationship Id="rId3" Type="http://schemas.openxmlformats.org/officeDocument/2006/relationships/hyperlink" Target="https://docs.google.com/spreadsheets/d/1QV4-h2mIlgJX3BgKjEZo18HCaqCSWeMGotBcgHa8a_A/edit?gid=98133673" TargetMode="External"/><Relationship Id="rId4" Type="http://schemas.openxmlformats.org/officeDocument/2006/relationships/hyperlink" Target="https://docs.google.com/spreadsheets/d/1QV4-h2mIlgJX3BgKjEZo18HCaqCSWeMGotBcgHa8a_A/edit?gid=1272994502" TargetMode="External"/><Relationship Id="rId5" Type="http://schemas.openxmlformats.org/officeDocument/2006/relationships/hyperlink" Target="https://docs.google.com/spreadsheets/d/1QV4-h2mIlgJX3BgKjEZo18HCaqCSWeMGotBcgHa8a_A/edit?gid=416664440" TargetMode="External"/><Relationship Id="rId6" Type="http://schemas.openxmlformats.org/officeDocument/2006/relationships/hyperlink" Target="https://docs.google.com/spreadsheets/d/1QV4-h2mIlgJX3BgKjEZo18HCaqCSWeMGotBcgHa8a_A/edit?gid=1355829565" TargetMode="External"/><Relationship Id="rId7" Type="http://schemas.openxmlformats.org/officeDocument/2006/relationships/hyperlink" Target="https://docs.google.com/spreadsheets/d/1QV4-h2mIlgJX3BgKjEZo18HCaqCSWeMGotBcgHa8a_A/edit?gid=1503107642" TargetMode="External"/><Relationship Id="rId8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1HrpWk4f1eOAcHGA0uRUp8VTC-WL0tOOmhvdLHuDr0/edit?gid=1795121416" TargetMode="External"/><Relationship Id="rId2" Type="http://schemas.openxmlformats.org/officeDocument/2006/relationships/hyperlink" Target="https://docs.google.com/spreadsheets/d/1N1HrpWk4f1eOAcHGA0uRUp8VTC-WL0tOOmhvdLHuDr0/edit?gid=639565466" TargetMode="External"/><Relationship Id="rId3" Type="http://schemas.openxmlformats.org/officeDocument/2006/relationships/hyperlink" Target="https://docs.google.com/spreadsheets/d/1N1HrpWk4f1eOAcHGA0uRUp8VTC-WL0tOOmhvdLHuDr0/edit?gid=98133673" TargetMode="External"/><Relationship Id="rId4" Type="http://schemas.openxmlformats.org/officeDocument/2006/relationships/hyperlink" Target="https://docs.google.com/spreadsheets/d/1N1HrpWk4f1eOAcHGA0uRUp8VTC-WL0tOOmhvdLHuDr0/edit?gid=1272994502" TargetMode="External"/><Relationship Id="rId5" Type="http://schemas.openxmlformats.org/officeDocument/2006/relationships/hyperlink" Target="https://docs.google.com/spreadsheets/d/1N1HrpWk4f1eOAcHGA0uRUp8VTC-WL0tOOmhvdLHuDr0/edit?gid=416664440" TargetMode="External"/><Relationship Id="rId6" Type="http://schemas.openxmlformats.org/officeDocument/2006/relationships/hyperlink" Target="https://docs.google.com/spreadsheets/d/1N1HrpWk4f1eOAcHGA0uRUp8VTC-WL0tOOmhvdLHuDr0/edit?gid=1355829565" TargetMode="External"/><Relationship Id="rId7" Type="http://schemas.openxmlformats.org/officeDocument/2006/relationships/hyperlink" Target="https://docs.google.com/spreadsheets/d/1N1HrpWk4f1eOAcHGA0uRUp8VTC-WL0tOOmhvdLHuDr0/edit?gid=1503107642" TargetMode="External"/><Relationship Id="rId8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ut_piptsdvqjTtC6qPmNDGMcHQkctENDPt0rykDwmY/edit?gid=1795121416" TargetMode="External"/><Relationship Id="rId2" Type="http://schemas.openxmlformats.org/officeDocument/2006/relationships/hyperlink" Target="https://docs.google.com/spreadsheets/d/17ut_piptsdvqjTtC6qPmNDGMcHQkctENDPt0rykDwmY/edit?gid=639565466" TargetMode="External"/><Relationship Id="rId3" Type="http://schemas.openxmlformats.org/officeDocument/2006/relationships/hyperlink" Target="https://docs.google.com/spreadsheets/d/17ut_piptsdvqjTtC6qPmNDGMcHQkctENDPt0rykDwmY/edit?gid=98133673" TargetMode="External"/><Relationship Id="rId4" Type="http://schemas.openxmlformats.org/officeDocument/2006/relationships/hyperlink" Target="https://docs.google.com/spreadsheets/d/17ut_piptsdvqjTtC6qPmNDGMcHQkctENDPt0rykDwmY/edit?gid=1272994502" TargetMode="External"/><Relationship Id="rId5" Type="http://schemas.openxmlformats.org/officeDocument/2006/relationships/hyperlink" Target="https://docs.google.com/spreadsheets/d/17ut_piptsdvqjTtC6qPmNDGMcHQkctENDPt0rykDwmY/edit?gid=416664440" TargetMode="External"/><Relationship Id="rId6" Type="http://schemas.openxmlformats.org/officeDocument/2006/relationships/hyperlink" Target="https://docs.google.com/spreadsheets/d/17ut_piptsdvqjTtC6qPmNDGMcHQkctENDPt0rykDwmY/edit?gid=1355829565" TargetMode="External"/><Relationship Id="rId7" Type="http://schemas.openxmlformats.org/officeDocument/2006/relationships/hyperlink" Target="https://docs.google.com/spreadsheets/d/17ut_piptsdvqjTtC6qPmNDGMcHQkctENDPt0rykDwmY/edit?gid=1503107642" TargetMode="External"/><Relationship Id="rId8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36W9uHN2PGqfY3DzeZQeuMMIXde-lCBTlloe4Ly_I8/edit?gid=1795121416" TargetMode="External"/><Relationship Id="rId2" Type="http://schemas.openxmlformats.org/officeDocument/2006/relationships/hyperlink" Target="https://docs.google.com/spreadsheets/d/1r36W9uHN2PGqfY3DzeZQeuMMIXde-lCBTlloe4Ly_I8/edit?gid=639565466" TargetMode="External"/><Relationship Id="rId3" Type="http://schemas.openxmlformats.org/officeDocument/2006/relationships/hyperlink" Target="https://docs.google.com/spreadsheets/d/1r36W9uHN2PGqfY3DzeZQeuMMIXde-lCBTlloe4Ly_I8/edit?gid=98133673" TargetMode="External"/><Relationship Id="rId4" Type="http://schemas.openxmlformats.org/officeDocument/2006/relationships/hyperlink" Target="https://docs.google.com/spreadsheets/d/1r36W9uHN2PGqfY3DzeZQeuMMIXde-lCBTlloe4Ly_I8/edit?gid=1272994502" TargetMode="External"/><Relationship Id="rId5" Type="http://schemas.openxmlformats.org/officeDocument/2006/relationships/hyperlink" Target="https://docs.google.com/spreadsheets/d/1r36W9uHN2PGqfY3DzeZQeuMMIXde-lCBTlloe4Ly_I8/edit?gid=416664440" TargetMode="External"/><Relationship Id="rId6" Type="http://schemas.openxmlformats.org/officeDocument/2006/relationships/hyperlink" Target="https://docs.google.com/spreadsheets/d/1r36W9uHN2PGqfY3DzeZQeuMMIXde-lCBTlloe4Ly_I8/edit?gid=1355829565" TargetMode="External"/><Relationship Id="rId7" Type="http://schemas.openxmlformats.org/officeDocument/2006/relationships/hyperlink" Target="https://docs.google.com/spreadsheets/d/1r36W9uHN2PGqfY3DzeZQeuMMIXde-lCBTlloe4Ly_I8/edit?gid=1503107642" TargetMode="External"/><Relationship Id="rId8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Mp2J0fMUqV4SDZWhAlRrS9jgfD8zGC3xLh5nSVHyDo/edit?gid=1795121416" TargetMode="External"/><Relationship Id="rId2" Type="http://schemas.openxmlformats.org/officeDocument/2006/relationships/hyperlink" Target="https://docs.google.com/spreadsheets/d/17Mp2J0fMUqV4SDZWhAlRrS9jgfD8zGC3xLh5nSVHyDo/edit?gid=639565466" TargetMode="External"/><Relationship Id="rId3" Type="http://schemas.openxmlformats.org/officeDocument/2006/relationships/hyperlink" Target="https://docs.google.com/spreadsheets/d/17Mp2J0fMUqV4SDZWhAlRrS9jgfD8zGC3xLh5nSVHyDo/edit?gid=98133673" TargetMode="External"/><Relationship Id="rId4" Type="http://schemas.openxmlformats.org/officeDocument/2006/relationships/hyperlink" Target="https://docs.google.com/spreadsheets/d/17Mp2J0fMUqV4SDZWhAlRrS9jgfD8zGC3xLh5nSVHyDo/edit?gid=1272994502" TargetMode="External"/><Relationship Id="rId5" Type="http://schemas.openxmlformats.org/officeDocument/2006/relationships/hyperlink" Target="https://docs.google.com/spreadsheets/d/17Mp2J0fMUqV4SDZWhAlRrS9jgfD8zGC3xLh5nSVHyDo/edit?gid=416664440" TargetMode="External"/><Relationship Id="rId6" Type="http://schemas.openxmlformats.org/officeDocument/2006/relationships/hyperlink" Target="https://docs.google.com/spreadsheets/d/17Mp2J0fMUqV4SDZWhAlRrS9jgfD8zGC3xLh5nSVHyDo/edit?gid=1355829565" TargetMode="External"/><Relationship Id="rId7" Type="http://schemas.openxmlformats.org/officeDocument/2006/relationships/hyperlink" Target="https://docs.google.com/spreadsheets/d/17Mp2J0fMUqV4SDZWhAlRrS9jgfD8zGC3xLh5nSVHyDo/edit?gid=1503107642" TargetMode="External"/><Relationship Id="rId8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wou3it559XmXMdseiQnxQS7O5ffizQa0-dmSdSJYhM/edit?gid=1795121416" TargetMode="External"/><Relationship Id="rId2" Type="http://schemas.openxmlformats.org/officeDocument/2006/relationships/hyperlink" Target="https://docs.google.com/spreadsheets/d/1uwou3it559XmXMdseiQnxQS7O5ffizQa0-dmSdSJYhM/edit?gid=639565466" TargetMode="External"/><Relationship Id="rId3" Type="http://schemas.openxmlformats.org/officeDocument/2006/relationships/hyperlink" Target="https://docs.google.com/spreadsheets/d/1uwou3it559XmXMdseiQnxQS7O5ffizQa0-dmSdSJYhM/edit?gid=98133673" TargetMode="External"/><Relationship Id="rId4" Type="http://schemas.openxmlformats.org/officeDocument/2006/relationships/hyperlink" Target="https://docs.google.com/spreadsheets/d/1uwou3it559XmXMdseiQnxQS7O5ffizQa0-dmSdSJYhM/edit?gid=1272994502" TargetMode="External"/><Relationship Id="rId5" Type="http://schemas.openxmlformats.org/officeDocument/2006/relationships/hyperlink" Target="https://docs.google.com/spreadsheets/d/1uwou3it559XmXMdseiQnxQS7O5ffizQa0-dmSdSJYhM/edit?gid=416664440" TargetMode="External"/><Relationship Id="rId6" Type="http://schemas.openxmlformats.org/officeDocument/2006/relationships/hyperlink" Target="https://docs.google.com/spreadsheets/d/1uwou3it559XmXMdseiQnxQS7O5ffizQa0-dmSdSJYhM/edit?gid=1355829565" TargetMode="External"/><Relationship Id="rId7" Type="http://schemas.openxmlformats.org/officeDocument/2006/relationships/hyperlink" Target="https://docs.google.com/spreadsheets/d/1uwou3it559XmXMdseiQnxQS7O5ffizQa0-dmSdSJYhM/edit?gid=1503107642" TargetMode="External"/><Relationship Id="rId8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wou3it559XmXMdseiQnxQS7O5ffizQa0-dmSdSJYhM/edit?gid=1795121416" TargetMode="External"/><Relationship Id="rId2" Type="http://schemas.openxmlformats.org/officeDocument/2006/relationships/hyperlink" Target="https://docs.google.com/spreadsheets/d/1uwou3it559XmXMdseiQnxQS7O5ffizQa0-dmSdSJYhM/edit?gid=639565466" TargetMode="External"/><Relationship Id="rId3" Type="http://schemas.openxmlformats.org/officeDocument/2006/relationships/hyperlink" Target="https://docs.google.com/spreadsheets/d/1uwou3it559XmXMdseiQnxQS7O5ffizQa0-dmSdSJYhM/edit?gid=98133673" TargetMode="External"/><Relationship Id="rId4" Type="http://schemas.openxmlformats.org/officeDocument/2006/relationships/hyperlink" Target="https://docs.google.com/spreadsheets/d/1uwou3it559XmXMdseiQnxQS7O5ffizQa0-dmSdSJYhM/edit?gid=1272994502" TargetMode="External"/><Relationship Id="rId5" Type="http://schemas.openxmlformats.org/officeDocument/2006/relationships/hyperlink" Target="https://docs.google.com/spreadsheets/d/1uwou3it559XmXMdseiQnxQS7O5ffizQa0-dmSdSJYhM/edit?gid=416664440" TargetMode="External"/><Relationship Id="rId6" Type="http://schemas.openxmlformats.org/officeDocument/2006/relationships/hyperlink" Target="https://docs.google.com/spreadsheets/d/1uwou3it559XmXMdseiQnxQS7O5ffizQa0-dmSdSJYhM/edit?gid=1355829565" TargetMode="External"/><Relationship Id="rId7" Type="http://schemas.openxmlformats.org/officeDocument/2006/relationships/hyperlink" Target="https://docs.google.com/spreadsheets/d/1uwou3it559XmXMdseiQnxQS7O5ffizQa0-dmSdSJYhM/edit?gid=1503107642" TargetMode="External"/><Relationship Id="rId8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Lwks0KRTvGk-A3Y85mC5GtAIBwueAzaKYmpcN30uZ0/edit?gid=1795121416" TargetMode="External"/><Relationship Id="rId2" Type="http://schemas.openxmlformats.org/officeDocument/2006/relationships/hyperlink" Target="https://docs.google.com/spreadsheets/d/1_Lwks0KRTvGk-A3Y85mC5GtAIBwueAzaKYmpcN30uZ0/edit?gid=639565466" TargetMode="External"/><Relationship Id="rId3" Type="http://schemas.openxmlformats.org/officeDocument/2006/relationships/hyperlink" Target="https://docs.google.com/spreadsheets/d/1_Lwks0KRTvGk-A3Y85mC5GtAIBwueAzaKYmpcN30uZ0/edit?gid=98133673" TargetMode="External"/><Relationship Id="rId4" Type="http://schemas.openxmlformats.org/officeDocument/2006/relationships/hyperlink" Target="https://docs.google.com/spreadsheets/d/1_Lwks0KRTvGk-A3Y85mC5GtAIBwueAzaKYmpcN30uZ0/edit?gid=1272994502" TargetMode="External"/><Relationship Id="rId5" Type="http://schemas.openxmlformats.org/officeDocument/2006/relationships/hyperlink" Target="https://docs.google.com/spreadsheets/d/1_Lwks0KRTvGk-A3Y85mC5GtAIBwueAzaKYmpcN30uZ0/edit?gid=416664440" TargetMode="External"/><Relationship Id="rId6" Type="http://schemas.openxmlformats.org/officeDocument/2006/relationships/hyperlink" Target="https://docs.google.com/spreadsheets/d/1_Lwks0KRTvGk-A3Y85mC5GtAIBwueAzaKYmpcN30uZ0/edit?gid=1355829565" TargetMode="External"/><Relationship Id="rId7" Type="http://schemas.openxmlformats.org/officeDocument/2006/relationships/hyperlink" Target="https://docs.google.com/spreadsheets/d/1_Lwks0KRTvGk-A3Y85mC5GtAIBwueAzaKYmpcN30uZ0/edit?gid=1503107642" TargetMode="External"/><Relationship Id="rId8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-0JQP4_2QL--B7ozgbLkQg4bsmo0TL_ugoGOf1tHyc/edit?gid=1795121416" TargetMode="External"/><Relationship Id="rId2" Type="http://schemas.openxmlformats.org/officeDocument/2006/relationships/hyperlink" Target="https://docs.google.com/spreadsheets/d/1e-0JQP4_2QL--B7ozgbLkQg4bsmo0TL_ugoGOf1tHyc/edit?gid=639565466" TargetMode="External"/><Relationship Id="rId3" Type="http://schemas.openxmlformats.org/officeDocument/2006/relationships/hyperlink" Target="https://docs.google.com/spreadsheets/d/1e-0JQP4_2QL--B7ozgbLkQg4bsmo0TL_ugoGOf1tHyc/edit?gid=98133673" TargetMode="External"/><Relationship Id="rId4" Type="http://schemas.openxmlformats.org/officeDocument/2006/relationships/hyperlink" Target="https://docs.google.com/spreadsheets/d/1e-0JQP4_2QL--B7ozgbLkQg4bsmo0TL_ugoGOf1tHyc/edit?gid=1272994502" TargetMode="External"/><Relationship Id="rId5" Type="http://schemas.openxmlformats.org/officeDocument/2006/relationships/hyperlink" Target="https://docs.google.com/spreadsheets/d/1e-0JQP4_2QL--B7ozgbLkQg4bsmo0TL_ugoGOf1tHyc/edit?gid=416664440" TargetMode="External"/><Relationship Id="rId6" Type="http://schemas.openxmlformats.org/officeDocument/2006/relationships/hyperlink" Target="https://docs.google.com/spreadsheets/d/1e-0JQP4_2QL--B7ozgbLkQg4bsmo0TL_ugoGOf1tHyc/edit?gid=1355829565" TargetMode="External"/><Relationship Id="rId7" Type="http://schemas.openxmlformats.org/officeDocument/2006/relationships/hyperlink" Target="https://docs.google.com/spreadsheets/d/1e-0JQP4_2QL--B7ozgbLkQg4bsmo0TL_ugoGOf1tHyc/edit?gid=1503107642" TargetMode="External"/><Relationship Id="rId8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0g0NUQQGz1jg8CerXrjs77oAiEz4QdhuXqOwHQDN0/edit?gid=1795121416" TargetMode="External"/><Relationship Id="rId2" Type="http://schemas.openxmlformats.org/officeDocument/2006/relationships/hyperlink" Target="https://docs.google.com/spreadsheets/d/1bF0g0NUQQGz1jg8CerXrjs77oAiEz4QdhuXqOwHQDN0/edit?gid=639565466" TargetMode="External"/><Relationship Id="rId3" Type="http://schemas.openxmlformats.org/officeDocument/2006/relationships/hyperlink" Target="https://docs.google.com/spreadsheets/d/1bF0g0NUQQGz1jg8CerXrjs77oAiEz4QdhuXqOwHQDN0/edit?gid=98133673" TargetMode="External"/><Relationship Id="rId4" Type="http://schemas.openxmlformats.org/officeDocument/2006/relationships/hyperlink" Target="https://docs.google.com/spreadsheets/d/1bF0g0NUQQGz1jg8CerXrjs77oAiEz4QdhuXqOwHQDN0/edit?gid=1272994502" TargetMode="External"/><Relationship Id="rId5" Type="http://schemas.openxmlformats.org/officeDocument/2006/relationships/hyperlink" Target="https://docs.google.com/spreadsheets/d/1bF0g0NUQQGz1jg8CerXrjs77oAiEz4QdhuXqOwHQDN0/edit?gid=416664440" TargetMode="External"/><Relationship Id="rId6" Type="http://schemas.openxmlformats.org/officeDocument/2006/relationships/hyperlink" Target="https://docs.google.com/spreadsheets/d/1bF0g0NUQQGz1jg8CerXrjs77oAiEz4QdhuXqOwHQDN0/edit?gid=1355829565" TargetMode="External"/><Relationship Id="rId7" Type="http://schemas.openxmlformats.org/officeDocument/2006/relationships/hyperlink" Target="https://docs.google.com/spreadsheets/d/1bF0g0NUQQGz1jg8CerXrjs77oAiEz4QdhuXqOwHQDN0/edit?gid=1503107642" TargetMode="External"/><Relationship Id="rId8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bRHodiU4jX8p--dPE6lnZl4bmDnCQsR6EdHe84S1Rk/edit" TargetMode="External"/><Relationship Id="rId2" Type="http://schemas.openxmlformats.org/officeDocument/2006/relationships/hyperlink" Target="https://docs.google.com/spreadsheets/d/1lbRHodiU4jX8p--dPE6lnZl4bmDnCQsR6EdHe84S1Rk/edit" TargetMode="External"/><Relationship Id="rId3" Type="http://schemas.openxmlformats.org/officeDocument/2006/relationships/hyperlink" Target="https://docs.google.com/spreadsheets/d/1lbRHodiU4jX8p--dPE6lnZl4bmDnCQsR6EdHe84S1Rk/edit" TargetMode="External"/><Relationship Id="rId4" Type="http://schemas.openxmlformats.org/officeDocument/2006/relationships/hyperlink" Target="https://docs.google.com/spreadsheets/d/1lbRHodiU4jX8p--dPE6lnZl4bmDnCQsR6EdHe84S1Rk/edit" TargetMode="External"/><Relationship Id="rId5" Type="http://schemas.openxmlformats.org/officeDocument/2006/relationships/hyperlink" Target="https://docs.google.com/spreadsheets/d/1lbRHodiU4jX8p--dPE6lnZl4bmDnCQsR6EdHe84S1Rk/edit" TargetMode="External"/><Relationship Id="rId6" Type="http://schemas.openxmlformats.org/officeDocument/2006/relationships/hyperlink" Target="https://docs.google.com/spreadsheets/d/1lbRHodiU4jX8p--dPE6lnZl4bmDnCQsR6EdHe84S1Rk/edit" TargetMode="External"/><Relationship Id="rId7" Type="http://schemas.openxmlformats.org/officeDocument/2006/relationships/hyperlink" Target="https://docs.google.com/spreadsheets/d/1lbRHodiU4jX8p--dPE6lnZl4bmDnCQsR6EdHe84S1Rk/edit" TargetMode="External"/><Relationship Id="rId8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R9BzmEE_Oph-l5zBvNOqFcYFNHWI9ApjIaCS9GxRGQ/edit" TargetMode="External"/><Relationship Id="rId2" Type="http://schemas.openxmlformats.org/officeDocument/2006/relationships/hyperlink" Target="https://docs.google.com/spreadsheets/d/1UR9BzmEE_Oph-l5zBvNOqFcYFNHWI9ApjIaCS9GxRGQ/edit" TargetMode="External"/><Relationship Id="rId3" Type="http://schemas.openxmlformats.org/officeDocument/2006/relationships/hyperlink" Target="https://docs.google.com/spreadsheets/d/1UR9BzmEE_Oph-l5zBvNOqFcYFNHWI9ApjIaCS9GxRGQ/edit" TargetMode="External"/><Relationship Id="rId4" Type="http://schemas.openxmlformats.org/officeDocument/2006/relationships/hyperlink" Target="https://docs.google.com/spreadsheets/d/1UR9BzmEE_Oph-l5zBvNOqFcYFNHWI9ApjIaCS9GxRGQ/edit" TargetMode="External"/><Relationship Id="rId5" Type="http://schemas.openxmlformats.org/officeDocument/2006/relationships/hyperlink" Target="https://docs.google.com/spreadsheets/d/1UR9BzmEE_Oph-l5zBvNOqFcYFNHWI9ApjIaCS9GxRGQ/edit" TargetMode="External"/><Relationship Id="rId6" Type="http://schemas.openxmlformats.org/officeDocument/2006/relationships/hyperlink" Target="https://docs.google.com/spreadsheets/d/1UR9BzmEE_Oph-l5zBvNOqFcYFNHWI9ApjIaCS9GxRGQ/edit" TargetMode="External"/><Relationship Id="rId7" Type="http://schemas.openxmlformats.org/officeDocument/2006/relationships/hyperlink" Target="https://docs.google.com/spreadsheets/d/1UR9BzmEE_Oph-l5zBvNOqFcYFNHWI9ApjIaCS9GxRGQ/edit" TargetMode="External"/><Relationship Id="rId8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ANpW6wt09iOytF_9cydQLuF53tvL_xW-jl2e_yurAU/edit" TargetMode="External"/><Relationship Id="rId2" Type="http://schemas.openxmlformats.org/officeDocument/2006/relationships/hyperlink" Target="https://docs.google.com/spreadsheets/d/11ANpW6wt09iOytF_9cydQLuF53tvL_xW-jl2e_yurAU/edit" TargetMode="External"/><Relationship Id="rId3" Type="http://schemas.openxmlformats.org/officeDocument/2006/relationships/hyperlink" Target="https://docs.google.com/spreadsheets/d/11ANpW6wt09iOytF_9cydQLuF53tvL_xW-jl2e_yurAU/edit" TargetMode="External"/><Relationship Id="rId4" Type="http://schemas.openxmlformats.org/officeDocument/2006/relationships/hyperlink" Target="https://docs.google.com/spreadsheets/d/11ANpW6wt09iOytF_9cydQLuF53tvL_xW-jl2e_yurAU/edit" TargetMode="External"/><Relationship Id="rId5" Type="http://schemas.openxmlformats.org/officeDocument/2006/relationships/hyperlink" Target="https://docs.google.com/spreadsheets/d/11ANpW6wt09iOytF_9cydQLuF53tvL_xW-jl2e_yurAU/edit" TargetMode="External"/><Relationship Id="rId6" Type="http://schemas.openxmlformats.org/officeDocument/2006/relationships/hyperlink" Target="https://docs.google.com/spreadsheets/d/11ANpW6wt09iOytF_9cydQLuF53tvL_xW-jl2e_yurAU/edit" TargetMode="External"/><Relationship Id="rId7" Type="http://schemas.openxmlformats.org/officeDocument/2006/relationships/hyperlink" Target="https://docs.google.com/spreadsheets/d/11ANpW6wt09iOytF_9cydQLuF53tvL_xW-jl2e_yurAU/edit" TargetMode="External"/><Relationship Id="rId8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otxMDNzhsaAroNwL6Bh8jNX0d7RzTUQk8Ahpx216-Q/edit" TargetMode="External"/><Relationship Id="rId2" Type="http://schemas.openxmlformats.org/officeDocument/2006/relationships/hyperlink" Target="https://docs.google.com/spreadsheets/d/17otxMDNzhsaAroNwL6Bh8jNX0d7RzTUQk8Ahpx216-Q/edit" TargetMode="External"/><Relationship Id="rId3" Type="http://schemas.openxmlformats.org/officeDocument/2006/relationships/hyperlink" Target="https://docs.google.com/spreadsheets/d/17otxMDNzhsaAroNwL6Bh8jNX0d7RzTUQk8Ahpx216-Q/edit" TargetMode="External"/><Relationship Id="rId4" Type="http://schemas.openxmlformats.org/officeDocument/2006/relationships/hyperlink" Target="https://docs.google.com/spreadsheets/d/17otxMDNzhsaAroNwL6Bh8jNX0d7RzTUQk8Ahpx216-Q/edit" TargetMode="External"/><Relationship Id="rId5" Type="http://schemas.openxmlformats.org/officeDocument/2006/relationships/hyperlink" Target="https://docs.google.com/spreadsheets/d/17otxMDNzhsaAroNwL6Bh8jNX0d7RzTUQk8Ahpx216-Q/edit" TargetMode="External"/><Relationship Id="rId6" Type="http://schemas.openxmlformats.org/officeDocument/2006/relationships/hyperlink" Target="https://docs.google.com/spreadsheets/d/17otxMDNzhsaAroNwL6Bh8jNX0d7RzTUQk8Ahpx216-Q/edit" TargetMode="External"/><Relationship Id="rId7" Type="http://schemas.openxmlformats.org/officeDocument/2006/relationships/hyperlink" Target="https://docs.google.com/spreadsheets/d/17otxMDNzhsaAroNwL6Bh8jNX0d7RzTUQk8Ahpx216-Q/edit" TargetMode="External"/><Relationship Id="rId8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98Ox9UZncN_GM-ZB2YG2m7m56P57Dy-_JLLn14SOqs/edit" TargetMode="External"/><Relationship Id="rId2" Type="http://schemas.openxmlformats.org/officeDocument/2006/relationships/hyperlink" Target="https://docs.google.com/spreadsheets/d/1W98Ox9UZncN_GM-ZB2YG2m7m56P57Dy-_JLLn14SOqs/edit" TargetMode="External"/><Relationship Id="rId3" Type="http://schemas.openxmlformats.org/officeDocument/2006/relationships/hyperlink" Target="https://docs.google.com/spreadsheets/d/1W98Ox9UZncN_GM-ZB2YG2m7m56P57Dy-_JLLn14SOqs/edit" TargetMode="External"/><Relationship Id="rId4" Type="http://schemas.openxmlformats.org/officeDocument/2006/relationships/hyperlink" Target="https://docs.google.com/spreadsheets/d/1W98Ox9UZncN_GM-ZB2YG2m7m56P57Dy-_JLLn14SOqs/edit" TargetMode="External"/><Relationship Id="rId5" Type="http://schemas.openxmlformats.org/officeDocument/2006/relationships/hyperlink" Target="https://docs.google.com/spreadsheets/d/1W98Ox9UZncN_GM-ZB2YG2m7m56P57Dy-_JLLn14SOqs/edit" TargetMode="External"/><Relationship Id="rId6" Type="http://schemas.openxmlformats.org/officeDocument/2006/relationships/hyperlink" Target="https://docs.google.com/spreadsheets/d/1W98Ox9UZncN_GM-ZB2YG2m7m56P57Dy-_JLLn14SOqs/edit" TargetMode="External"/><Relationship Id="rId7" Type="http://schemas.openxmlformats.org/officeDocument/2006/relationships/hyperlink" Target="https://docs.google.com/spreadsheets/d/1W98Ox9UZncN_GM-ZB2YG2m7m56P57Dy-_JLLn14SOqs/edit" TargetMode="External"/><Relationship Id="rId8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OMWzcxFSuUHvDQrtRrlrDDyDRUpLL_cy6LpzsVrqRc/edit" TargetMode="External"/><Relationship Id="rId2" Type="http://schemas.openxmlformats.org/officeDocument/2006/relationships/hyperlink" Target="https://docs.google.com/spreadsheets/d/1KOMWzcxFSuUHvDQrtRrlrDDyDRUpLL_cy6LpzsVrqRc/edit" TargetMode="External"/><Relationship Id="rId3" Type="http://schemas.openxmlformats.org/officeDocument/2006/relationships/hyperlink" Target="https://docs.google.com/spreadsheets/d/1KOMWzcxFSuUHvDQrtRrlrDDyDRUpLL_cy6LpzsVrqRc/edit" TargetMode="External"/><Relationship Id="rId4" Type="http://schemas.openxmlformats.org/officeDocument/2006/relationships/hyperlink" Target="https://docs.google.com/spreadsheets/d/1KOMWzcxFSuUHvDQrtRrlrDDyDRUpLL_cy6LpzsVrqRc/edit" TargetMode="External"/><Relationship Id="rId5" Type="http://schemas.openxmlformats.org/officeDocument/2006/relationships/hyperlink" Target="https://docs.google.com/spreadsheets/d/1KOMWzcxFSuUHvDQrtRrlrDDyDRUpLL_cy6LpzsVrqRc/edit" TargetMode="External"/><Relationship Id="rId6" Type="http://schemas.openxmlformats.org/officeDocument/2006/relationships/hyperlink" Target="https://docs.google.com/spreadsheets/d/1KOMWzcxFSuUHvDQrtRrlrDDyDRUpLL_cy6LpzsVrqRc/edit" TargetMode="External"/><Relationship Id="rId7" Type="http://schemas.openxmlformats.org/officeDocument/2006/relationships/hyperlink" Target="https://docs.google.com/spreadsheets/d/1KOMWzcxFSuUHvDQrtRrlrDDyDRUpLL_cy6LpzsVrqRc/edit" TargetMode="External"/><Relationship Id="rId8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H9HKXeJ99B8eBmqm5YEZ-_7vvxAvErwZ7avVXO2at8/edit" TargetMode="External"/><Relationship Id="rId2" Type="http://schemas.openxmlformats.org/officeDocument/2006/relationships/hyperlink" Target="https://docs.google.com/spreadsheets/d/13H9HKXeJ99B8eBmqm5YEZ-_7vvxAvErwZ7avVXO2at8/edit" TargetMode="External"/><Relationship Id="rId3" Type="http://schemas.openxmlformats.org/officeDocument/2006/relationships/hyperlink" Target="https://docs.google.com/spreadsheets/d/13H9HKXeJ99B8eBmqm5YEZ-_7vvxAvErwZ7avVXO2at8/edit" TargetMode="External"/><Relationship Id="rId4" Type="http://schemas.openxmlformats.org/officeDocument/2006/relationships/hyperlink" Target="https://docs.google.com/spreadsheets/d/13H9HKXeJ99B8eBmqm5YEZ-_7vvxAvErwZ7avVXO2at8/edit" TargetMode="External"/><Relationship Id="rId5" Type="http://schemas.openxmlformats.org/officeDocument/2006/relationships/hyperlink" Target="https://docs.google.com/spreadsheets/d/13H9HKXeJ99B8eBmqm5YEZ-_7vvxAvErwZ7avVXO2at8/edit" TargetMode="External"/><Relationship Id="rId6" Type="http://schemas.openxmlformats.org/officeDocument/2006/relationships/hyperlink" Target="https://docs.google.com/spreadsheets/d/13H9HKXeJ99B8eBmqm5YEZ-_7vvxAvErwZ7avVXO2at8/edit" TargetMode="External"/><Relationship Id="rId7" Type="http://schemas.openxmlformats.org/officeDocument/2006/relationships/hyperlink" Target="https://docs.google.com/spreadsheets/d/13H9HKXeJ99B8eBmqm5YEZ-_7vvxAvErwZ7avVXO2at8/edit" TargetMode="External"/><Relationship Id="rId8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HHNvMgEfWsZ3hMQEyR4hg4PK3B_u3MB4a5CE22-PQY/edit" TargetMode="External"/><Relationship Id="rId2" Type="http://schemas.openxmlformats.org/officeDocument/2006/relationships/hyperlink" Target="https://docs.google.com/spreadsheets/d/1vHHNvMgEfWsZ3hMQEyR4hg4PK3B_u3MB4a5CE22-PQY/edit" TargetMode="External"/><Relationship Id="rId3" Type="http://schemas.openxmlformats.org/officeDocument/2006/relationships/hyperlink" Target="https://docs.google.com/spreadsheets/d/1vHHNvMgEfWsZ3hMQEyR4hg4PK3B_u3MB4a5CE22-PQY/edit" TargetMode="External"/><Relationship Id="rId4" Type="http://schemas.openxmlformats.org/officeDocument/2006/relationships/hyperlink" Target="https://docs.google.com/spreadsheets/d/1vHHNvMgEfWsZ3hMQEyR4hg4PK3B_u3MB4a5CE22-PQY/edit" TargetMode="External"/><Relationship Id="rId5" Type="http://schemas.openxmlformats.org/officeDocument/2006/relationships/hyperlink" Target="https://docs.google.com/spreadsheets/d/1vHHNvMgEfWsZ3hMQEyR4hg4PK3B_u3MB4a5CE22-PQY/edit" TargetMode="External"/><Relationship Id="rId6" Type="http://schemas.openxmlformats.org/officeDocument/2006/relationships/hyperlink" Target="https://docs.google.com/spreadsheets/d/1vHHNvMgEfWsZ3hMQEyR4hg4PK3B_u3MB4a5CE22-PQY/edit" TargetMode="External"/><Relationship Id="rId7" Type="http://schemas.openxmlformats.org/officeDocument/2006/relationships/hyperlink" Target="https://docs.google.com/spreadsheets/d/1vHHNvMgEfWsZ3hMQEyR4hg4PK3B_u3MB4a5CE22-PQY/edit" TargetMode="External"/><Relationship Id="rId8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1GS3NdWB1GsFSTN7ovih2DtoJxR82uSOg_gVL8bgIE/edit" TargetMode="External"/><Relationship Id="rId2" Type="http://schemas.openxmlformats.org/officeDocument/2006/relationships/hyperlink" Target="https://docs.google.com/spreadsheets/d/171GS3NdWB1GsFSTN7ovih2DtoJxR82uSOg_gVL8bgIE/edit" TargetMode="External"/><Relationship Id="rId3" Type="http://schemas.openxmlformats.org/officeDocument/2006/relationships/hyperlink" Target="https://docs.google.com/spreadsheets/d/171GS3NdWB1GsFSTN7ovih2DtoJxR82uSOg_gVL8bgIE/edit" TargetMode="External"/><Relationship Id="rId4" Type="http://schemas.openxmlformats.org/officeDocument/2006/relationships/hyperlink" Target="https://docs.google.com/spreadsheets/d/171GS3NdWB1GsFSTN7ovih2DtoJxR82uSOg_gVL8bgIE/edit" TargetMode="External"/><Relationship Id="rId5" Type="http://schemas.openxmlformats.org/officeDocument/2006/relationships/hyperlink" Target="https://docs.google.com/spreadsheets/d/171GS3NdWB1GsFSTN7ovih2DtoJxR82uSOg_gVL8bgIE/edit" TargetMode="External"/><Relationship Id="rId6" Type="http://schemas.openxmlformats.org/officeDocument/2006/relationships/hyperlink" Target="https://docs.google.com/spreadsheets/d/171GS3NdWB1GsFSTN7ovih2DtoJxR82uSOg_gVL8bgIE/edit" TargetMode="External"/><Relationship Id="rId7" Type="http://schemas.openxmlformats.org/officeDocument/2006/relationships/hyperlink" Target="https://docs.google.com/spreadsheets/d/171GS3NdWB1GsFSTN7ovih2DtoJxR82uSOg_gVL8bgIE/edit" TargetMode="External"/><Relationship Id="rId8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iInZHqbGD0K4n4qXI9-PByUhr7NC3ef_z-xljBYko0/edit" TargetMode="External"/><Relationship Id="rId2" Type="http://schemas.openxmlformats.org/officeDocument/2006/relationships/hyperlink" Target="https://docs.google.com/spreadsheets/d/1viInZHqbGD0K4n4qXI9-PByUhr7NC3ef_z-xljBYko0/edit" TargetMode="External"/><Relationship Id="rId3" Type="http://schemas.openxmlformats.org/officeDocument/2006/relationships/hyperlink" Target="https://docs.google.com/spreadsheets/d/1viInZHqbGD0K4n4qXI9-PByUhr7NC3ef_z-xljBYko0/edit" TargetMode="External"/><Relationship Id="rId4" Type="http://schemas.openxmlformats.org/officeDocument/2006/relationships/hyperlink" Target="https://docs.google.com/spreadsheets/d/1viInZHqbGD0K4n4qXI9-PByUhr7NC3ef_z-xljBYko0/edit" TargetMode="External"/><Relationship Id="rId5" Type="http://schemas.openxmlformats.org/officeDocument/2006/relationships/hyperlink" Target="https://docs.google.com/spreadsheets/d/1viInZHqbGD0K4n4qXI9-PByUhr7NC3ef_z-xljBYko0/edit" TargetMode="External"/><Relationship Id="rId6" Type="http://schemas.openxmlformats.org/officeDocument/2006/relationships/hyperlink" Target="https://docs.google.com/spreadsheets/d/1viInZHqbGD0K4n4qXI9-PByUhr7NC3ef_z-xljBYko0/edit" TargetMode="External"/><Relationship Id="rId7" Type="http://schemas.openxmlformats.org/officeDocument/2006/relationships/hyperlink" Target="https://docs.google.com/spreadsheets/d/1viInZHqbGD0K4n4qXI9-PByUhr7NC3ef_z-xljBYko0/edit" TargetMode="External"/><Relationship Id="rId8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qRV_zxrw2cK2mZ_6tUVrrMGnu7t6Yufyt2E4oTLH_0/edit" TargetMode="External"/><Relationship Id="rId2" Type="http://schemas.openxmlformats.org/officeDocument/2006/relationships/hyperlink" Target="https://docs.google.com/spreadsheets/d/1EqRV_zxrw2cK2mZ_6tUVrrMGnu7t6Yufyt2E4oTLH_0/edit" TargetMode="External"/><Relationship Id="rId3" Type="http://schemas.openxmlformats.org/officeDocument/2006/relationships/hyperlink" Target="https://docs.google.com/spreadsheets/d/1EqRV_zxrw2cK2mZ_6tUVrrMGnu7t6Yufyt2E4oTLH_0/edit" TargetMode="External"/><Relationship Id="rId4" Type="http://schemas.openxmlformats.org/officeDocument/2006/relationships/hyperlink" Target="https://docs.google.com/spreadsheets/d/1EqRV_zxrw2cK2mZ_6tUVrrMGnu7t6Yufyt2E4oTLH_0/edit" TargetMode="External"/><Relationship Id="rId5" Type="http://schemas.openxmlformats.org/officeDocument/2006/relationships/hyperlink" Target="https://docs.google.com/spreadsheets/d/1EqRV_zxrw2cK2mZ_6tUVrrMGnu7t6Yufyt2E4oTLH_0/edit" TargetMode="External"/><Relationship Id="rId6" Type="http://schemas.openxmlformats.org/officeDocument/2006/relationships/hyperlink" Target="https://docs.google.com/spreadsheets/d/1EqRV_zxrw2cK2mZ_6tUVrrMGnu7t6Yufyt2E4oTLH_0/edit" TargetMode="External"/><Relationship Id="rId7" Type="http://schemas.openxmlformats.org/officeDocument/2006/relationships/hyperlink" Target="https://docs.google.com/spreadsheets/d/1EqRV_zxrw2cK2mZ_6tUVrrMGnu7t6Yufyt2E4oTLH_0/edit" TargetMode="External"/><Relationship Id="rId8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s-pHaMiMLR8b6bzTlsv7R0sRxNoBJnUYRrwy1zXf20/edit" TargetMode="External"/><Relationship Id="rId2" Type="http://schemas.openxmlformats.org/officeDocument/2006/relationships/hyperlink" Target="https://docs.google.com/spreadsheets/d/1es-pHaMiMLR8b6bzTlsv7R0sRxNoBJnUYRrwy1zXf20/edit" TargetMode="External"/><Relationship Id="rId3" Type="http://schemas.openxmlformats.org/officeDocument/2006/relationships/hyperlink" Target="https://docs.google.com/spreadsheets/d/1es-pHaMiMLR8b6bzTlsv7R0sRxNoBJnUYRrwy1zXf20/edit" TargetMode="External"/><Relationship Id="rId4" Type="http://schemas.openxmlformats.org/officeDocument/2006/relationships/hyperlink" Target="https://docs.google.com/spreadsheets/d/1es-pHaMiMLR8b6bzTlsv7R0sRxNoBJnUYRrwy1zXf20/edit" TargetMode="External"/><Relationship Id="rId5" Type="http://schemas.openxmlformats.org/officeDocument/2006/relationships/hyperlink" Target="https://docs.google.com/spreadsheets/d/1es-pHaMiMLR8b6bzTlsv7R0sRxNoBJnUYRrwy1zXf20/edit" TargetMode="External"/><Relationship Id="rId6" Type="http://schemas.openxmlformats.org/officeDocument/2006/relationships/hyperlink" Target="https://docs.google.com/spreadsheets/d/1es-pHaMiMLR8b6bzTlsv7R0sRxNoBJnUYRrwy1zXf20/edit" TargetMode="External"/><Relationship Id="rId7" Type="http://schemas.openxmlformats.org/officeDocument/2006/relationships/hyperlink" Target="https://docs.google.com/spreadsheets/d/1es-pHaMiMLR8b6bzTlsv7R0sRxNoBJnUYRrwy1zXf20/edit" TargetMode="External"/><Relationship Id="rId8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aaZi7S66xl8DDhM3veqjq6RcoOKstSZHj_rvCISao4/edit" TargetMode="External"/><Relationship Id="rId2" Type="http://schemas.openxmlformats.org/officeDocument/2006/relationships/hyperlink" Target="https://docs.google.com/spreadsheets/d/1-aaZi7S66xl8DDhM3veqjq6RcoOKstSZHj_rvCISao4/edit" TargetMode="External"/><Relationship Id="rId3" Type="http://schemas.openxmlformats.org/officeDocument/2006/relationships/hyperlink" Target="https://docs.google.com/spreadsheets/d/1-aaZi7S66xl8DDhM3veqjq6RcoOKstSZHj_rvCISao4/edit" TargetMode="External"/><Relationship Id="rId4" Type="http://schemas.openxmlformats.org/officeDocument/2006/relationships/hyperlink" Target="https://docs.google.com/spreadsheets/d/1-aaZi7S66xl8DDhM3veqjq6RcoOKstSZHj_rvCISao4/edit" TargetMode="External"/><Relationship Id="rId5" Type="http://schemas.openxmlformats.org/officeDocument/2006/relationships/hyperlink" Target="https://docs.google.com/spreadsheets/d/1-aaZi7S66xl8DDhM3veqjq6RcoOKstSZHj_rvCISao4/edit" TargetMode="External"/><Relationship Id="rId6" Type="http://schemas.openxmlformats.org/officeDocument/2006/relationships/hyperlink" Target="https://docs.google.com/spreadsheets/d/1-aaZi7S66xl8DDhM3veqjq6RcoOKstSZHj_rvCISao4/edit" TargetMode="External"/><Relationship Id="rId7" Type="http://schemas.openxmlformats.org/officeDocument/2006/relationships/hyperlink" Target="https://docs.google.com/spreadsheets/d/1-aaZi7S66xl8DDhM3veqjq6RcoOKstSZHj_rvCISao4/edit" TargetMode="External"/><Relationship Id="rId8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CR2t9Rdyaxa_vuoAm3gqr8s-uSvJDr-8CoRgsZH_p4/edit" TargetMode="External"/><Relationship Id="rId2" Type="http://schemas.openxmlformats.org/officeDocument/2006/relationships/hyperlink" Target="https://docs.google.com/spreadsheets/d/1UCR2t9Rdyaxa_vuoAm3gqr8s-uSvJDr-8CoRgsZH_p4/edit" TargetMode="External"/><Relationship Id="rId3" Type="http://schemas.openxmlformats.org/officeDocument/2006/relationships/hyperlink" Target="https://docs.google.com/spreadsheets/d/1UCR2t9Rdyaxa_vuoAm3gqr8s-uSvJDr-8CoRgsZH_p4/edit" TargetMode="External"/><Relationship Id="rId4" Type="http://schemas.openxmlformats.org/officeDocument/2006/relationships/hyperlink" Target="https://docs.google.com/spreadsheets/d/1UCR2t9Rdyaxa_vuoAm3gqr8s-uSvJDr-8CoRgsZH_p4/edit" TargetMode="External"/><Relationship Id="rId5" Type="http://schemas.openxmlformats.org/officeDocument/2006/relationships/hyperlink" Target="https://docs.google.com/spreadsheets/d/1UCR2t9Rdyaxa_vuoAm3gqr8s-uSvJDr-8CoRgsZH_p4/edit" TargetMode="External"/><Relationship Id="rId6" Type="http://schemas.openxmlformats.org/officeDocument/2006/relationships/hyperlink" Target="https://docs.google.com/spreadsheets/d/1UCR2t9Rdyaxa_vuoAm3gqr8s-uSvJDr-8CoRgsZH_p4/edit" TargetMode="External"/><Relationship Id="rId7" Type="http://schemas.openxmlformats.org/officeDocument/2006/relationships/hyperlink" Target="https://docs.google.com/spreadsheets/d/1UCR2t9Rdyaxa_vuoAm3gqr8s-uSvJDr-8CoRgsZH_p4/edit" TargetMode="External"/><Relationship Id="rId8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W4m1Qf2khLgeE_WCM0q7iBb8iqCX4m9a7XqkcoERko/edit" TargetMode="External"/><Relationship Id="rId2" Type="http://schemas.openxmlformats.org/officeDocument/2006/relationships/hyperlink" Target="https://docs.google.com/spreadsheets/d/1pW4m1Qf2khLgeE_WCM0q7iBb8iqCX4m9a7XqkcoERko/edit" TargetMode="External"/><Relationship Id="rId3" Type="http://schemas.openxmlformats.org/officeDocument/2006/relationships/hyperlink" Target="https://docs.google.com/spreadsheets/d/1pW4m1Qf2khLgeE_WCM0q7iBb8iqCX4m9a7XqkcoERko/edit" TargetMode="External"/><Relationship Id="rId4" Type="http://schemas.openxmlformats.org/officeDocument/2006/relationships/hyperlink" Target="https://docs.google.com/spreadsheets/d/1pW4m1Qf2khLgeE_WCM0q7iBb8iqCX4m9a7XqkcoERko/edit" TargetMode="External"/><Relationship Id="rId5" Type="http://schemas.openxmlformats.org/officeDocument/2006/relationships/hyperlink" Target="https://docs.google.com/spreadsheets/d/1pW4m1Qf2khLgeE_WCM0q7iBb8iqCX4m9a7XqkcoERko/edit" TargetMode="External"/><Relationship Id="rId6" Type="http://schemas.openxmlformats.org/officeDocument/2006/relationships/hyperlink" Target="https://docs.google.com/spreadsheets/d/1pW4m1Qf2khLgeE_WCM0q7iBb8iqCX4m9a7XqkcoERko/edit" TargetMode="External"/><Relationship Id="rId7" Type="http://schemas.openxmlformats.org/officeDocument/2006/relationships/hyperlink" Target="https://docs.google.com/spreadsheets/d/1pW4m1Qf2khLgeE_WCM0q7iBb8iqCX4m9a7XqkcoERko/edit" TargetMode="External"/><Relationship Id="rId8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XTAlTKw4_rocVNN9yX7HWWDeHA966svUIkt9rUxxYE/edit" TargetMode="External"/><Relationship Id="rId2" Type="http://schemas.openxmlformats.org/officeDocument/2006/relationships/hyperlink" Target="https://docs.google.com/spreadsheets/d/1aXTAlTKw4_rocVNN9yX7HWWDeHA966svUIkt9rUxxYE/edit" TargetMode="External"/><Relationship Id="rId3" Type="http://schemas.openxmlformats.org/officeDocument/2006/relationships/hyperlink" Target="https://docs.google.com/spreadsheets/d/1aXTAlTKw4_rocVNN9yX7HWWDeHA966svUIkt9rUxxYE/edit" TargetMode="External"/><Relationship Id="rId4" Type="http://schemas.openxmlformats.org/officeDocument/2006/relationships/hyperlink" Target="https://docs.google.com/spreadsheets/d/1aXTAlTKw4_rocVNN9yX7HWWDeHA966svUIkt9rUxxYE/edit" TargetMode="External"/><Relationship Id="rId9" Type="http://schemas.openxmlformats.org/officeDocument/2006/relationships/drawing" Target="../drawings/drawing66.xml"/><Relationship Id="rId5" Type="http://schemas.openxmlformats.org/officeDocument/2006/relationships/hyperlink" Target="https://docs.google.com/spreadsheets/d/1aXTAlTKw4_rocVNN9yX7HWWDeHA966svUIkt9rUxxYE/edit" TargetMode="External"/><Relationship Id="rId6" Type="http://schemas.openxmlformats.org/officeDocument/2006/relationships/hyperlink" Target="https://docs.google.com/spreadsheets/d/1aXTAlTKw4_rocVNN9yX7HWWDeHA966svUIkt9rUxxYE/edit" TargetMode="External"/><Relationship Id="rId7" Type="http://schemas.openxmlformats.org/officeDocument/2006/relationships/hyperlink" Target="https://docs.google.com/spreadsheets/d/1aXTAlTKw4_rocVNN9yX7HWWDeHA966svUIkt9rUxxYE/edit" TargetMode="External"/><Relationship Id="rId8" Type="http://schemas.openxmlformats.org/officeDocument/2006/relationships/hyperlink" Target="https://docs.google.com/spreadsheets/d/1aXTAlTKw4_rocVNN9yX7HWWDeHA966svUIkt9rUxxYE/edit" TargetMode="Externa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Fmnqy-dx7zyXisWX-AW-hu7_jPRGiDfp-0iDwDVKZ4/edit" TargetMode="External"/><Relationship Id="rId2" Type="http://schemas.openxmlformats.org/officeDocument/2006/relationships/hyperlink" Target="https://docs.google.com/spreadsheets/d/1NFmnqy-dx7zyXisWX-AW-hu7_jPRGiDfp-0iDwDVKZ4/edit" TargetMode="External"/><Relationship Id="rId3" Type="http://schemas.openxmlformats.org/officeDocument/2006/relationships/hyperlink" Target="https://docs.google.com/spreadsheets/d/1NFmnqy-dx7zyXisWX-AW-hu7_jPRGiDfp-0iDwDVKZ4/edit" TargetMode="External"/><Relationship Id="rId4" Type="http://schemas.openxmlformats.org/officeDocument/2006/relationships/hyperlink" Target="https://docs.google.com/spreadsheets/d/1NFmnqy-dx7zyXisWX-AW-hu7_jPRGiDfp-0iDwDVKZ4/edit" TargetMode="External"/><Relationship Id="rId9" Type="http://schemas.openxmlformats.org/officeDocument/2006/relationships/drawing" Target="../drawings/drawing67.xml"/><Relationship Id="rId5" Type="http://schemas.openxmlformats.org/officeDocument/2006/relationships/hyperlink" Target="https://docs.google.com/spreadsheets/d/1NFmnqy-dx7zyXisWX-AW-hu7_jPRGiDfp-0iDwDVKZ4/edit" TargetMode="External"/><Relationship Id="rId6" Type="http://schemas.openxmlformats.org/officeDocument/2006/relationships/hyperlink" Target="https://docs.google.com/spreadsheets/d/1NFmnqy-dx7zyXisWX-AW-hu7_jPRGiDfp-0iDwDVKZ4/edit" TargetMode="External"/><Relationship Id="rId7" Type="http://schemas.openxmlformats.org/officeDocument/2006/relationships/hyperlink" Target="https://docs.google.com/spreadsheets/d/1NFmnqy-dx7zyXisWX-AW-hu7_jPRGiDfp-0iDwDVKZ4/edit" TargetMode="External"/><Relationship Id="rId8" Type="http://schemas.openxmlformats.org/officeDocument/2006/relationships/hyperlink" Target="https://docs.google.com/spreadsheets/d/1NFmnqy-dx7zyXisWX-AW-hu7_jPRGiDfp-0iDwDVKZ4/edit" TargetMode="Externa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uAQoX8emFZEtrN0dSU41W3f2o2gEn2LOiyH7Dqla34/edit" TargetMode="External"/><Relationship Id="rId2" Type="http://schemas.openxmlformats.org/officeDocument/2006/relationships/hyperlink" Target="https://docs.google.com/spreadsheets/d/1CuAQoX8emFZEtrN0dSU41W3f2o2gEn2LOiyH7Dqla34/edit" TargetMode="External"/><Relationship Id="rId3" Type="http://schemas.openxmlformats.org/officeDocument/2006/relationships/hyperlink" Target="https://docs.google.com/spreadsheets/d/1CuAQoX8emFZEtrN0dSU41W3f2o2gEn2LOiyH7Dqla34/edit" TargetMode="External"/><Relationship Id="rId4" Type="http://schemas.openxmlformats.org/officeDocument/2006/relationships/hyperlink" Target="https://docs.google.com/spreadsheets/d/1CuAQoX8emFZEtrN0dSU41W3f2o2gEn2LOiyH7Dqla34/edit" TargetMode="External"/><Relationship Id="rId9" Type="http://schemas.openxmlformats.org/officeDocument/2006/relationships/drawing" Target="../drawings/drawing68.xml"/><Relationship Id="rId5" Type="http://schemas.openxmlformats.org/officeDocument/2006/relationships/hyperlink" Target="https://docs.google.com/spreadsheets/d/1CuAQoX8emFZEtrN0dSU41W3f2o2gEn2LOiyH7Dqla34/edit" TargetMode="External"/><Relationship Id="rId6" Type="http://schemas.openxmlformats.org/officeDocument/2006/relationships/hyperlink" Target="https://docs.google.com/spreadsheets/d/1CuAQoX8emFZEtrN0dSU41W3f2o2gEn2LOiyH7Dqla34/edit" TargetMode="External"/><Relationship Id="rId7" Type="http://schemas.openxmlformats.org/officeDocument/2006/relationships/hyperlink" Target="https://docs.google.com/spreadsheets/d/1CuAQoX8emFZEtrN0dSU41W3f2o2gEn2LOiyH7Dqla34/edit" TargetMode="External"/><Relationship Id="rId8" Type="http://schemas.openxmlformats.org/officeDocument/2006/relationships/hyperlink" Target="https://docs.google.com/spreadsheets/d/1CuAQoX8emFZEtrN0dSU41W3f2o2gEn2LOiyH7Dqla34/edit" TargetMode="Externa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6FtWRVBjDvUZ3DDdMlNtQKsDoGbw892Lpxsjc3awRw/edit" TargetMode="External"/><Relationship Id="rId2" Type="http://schemas.openxmlformats.org/officeDocument/2006/relationships/hyperlink" Target="https://docs.google.com/spreadsheets/d/1E6FtWRVBjDvUZ3DDdMlNtQKsDoGbw892Lpxsjc3awRw/edit" TargetMode="External"/><Relationship Id="rId3" Type="http://schemas.openxmlformats.org/officeDocument/2006/relationships/hyperlink" Target="https://docs.google.com/spreadsheets/d/1E6FtWRVBjDvUZ3DDdMlNtQKsDoGbw892Lpxsjc3awRw/edit" TargetMode="External"/><Relationship Id="rId4" Type="http://schemas.openxmlformats.org/officeDocument/2006/relationships/hyperlink" Target="https://docs.google.com/spreadsheets/d/1E6FtWRVBjDvUZ3DDdMlNtQKsDoGbw892Lpxsjc3awRw/edit" TargetMode="External"/><Relationship Id="rId9" Type="http://schemas.openxmlformats.org/officeDocument/2006/relationships/drawing" Target="../drawings/drawing69.xml"/><Relationship Id="rId5" Type="http://schemas.openxmlformats.org/officeDocument/2006/relationships/hyperlink" Target="https://docs.google.com/spreadsheets/d/1E6FtWRVBjDvUZ3DDdMlNtQKsDoGbw892Lpxsjc3awRw/edit" TargetMode="External"/><Relationship Id="rId6" Type="http://schemas.openxmlformats.org/officeDocument/2006/relationships/hyperlink" Target="https://docs.google.com/spreadsheets/d/1E6FtWRVBjDvUZ3DDdMlNtQKsDoGbw892Lpxsjc3awRw/edit" TargetMode="External"/><Relationship Id="rId7" Type="http://schemas.openxmlformats.org/officeDocument/2006/relationships/hyperlink" Target="https://docs.google.com/spreadsheets/d/1E6FtWRVBjDvUZ3DDdMlNtQKsDoGbw892Lpxsjc3awRw/edit" TargetMode="External"/><Relationship Id="rId8" Type="http://schemas.openxmlformats.org/officeDocument/2006/relationships/hyperlink" Target="https://docs.google.com/spreadsheets/d/1E6FtWRVBjDvUZ3DDdMlNtQKsDoGbw892Lpxsjc3awRw/edit" TargetMode="Externa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WR1cgYq-9Ix_-s_urwVCq8Efk-oTpNICHL54RcirL0/edit" TargetMode="External"/><Relationship Id="rId2" Type="http://schemas.openxmlformats.org/officeDocument/2006/relationships/hyperlink" Target="https://docs.google.com/spreadsheets/d/16WR1cgYq-9Ix_-s_urwVCq8Efk-oTpNICHL54RcirL0/edit" TargetMode="External"/><Relationship Id="rId3" Type="http://schemas.openxmlformats.org/officeDocument/2006/relationships/hyperlink" Target="https://docs.google.com/spreadsheets/d/16WR1cgYq-9Ix_-s_urwVCq8Efk-oTpNICHL54RcirL0/edit" TargetMode="External"/><Relationship Id="rId4" Type="http://schemas.openxmlformats.org/officeDocument/2006/relationships/hyperlink" Target="https://docs.google.com/spreadsheets/d/16WR1cgYq-9Ix_-s_urwVCq8Efk-oTpNICHL54RcirL0/edit" TargetMode="External"/><Relationship Id="rId9" Type="http://schemas.openxmlformats.org/officeDocument/2006/relationships/drawing" Target="../drawings/drawing72.xml"/><Relationship Id="rId5" Type="http://schemas.openxmlformats.org/officeDocument/2006/relationships/hyperlink" Target="https://docs.google.com/spreadsheets/d/16WR1cgYq-9Ix_-s_urwVCq8Efk-oTpNICHL54RcirL0/edit" TargetMode="External"/><Relationship Id="rId6" Type="http://schemas.openxmlformats.org/officeDocument/2006/relationships/hyperlink" Target="https://docs.google.com/spreadsheets/d/16WR1cgYq-9Ix_-s_urwVCq8Efk-oTpNICHL54RcirL0/edit" TargetMode="External"/><Relationship Id="rId7" Type="http://schemas.openxmlformats.org/officeDocument/2006/relationships/hyperlink" Target="https://docs.google.com/spreadsheets/d/16WR1cgYq-9Ix_-s_urwVCq8Efk-oTpNICHL54RcirL0/edit" TargetMode="External"/><Relationship Id="rId8" Type="http://schemas.openxmlformats.org/officeDocument/2006/relationships/hyperlink" Target="https://docs.google.com/spreadsheets/d/16WR1cgYq-9Ix_-s_urwVCq8Efk-oTpNICHL54RcirL0/edit" TargetMode="Externa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DIvEqieN5yIKKBjvQyCCYRb6tgCdft9nlizNC3Pg3I/edit" TargetMode="External"/><Relationship Id="rId2" Type="http://schemas.openxmlformats.org/officeDocument/2006/relationships/hyperlink" Target="https://docs.google.com/spreadsheets/d/1tDIvEqieN5yIKKBjvQyCCYRb6tgCdft9nlizNC3Pg3I/edit" TargetMode="External"/><Relationship Id="rId3" Type="http://schemas.openxmlformats.org/officeDocument/2006/relationships/hyperlink" Target="https://docs.google.com/spreadsheets/d/1tDIvEqieN5yIKKBjvQyCCYRb6tgCdft9nlizNC3Pg3I/edit" TargetMode="External"/><Relationship Id="rId4" Type="http://schemas.openxmlformats.org/officeDocument/2006/relationships/hyperlink" Target="https://docs.google.com/spreadsheets/d/1tDIvEqieN5yIKKBjvQyCCYRb6tgCdft9nlizNC3Pg3I/edit" TargetMode="External"/><Relationship Id="rId9" Type="http://schemas.openxmlformats.org/officeDocument/2006/relationships/drawing" Target="../drawings/drawing73.xml"/><Relationship Id="rId5" Type="http://schemas.openxmlformats.org/officeDocument/2006/relationships/hyperlink" Target="https://docs.google.com/spreadsheets/d/1tDIvEqieN5yIKKBjvQyCCYRb6tgCdft9nlizNC3Pg3I/edit" TargetMode="External"/><Relationship Id="rId6" Type="http://schemas.openxmlformats.org/officeDocument/2006/relationships/hyperlink" Target="https://docs.google.com/spreadsheets/d/1tDIvEqieN5yIKKBjvQyCCYRb6tgCdft9nlizNC3Pg3I/edit" TargetMode="External"/><Relationship Id="rId7" Type="http://schemas.openxmlformats.org/officeDocument/2006/relationships/hyperlink" Target="https://docs.google.com/spreadsheets/d/1tDIvEqieN5yIKKBjvQyCCYRb6tgCdft9nlizNC3Pg3I/edit" TargetMode="External"/><Relationship Id="rId8" Type="http://schemas.openxmlformats.org/officeDocument/2006/relationships/hyperlink" Target="https://docs.google.com/spreadsheets/d/1tDIvEqieN5yIKKBjvQyCCYRb6tgCdft9nlizNC3Pg3I/edit" TargetMode="Externa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1Dxi9qKn0aBYRkGklwwauncOyYmRBlQf0Rx1l02vHU/edit" TargetMode="External"/><Relationship Id="rId2" Type="http://schemas.openxmlformats.org/officeDocument/2006/relationships/hyperlink" Target="https://docs.google.com/spreadsheets/d/1P1Dxi9qKn0aBYRkGklwwauncOyYmRBlQf0Rx1l02vHU/edit" TargetMode="External"/><Relationship Id="rId3" Type="http://schemas.openxmlformats.org/officeDocument/2006/relationships/hyperlink" Target="https://docs.google.com/spreadsheets/d/1P1Dxi9qKn0aBYRkGklwwauncOyYmRBlQf0Rx1l02vHU/edit" TargetMode="External"/><Relationship Id="rId4" Type="http://schemas.openxmlformats.org/officeDocument/2006/relationships/hyperlink" Target="https://docs.google.com/spreadsheets/d/1P1Dxi9qKn0aBYRkGklwwauncOyYmRBlQf0Rx1l02vHU/edit" TargetMode="External"/><Relationship Id="rId5" Type="http://schemas.openxmlformats.org/officeDocument/2006/relationships/hyperlink" Target="https://docs.google.com/spreadsheets/d/1P1Dxi9qKn0aBYRkGklwwauncOyYmRBlQf0Rx1l02vHU/edit" TargetMode="External"/><Relationship Id="rId6" Type="http://schemas.openxmlformats.org/officeDocument/2006/relationships/hyperlink" Target="https://docs.google.com/spreadsheets/d/1P1Dxi9qKn0aBYRkGklwwauncOyYmRBlQf0Rx1l02vHU/edit" TargetMode="External"/><Relationship Id="rId7" Type="http://schemas.openxmlformats.org/officeDocument/2006/relationships/hyperlink" Target="https://docs.google.com/spreadsheets/d/1P1Dxi9qKn0aBYRkGklwwauncOyYmRBlQf0Rx1l02vHU/edit" TargetMode="External"/><Relationship Id="rId8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DICY6H0ppjlejoYiqUSWOii9tg1XzJqQT3z0ldRqOc/edit" TargetMode="External"/><Relationship Id="rId2" Type="http://schemas.openxmlformats.org/officeDocument/2006/relationships/hyperlink" Target="https://docs.google.com/spreadsheets/d/13DICY6H0ppjlejoYiqUSWOii9tg1XzJqQT3z0ldRqOc/edit" TargetMode="External"/><Relationship Id="rId3" Type="http://schemas.openxmlformats.org/officeDocument/2006/relationships/hyperlink" Target="https://docs.google.com/spreadsheets/d/13DICY6H0ppjlejoYiqUSWOii9tg1XzJqQT3z0ldRqOc/edit" TargetMode="External"/><Relationship Id="rId4" Type="http://schemas.openxmlformats.org/officeDocument/2006/relationships/hyperlink" Target="https://docs.google.com/spreadsheets/d/13DICY6H0ppjlejoYiqUSWOii9tg1XzJqQT3z0ldRqOc/edit" TargetMode="External"/><Relationship Id="rId5" Type="http://schemas.openxmlformats.org/officeDocument/2006/relationships/hyperlink" Target="https://docs.google.com/spreadsheets/d/13DICY6H0ppjlejoYiqUSWOii9tg1XzJqQT3z0ldRqOc/edit" TargetMode="External"/><Relationship Id="rId6" Type="http://schemas.openxmlformats.org/officeDocument/2006/relationships/hyperlink" Target="https://docs.google.com/spreadsheets/d/13DICY6H0ppjlejoYiqUSWOii9tg1XzJqQT3z0ldRqOc/edit" TargetMode="External"/><Relationship Id="rId7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rZpunTQIHsDCB0a1cAkW_Nks2KRVViaby15B8LOJzc/edit" TargetMode="External"/><Relationship Id="rId2" Type="http://schemas.openxmlformats.org/officeDocument/2006/relationships/hyperlink" Target="https://docs.google.com/spreadsheets/d/1JrZpunTQIHsDCB0a1cAkW_Nks2KRVViaby15B8LOJzc/edit" TargetMode="External"/><Relationship Id="rId3" Type="http://schemas.openxmlformats.org/officeDocument/2006/relationships/hyperlink" Target="https://docs.google.com/spreadsheets/d/1JrZpunTQIHsDCB0a1cAkW_Nks2KRVViaby15B8LOJzc/edit" TargetMode="External"/><Relationship Id="rId4" Type="http://schemas.openxmlformats.org/officeDocument/2006/relationships/hyperlink" Target="https://docs.google.com/spreadsheets/d/1JrZpunTQIHsDCB0a1cAkW_Nks2KRVViaby15B8LOJzc/edit" TargetMode="External"/><Relationship Id="rId9" Type="http://schemas.openxmlformats.org/officeDocument/2006/relationships/drawing" Target="../drawings/drawing76.xml"/><Relationship Id="rId5" Type="http://schemas.openxmlformats.org/officeDocument/2006/relationships/hyperlink" Target="https://docs.google.com/spreadsheets/d/1JrZpunTQIHsDCB0a1cAkW_Nks2KRVViaby15B8LOJzc/edit" TargetMode="External"/><Relationship Id="rId6" Type="http://schemas.openxmlformats.org/officeDocument/2006/relationships/hyperlink" Target="https://docs.google.com/spreadsheets/d/1JrZpunTQIHsDCB0a1cAkW_Nks2KRVViaby15B8LOJzc/edit" TargetMode="External"/><Relationship Id="rId7" Type="http://schemas.openxmlformats.org/officeDocument/2006/relationships/hyperlink" Target="https://docs.google.com/spreadsheets/d/1JrZpunTQIHsDCB0a1cAkW_Nks2KRVViaby15B8LOJzc/edit" TargetMode="External"/><Relationship Id="rId8" Type="http://schemas.openxmlformats.org/officeDocument/2006/relationships/hyperlink" Target="https://docs.google.com/spreadsheets/d/1JrZpunTQIHsDCB0a1cAkW_Nks2KRVViaby15B8LOJzc/edit" TargetMode="Externa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1t2_iPtiHe14XgUHTMu2DkotoU74SYFAj7Frc_kKBU/edit" TargetMode="External"/><Relationship Id="rId2" Type="http://schemas.openxmlformats.org/officeDocument/2006/relationships/hyperlink" Target="https://docs.google.com/spreadsheets/d/1l1t2_iPtiHe14XgUHTMu2DkotoU74SYFAj7Frc_kKBU/edit" TargetMode="External"/><Relationship Id="rId3" Type="http://schemas.openxmlformats.org/officeDocument/2006/relationships/hyperlink" Target="https://docs.google.com/spreadsheets/d/1l1t2_iPtiHe14XgUHTMu2DkotoU74SYFAj7Frc_kKBU/edit" TargetMode="External"/><Relationship Id="rId4" Type="http://schemas.openxmlformats.org/officeDocument/2006/relationships/hyperlink" Target="https://docs.google.com/spreadsheets/d/1l1t2_iPtiHe14XgUHTMu2DkotoU74SYFAj7Frc_kKBU/edit" TargetMode="External"/><Relationship Id="rId9" Type="http://schemas.openxmlformats.org/officeDocument/2006/relationships/drawing" Target="../drawings/drawing77.xml"/><Relationship Id="rId5" Type="http://schemas.openxmlformats.org/officeDocument/2006/relationships/hyperlink" Target="https://docs.google.com/spreadsheets/d/1l1t2_iPtiHe14XgUHTMu2DkotoU74SYFAj7Frc_kKBU/edit" TargetMode="External"/><Relationship Id="rId6" Type="http://schemas.openxmlformats.org/officeDocument/2006/relationships/hyperlink" Target="https://docs.google.com/spreadsheets/d/1l1t2_iPtiHe14XgUHTMu2DkotoU74SYFAj7Frc_kKBU/edit" TargetMode="External"/><Relationship Id="rId7" Type="http://schemas.openxmlformats.org/officeDocument/2006/relationships/hyperlink" Target="https://docs.google.com/spreadsheets/d/1l1t2_iPtiHe14XgUHTMu2DkotoU74SYFAj7Frc_kKBU/edit" TargetMode="External"/><Relationship Id="rId8" Type="http://schemas.openxmlformats.org/officeDocument/2006/relationships/hyperlink" Target="https://docs.google.com/spreadsheets/d/1l1t2_iPtiHe14XgUHTMu2DkotoU74SYFAj7Frc_kKBU/edit" TargetMode="Externa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_One5cQAohggUHOpqwpyW8iTSczHhoAH1g6ZgNwz6E/edit" TargetMode="External"/><Relationship Id="rId2" Type="http://schemas.openxmlformats.org/officeDocument/2006/relationships/hyperlink" Target="https://docs.google.com/spreadsheets/d/1t_One5cQAohggUHOpqwpyW8iTSczHhoAH1g6ZgNwz6E/edit" TargetMode="External"/><Relationship Id="rId3" Type="http://schemas.openxmlformats.org/officeDocument/2006/relationships/hyperlink" Target="https://docs.google.com/spreadsheets/d/1t_One5cQAohggUHOpqwpyW8iTSczHhoAH1g6ZgNwz6E/edit" TargetMode="External"/><Relationship Id="rId4" Type="http://schemas.openxmlformats.org/officeDocument/2006/relationships/hyperlink" Target="https://docs.google.com/spreadsheets/d/1t_One5cQAohggUHOpqwpyW8iTSczHhoAH1g6ZgNwz6E/edit" TargetMode="External"/><Relationship Id="rId9" Type="http://schemas.openxmlformats.org/officeDocument/2006/relationships/drawing" Target="../drawings/drawing78.xml"/><Relationship Id="rId5" Type="http://schemas.openxmlformats.org/officeDocument/2006/relationships/hyperlink" Target="https://docs.google.com/spreadsheets/d/1t_One5cQAohggUHOpqwpyW8iTSczHhoAH1g6ZgNwz6E/edit" TargetMode="External"/><Relationship Id="rId6" Type="http://schemas.openxmlformats.org/officeDocument/2006/relationships/hyperlink" Target="https://docs.google.com/spreadsheets/d/1t_One5cQAohggUHOpqwpyW8iTSczHhoAH1g6ZgNwz6E/edit" TargetMode="External"/><Relationship Id="rId7" Type="http://schemas.openxmlformats.org/officeDocument/2006/relationships/hyperlink" Target="https://docs.google.com/spreadsheets/d/1t_One5cQAohggUHOpqwpyW8iTSczHhoAH1g6ZgNwz6E/edit" TargetMode="External"/><Relationship Id="rId8" Type="http://schemas.openxmlformats.org/officeDocument/2006/relationships/hyperlink" Target="https://docs.google.com/spreadsheets/d/1t_One5cQAohggUHOpqwpyW8iTSczHhoAH1g6ZgNwz6E/edit" TargetMode="Externa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orG2LEngJmTUuNtyVXmIXjBRvmdtZ5qSeg94QoXiDw/edit" TargetMode="External"/><Relationship Id="rId2" Type="http://schemas.openxmlformats.org/officeDocument/2006/relationships/hyperlink" Target="https://docs.google.com/spreadsheets/d/1SorG2LEngJmTUuNtyVXmIXjBRvmdtZ5qSeg94QoXiDw/edit" TargetMode="External"/><Relationship Id="rId3" Type="http://schemas.openxmlformats.org/officeDocument/2006/relationships/hyperlink" Target="https://docs.google.com/spreadsheets/d/1SorG2LEngJmTUuNtyVXmIXjBRvmdtZ5qSeg94QoXiDw/edit" TargetMode="External"/><Relationship Id="rId4" Type="http://schemas.openxmlformats.org/officeDocument/2006/relationships/hyperlink" Target="https://docs.google.com/spreadsheets/d/1SorG2LEngJmTUuNtyVXmIXjBRvmdtZ5qSeg94QoXiDw/edit" TargetMode="External"/><Relationship Id="rId9" Type="http://schemas.openxmlformats.org/officeDocument/2006/relationships/drawing" Target="../drawings/drawing79.xml"/><Relationship Id="rId5" Type="http://schemas.openxmlformats.org/officeDocument/2006/relationships/hyperlink" Target="https://docs.google.com/spreadsheets/d/1SorG2LEngJmTUuNtyVXmIXjBRvmdtZ5qSeg94QoXiDw/edit" TargetMode="External"/><Relationship Id="rId6" Type="http://schemas.openxmlformats.org/officeDocument/2006/relationships/hyperlink" Target="https://docs.google.com/spreadsheets/d/1SorG2LEngJmTUuNtyVXmIXjBRvmdtZ5qSeg94QoXiDw/edit" TargetMode="External"/><Relationship Id="rId7" Type="http://schemas.openxmlformats.org/officeDocument/2006/relationships/hyperlink" Target="https://docs.google.com/spreadsheets/d/1SorG2LEngJmTUuNtyVXmIXjBRvmdtZ5qSeg94QoXiDw/edit" TargetMode="External"/><Relationship Id="rId8" Type="http://schemas.openxmlformats.org/officeDocument/2006/relationships/hyperlink" Target="https://docs.google.com/spreadsheets/d/1SorG2LEngJmTUuNtyVXmIXjBRvmdtZ5qSeg94QoXiDw/edit" TargetMode="Externa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rzn0NIQ3ldd5yof04OUV-uyYaZ0NtLpXSaOJD-QEIU/edit" TargetMode="External"/><Relationship Id="rId2" Type="http://schemas.openxmlformats.org/officeDocument/2006/relationships/hyperlink" Target="https://docs.google.com/spreadsheets/d/1qrzn0NIQ3ldd5yof04OUV-uyYaZ0NtLpXSaOJD-QEIU/edit" TargetMode="External"/><Relationship Id="rId3" Type="http://schemas.openxmlformats.org/officeDocument/2006/relationships/hyperlink" Target="https://docs.google.com/spreadsheets/d/1qrzn0NIQ3ldd5yof04OUV-uyYaZ0NtLpXSaOJD-QEIU/edit" TargetMode="External"/><Relationship Id="rId4" Type="http://schemas.openxmlformats.org/officeDocument/2006/relationships/hyperlink" Target="https://docs.google.com/spreadsheets/d/1qrzn0NIQ3ldd5yof04OUV-uyYaZ0NtLpXSaOJD-QEIU/edit" TargetMode="External"/><Relationship Id="rId9" Type="http://schemas.openxmlformats.org/officeDocument/2006/relationships/drawing" Target="../drawings/drawing80.xml"/><Relationship Id="rId5" Type="http://schemas.openxmlformats.org/officeDocument/2006/relationships/hyperlink" Target="https://docs.google.com/spreadsheets/d/1qrzn0NIQ3ldd5yof04OUV-uyYaZ0NtLpXSaOJD-QEIU/edit" TargetMode="External"/><Relationship Id="rId6" Type="http://schemas.openxmlformats.org/officeDocument/2006/relationships/hyperlink" Target="https://docs.google.com/spreadsheets/d/1qrzn0NIQ3ldd5yof04OUV-uyYaZ0NtLpXSaOJD-QEIU/edit" TargetMode="External"/><Relationship Id="rId7" Type="http://schemas.openxmlformats.org/officeDocument/2006/relationships/hyperlink" Target="https://docs.google.com/spreadsheets/d/1qrzn0NIQ3ldd5yof04OUV-uyYaZ0NtLpXSaOJD-QEIU/edit" TargetMode="External"/><Relationship Id="rId8" Type="http://schemas.openxmlformats.org/officeDocument/2006/relationships/hyperlink" Target="https://docs.google.com/spreadsheets/d/1qrzn0NIQ3ldd5yof04OUV-uyYaZ0NtLpXSaOJD-QEIU/edit" TargetMode="Externa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8jcPVz_vDQljKAllbvF7DZkmq8ZGTNvkTtD2yqW8Yo/edit" TargetMode="External"/><Relationship Id="rId2" Type="http://schemas.openxmlformats.org/officeDocument/2006/relationships/hyperlink" Target="https://docs.google.com/spreadsheets/d/1B8jcPVz_vDQljKAllbvF7DZkmq8ZGTNvkTtD2yqW8Yo/edit" TargetMode="External"/><Relationship Id="rId3" Type="http://schemas.openxmlformats.org/officeDocument/2006/relationships/hyperlink" Target="https://docs.google.com/spreadsheets/d/1B8jcPVz_vDQljKAllbvF7DZkmq8ZGTNvkTtD2yqW8Yo/edit" TargetMode="External"/><Relationship Id="rId4" Type="http://schemas.openxmlformats.org/officeDocument/2006/relationships/hyperlink" Target="https://docs.google.com/spreadsheets/d/1B8jcPVz_vDQljKAllbvF7DZkmq8ZGTNvkTtD2yqW8Yo/edit" TargetMode="External"/><Relationship Id="rId9" Type="http://schemas.openxmlformats.org/officeDocument/2006/relationships/drawing" Target="../drawings/drawing81.xml"/><Relationship Id="rId5" Type="http://schemas.openxmlformats.org/officeDocument/2006/relationships/hyperlink" Target="https://docs.google.com/spreadsheets/d/1B8jcPVz_vDQljKAllbvF7DZkmq8ZGTNvkTtD2yqW8Yo/edit" TargetMode="External"/><Relationship Id="rId6" Type="http://schemas.openxmlformats.org/officeDocument/2006/relationships/hyperlink" Target="https://docs.google.com/spreadsheets/d/1B8jcPVz_vDQljKAllbvF7DZkmq8ZGTNvkTtD2yqW8Yo/edit" TargetMode="External"/><Relationship Id="rId7" Type="http://schemas.openxmlformats.org/officeDocument/2006/relationships/hyperlink" Target="https://docs.google.com/spreadsheets/d/1B8jcPVz_vDQljKAllbvF7DZkmq8ZGTNvkTtD2yqW8Yo/edit" TargetMode="External"/><Relationship Id="rId8" Type="http://schemas.openxmlformats.org/officeDocument/2006/relationships/hyperlink" Target="https://docs.google.com/spreadsheets/d/1B8jcPVz_vDQljKAllbvF7DZkmq8ZGTNvkTtD2yqW8Yo/edit" TargetMode="Externa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R-sxHioVLUn4dk5-JeDmSq6ePk8Dv4q9bw-xXfl748/edit" TargetMode="External"/><Relationship Id="rId2" Type="http://schemas.openxmlformats.org/officeDocument/2006/relationships/hyperlink" Target="https://docs.google.com/spreadsheets/d/1pR-sxHioVLUn4dk5-JeDmSq6ePk8Dv4q9bw-xXfl748/edit" TargetMode="External"/><Relationship Id="rId3" Type="http://schemas.openxmlformats.org/officeDocument/2006/relationships/hyperlink" Target="https://docs.google.com/spreadsheets/d/1pR-sxHioVLUn4dk5-JeDmSq6ePk8Dv4q9bw-xXfl748/edit" TargetMode="External"/><Relationship Id="rId4" Type="http://schemas.openxmlformats.org/officeDocument/2006/relationships/hyperlink" Target="https://docs.google.com/spreadsheets/d/1pR-sxHioVLUn4dk5-JeDmSq6ePk8Dv4q9bw-xXfl748/edit" TargetMode="External"/><Relationship Id="rId9" Type="http://schemas.openxmlformats.org/officeDocument/2006/relationships/drawing" Target="../drawings/drawing82.xml"/><Relationship Id="rId5" Type="http://schemas.openxmlformats.org/officeDocument/2006/relationships/hyperlink" Target="https://docs.google.com/spreadsheets/d/1pR-sxHioVLUn4dk5-JeDmSq6ePk8Dv4q9bw-xXfl748/edit" TargetMode="External"/><Relationship Id="rId6" Type="http://schemas.openxmlformats.org/officeDocument/2006/relationships/hyperlink" Target="https://docs.google.com/spreadsheets/d/1pR-sxHioVLUn4dk5-JeDmSq6ePk8Dv4q9bw-xXfl748/edit" TargetMode="External"/><Relationship Id="rId7" Type="http://schemas.openxmlformats.org/officeDocument/2006/relationships/hyperlink" Target="https://docs.google.com/spreadsheets/d/1pR-sxHioVLUn4dk5-JeDmSq6ePk8Dv4q9bw-xXfl748/edit" TargetMode="External"/><Relationship Id="rId8" Type="http://schemas.openxmlformats.org/officeDocument/2006/relationships/hyperlink" Target="https://docs.google.com/spreadsheets/d/1pR-sxHioVLUn4dk5-JeDmSq6ePk8Dv4q9bw-xXfl748/edit" TargetMode="Externa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4RvRqPDT5bUuPKHkdPkryF8llXjtZKbLKXY1hv-6WY/edit" TargetMode="External"/><Relationship Id="rId2" Type="http://schemas.openxmlformats.org/officeDocument/2006/relationships/hyperlink" Target="https://docs.google.com/spreadsheets/d/1o4RvRqPDT5bUuPKHkdPkryF8llXjtZKbLKXY1hv-6WY/edit" TargetMode="External"/><Relationship Id="rId3" Type="http://schemas.openxmlformats.org/officeDocument/2006/relationships/hyperlink" Target="https://docs.google.com/spreadsheets/d/1o4RvRqPDT5bUuPKHkdPkryF8llXjtZKbLKXY1hv-6WY/edit" TargetMode="External"/><Relationship Id="rId4" Type="http://schemas.openxmlformats.org/officeDocument/2006/relationships/hyperlink" Target="https://docs.google.com/spreadsheets/d/1o4RvRqPDT5bUuPKHkdPkryF8llXjtZKbLKXY1hv-6WY/edit" TargetMode="External"/><Relationship Id="rId9" Type="http://schemas.openxmlformats.org/officeDocument/2006/relationships/drawing" Target="../drawings/drawing83.xml"/><Relationship Id="rId5" Type="http://schemas.openxmlformats.org/officeDocument/2006/relationships/hyperlink" Target="https://docs.google.com/spreadsheets/d/1o4RvRqPDT5bUuPKHkdPkryF8llXjtZKbLKXY1hv-6WY/edit" TargetMode="External"/><Relationship Id="rId6" Type="http://schemas.openxmlformats.org/officeDocument/2006/relationships/hyperlink" Target="https://docs.google.com/spreadsheets/d/1o4RvRqPDT5bUuPKHkdPkryF8llXjtZKbLKXY1hv-6WY/edit" TargetMode="External"/><Relationship Id="rId7" Type="http://schemas.openxmlformats.org/officeDocument/2006/relationships/hyperlink" Target="https://docs.google.com/spreadsheets/d/1o4RvRqPDT5bUuPKHkdPkryF8llXjtZKbLKXY1hv-6WY/edit" TargetMode="External"/><Relationship Id="rId8" Type="http://schemas.openxmlformats.org/officeDocument/2006/relationships/hyperlink" Target="https://docs.google.com/spreadsheets/d/1o4RvRqPDT5bUuPKHkdPkryF8llXjtZKbLKXY1hv-6WY/edit" TargetMode="Externa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13"/>
    <col customWidth="1" hidden="1" min="2" max="2" width="14.5"/>
    <col hidden="1" min="3" max="3" width="12.63"/>
    <col customWidth="1" hidden="1" min="4" max="4" width="14.25"/>
    <col customWidth="1" hidden="1" min="5" max="5" width="13.13"/>
    <col customWidth="1" hidden="1" min="6" max="6" width="18.13"/>
    <col customWidth="1" hidden="1" min="7" max="7" width="17.75"/>
    <col customWidth="1" hidden="1" min="8" max="8" width="17.0"/>
    <col customWidth="1" hidden="1" min="9" max="9" width="17.5"/>
    <col customWidth="1" hidden="1" min="10" max="10" width="16.88"/>
    <col customWidth="1" hidden="1" min="11" max="11" width="20.38"/>
    <col customWidth="1" hidden="1" min="12" max="12" width="16.75"/>
    <col customWidth="1" hidden="1" min="13" max="13" width="14.5"/>
    <col customWidth="1" hidden="1" min="14" max="14" width="18.13"/>
    <col customWidth="1" hidden="1" min="15" max="15" width="18.38"/>
    <col customWidth="1" hidden="1" min="16" max="16" width="21.0"/>
    <col customWidth="1" hidden="1" min="17" max="17" width="35.75"/>
    <col customWidth="1" hidden="1" min="18" max="18" width="22.63"/>
    <col customWidth="1" hidden="1" min="19" max="19" width="23.38"/>
    <col customWidth="1" hidden="1" min="20" max="20" width="23.0"/>
    <col customWidth="1" hidden="1" min="21" max="21" width="22.63"/>
    <col customWidth="1" hidden="1" min="22" max="22" width="15.88"/>
    <col customWidth="1" hidden="1" min="23" max="23" width="23.0"/>
    <col customWidth="1" hidden="1" min="24" max="24" width="17.13"/>
    <col customWidth="1" hidden="1" min="25" max="25" width="15.25"/>
    <col customWidth="1" hidden="1" min="26" max="26" width="13.63"/>
    <col customWidth="1" hidden="1" min="27" max="27" width="16.88"/>
    <col customWidth="1" hidden="1" min="28" max="28" width="13.5"/>
    <col customWidth="1" hidden="1" min="29" max="29" width="17.38"/>
    <col customWidth="1" hidden="1" min="30" max="30" width="18.25"/>
    <col customWidth="1" hidden="1" min="31" max="32" width="17.25"/>
    <col customWidth="1" hidden="1" min="33" max="33" width="15.13"/>
    <col customWidth="1" hidden="1" min="34" max="34" width="14.5"/>
    <col customWidth="1" hidden="1" min="35" max="35" width="18.5"/>
    <col customWidth="1" hidden="1" min="36" max="36" width="12.25"/>
    <col customWidth="1" hidden="1" min="37" max="37" width="14.88"/>
    <col customWidth="1" hidden="1" min="38" max="38" width="13.25"/>
    <col customWidth="1" hidden="1" min="39" max="39" width="18.13"/>
    <col customWidth="1" hidden="1" min="40" max="40" width="16.75"/>
    <col customWidth="1" hidden="1" min="41" max="41" width="17.0"/>
    <col customWidth="1" hidden="1" min="42" max="42" width="16.88"/>
    <col customWidth="1" hidden="1" min="43" max="43" width="22.13"/>
    <col customWidth="1" hidden="1" min="44" max="44" width="19.38"/>
    <col customWidth="1" hidden="1" min="45" max="48" width="23.75"/>
    <col customWidth="1" hidden="1" min="49" max="49" width="13.5"/>
    <col customWidth="1" hidden="1" min="50" max="50" width="9.38"/>
    <col customWidth="1" hidden="1" min="51" max="51" width="17.25"/>
    <col customWidth="1" hidden="1" min="52" max="52" width="18.0"/>
    <col customWidth="1" hidden="1" min="53" max="54" width="19.5"/>
    <col customWidth="1" hidden="1" min="55" max="55" width="21.25"/>
    <col customWidth="1" hidden="1" min="56" max="56" width="13.5"/>
    <col customWidth="1" hidden="1" min="57" max="57" width="20.38"/>
    <col customWidth="1" hidden="1" min="58" max="59" width="19.5"/>
    <col customWidth="1" hidden="1" min="60" max="60" width="14.63"/>
    <col customWidth="1" hidden="1" min="61" max="62" width="19.5"/>
    <col customWidth="1" hidden="1" min="63" max="63" width="16.63"/>
    <col customWidth="1" hidden="1" min="64" max="64" width="16.0"/>
    <col customWidth="1" hidden="1" min="65" max="65" width="16.88"/>
    <col customWidth="1" hidden="1" min="66" max="68" width="22.5"/>
    <col customWidth="1" hidden="1" min="69" max="69" width="18.38"/>
    <col customWidth="1" hidden="1" min="70" max="79" width="24.63"/>
    <col customWidth="1" min="80" max="86" width="24.63"/>
  </cols>
  <sheetData>
    <row r="1">
      <c r="B1" s="1">
        <v>2022.0</v>
      </c>
      <c r="F1" s="1">
        <v>2023.0</v>
      </c>
      <c r="AE1" s="2">
        <v>2024.0</v>
      </c>
      <c r="AK1" s="3"/>
      <c r="AL1" s="3"/>
      <c r="AM1" s="3"/>
      <c r="AN1" s="3"/>
      <c r="AO1" s="3"/>
      <c r="AP1" s="4"/>
      <c r="AQ1" s="5"/>
      <c r="AR1" s="6"/>
      <c r="AS1" s="3"/>
      <c r="AT1" s="3"/>
      <c r="AU1" s="3"/>
      <c r="AV1" s="3"/>
      <c r="AW1" s="3"/>
      <c r="AX1" s="3"/>
      <c r="AY1" s="3"/>
      <c r="AZ1" s="3"/>
      <c r="BA1" s="3"/>
      <c r="BB1" s="3"/>
      <c r="BC1" s="6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ht="46.5" customHeight="1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8" t="s">
        <v>8</v>
      </c>
      <c r="K2" s="8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9" t="s">
        <v>21</v>
      </c>
      <c r="X2" s="9" t="s">
        <v>22</v>
      </c>
      <c r="Y2" s="10" t="s">
        <v>23</v>
      </c>
      <c r="Z2" s="8" t="s">
        <v>24</v>
      </c>
      <c r="AA2" s="8" t="s">
        <v>25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11" t="s">
        <v>33</v>
      </c>
      <c r="AJ2" s="7" t="s">
        <v>34</v>
      </c>
      <c r="AK2" s="10" t="s">
        <v>35</v>
      </c>
      <c r="AL2" s="10" t="s">
        <v>36</v>
      </c>
      <c r="AM2" s="10" t="s">
        <v>37</v>
      </c>
      <c r="AN2" s="10" t="s">
        <v>38</v>
      </c>
      <c r="AO2" s="10" t="s">
        <v>39</v>
      </c>
      <c r="AP2" s="12" t="s">
        <v>40</v>
      </c>
      <c r="AQ2" s="4" t="s">
        <v>41</v>
      </c>
      <c r="AR2" s="13" t="s">
        <v>42</v>
      </c>
      <c r="AS2" s="10" t="s">
        <v>43</v>
      </c>
      <c r="AT2" s="10" t="s">
        <v>44</v>
      </c>
      <c r="AU2" s="10" t="s">
        <v>45</v>
      </c>
      <c r="AV2" s="10" t="s">
        <v>46</v>
      </c>
      <c r="AW2" s="10" t="s">
        <v>47</v>
      </c>
      <c r="AX2" s="10" t="s">
        <v>48</v>
      </c>
      <c r="AY2" s="10" t="s">
        <v>49</v>
      </c>
      <c r="AZ2" s="10" t="s">
        <v>50</v>
      </c>
      <c r="BA2" s="10" t="s">
        <v>51</v>
      </c>
      <c r="BB2" s="10" t="s">
        <v>52</v>
      </c>
      <c r="BC2" s="13" t="s">
        <v>53</v>
      </c>
      <c r="BD2" s="10" t="s">
        <v>54</v>
      </c>
      <c r="BE2" s="10" t="s">
        <v>55</v>
      </c>
      <c r="BF2" s="10" t="s">
        <v>56</v>
      </c>
      <c r="BG2" s="10" t="s">
        <v>57</v>
      </c>
      <c r="BH2" s="10" t="s">
        <v>58</v>
      </c>
      <c r="BI2" s="10" t="s">
        <v>59</v>
      </c>
      <c r="BJ2" s="10" t="s">
        <v>60</v>
      </c>
      <c r="BK2" s="10" t="s">
        <v>61</v>
      </c>
      <c r="BL2" s="10" t="s">
        <v>62</v>
      </c>
      <c r="BM2" s="10" t="s">
        <v>63</v>
      </c>
      <c r="BN2" s="10" t="s">
        <v>64</v>
      </c>
      <c r="BO2" s="10" t="s">
        <v>65</v>
      </c>
      <c r="BP2" s="10" t="s">
        <v>66</v>
      </c>
      <c r="BQ2" s="10" t="s">
        <v>67</v>
      </c>
      <c r="BR2" s="10" t="s">
        <v>68</v>
      </c>
      <c r="BS2" s="10" t="s">
        <v>69</v>
      </c>
      <c r="BT2" s="10" t="s">
        <v>70</v>
      </c>
      <c r="BU2" s="10" t="s">
        <v>71</v>
      </c>
      <c r="BV2" s="10" t="s">
        <v>72</v>
      </c>
      <c r="BW2" s="7" t="s">
        <v>73</v>
      </c>
      <c r="BX2" s="7" t="s">
        <v>74</v>
      </c>
      <c r="BY2" s="7" t="s">
        <v>75</v>
      </c>
      <c r="BZ2" s="7" t="s">
        <v>76</v>
      </c>
      <c r="CA2" s="7" t="s">
        <v>77</v>
      </c>
      <c r="CB2" s="7" t="s">
        <v>78</v>
      </c>
      <c r="CC2" s="7" t="s">
        <v>79</v>
      </c>
      <c r="CD2" s="7" t="s">
        <v>80</v>
      </c>
      <c r="CE2" s="7" t="s">
        <v>81</v>
      </c>
      <c r="CF2" s="7" t="s">
        <v>82</v>
      </c>
      <c r="CG2" s="7" t="s">
        <v>83</v>
      </c>
      <c r="CH2" s="7" t="s">
        <v>84</v>
      </c>
    </row>
    <row r="3">
      <c r="A3" s="14" t="s">
        <v>85</v>
      </c>
      <c r="B3" s="15">
        <v>2.86</v>
      </c>
      <c r="C3" s="16">
        <v>1.65</v>
      </c>
      <c r="D3" s="16">
        <v>1.67</v>
      </c>
      <c r="E3" s="16">
        <v>1.58</v>
      </c>
      <c r="F3" s="16">
        <v>1.54</v>
      </c>
      <c r="G3" s="16">
        <v>1.6</v>
      </c>
      <c r="H3" s="17">
        <v>4.62</v>
      </c>
      <c r="I3" s="7">
        <v>2.58</v>
      </c>
      <c r="J3" s="18">
        <v>2.91</v>
      </c>
      <c r="K3" s="19">
        <v>3.6</v>
      </c>
      <c r="L3" s="16">
        <v>2.19</v>
      </c>
      <c r="M3" s="20">
        <v>1.87</v>
      </c>
      <c r="N3" s="20">
        <v>2.34</v>
      </c>
      <c r="O3" s="7">
        <v>3.64</v>
      </c>
      <c r="P3" s="7">
        <v>2.15</v>
      </c>
      <c r="Q3" s="21">
        <v>1.91</v>
      </c>
      <c r="R3" s="22">
        <v>3.19</v>
      </c>
      <c r="S3" s="16">
        <v>1.97</v>
      </c>
      <c r="T3" s="20">
        <v>2.72</v>
      </c>
      <c r="U3" s="23">
        <v>2.68</v>
      </c>
      <c r="V3" s="20">
        <v>2.89</v>
      </c>
      <c r="W3" s="20">
        <v>1.97</v>
      </c>
      <c r="X3" s="20">
        <v>3.37</v>
      </c>
      <c r="Y3" s="24">
        <v>1.8</v>
      </c>
      <c r="Z3" s="18">
        <v>1.25</v>
      </c>
      <c r="AA3" s="18">
        <v>1.76</v>
      </c>
      <c r="AB3" s="16">
        <v>2.27</v>
      </c>
      <c r="AC3" s="16">
        <v>3.07</v>
      </c>
      <c r="AD3" s="16">
        <v>1.92</v>
      </c>
      <c r="AE3" s="16">
        <v>1.43</v>
      </c>
      <c r="AF3" s="20">
        <v>2.67</v>
      </c>
      <c r="AG3" s="7">
        <v>3.33</v>
      </c>
      <c r="AH3" s="7">
        <v>2.42</v>
      </c>
      <c r="AI3" s="20">
        <v>2.81</v>
      </c>
      <c r="AJ3" s="20">
        <v>3.13</v>
      </c>
      <c r="AK3" s="24">
        <v>3.16</v>
      </c>
      <c r="AL3" s="24">
        <v>2.52</v>
      </c>
      <c r="AM3" s="25">
        <v>2.1</v>
      </c>
      <c r="AN3" s="26">
        <v>4.54</v>
      </c>
      <c r="AO3" s="24">
        <v>2.59</v>
      </c>
      <c r="AP3" s="27">
        <v>2.81</v>
      </c>
      <c r="AQ3" s="27">
        <v>2.02</v>
      </c>
      <c r="AR3" s="28">
        <v>2.39</v>
      </c>
      <c r="AS3" s="24">
        <v>2.95</v>
      </c>
      <c r="AT3" s="24">
        <v>3.39</v>
      </c>
      <c r="AU3" s="23">
        <v>3.54</v>
      </c>
      <c r="AV3" s="23">
        <v>3.0</v>
      </c>
      <c r="AW3" s="29">
        <v>2.29</v>
      </c>
      <c r="AX3" s="29">
        <v>2.35</v>
      </c>
      <c r="AY3" s="29">
        <v>1.81</v>
      </c>
      <c r="AZ3" s="25">
        <v>1.99</v>
      </c>
      <c r="BA3" s="25">
        <v>2.22</v>
      </c>
      <c r="BB3" s="25">
        <v>1.43</v>
      </c>
      <c r="BC3" s="28">
        <v>2.45</v>
      </c>
      <c r="BD3" s="25">
        <v>2.41</v>
      </c>
      <c r="BE3" s="10">
        <v>4.11</v>
      </c>
      <c r="BF3" s="25">
        <v>2.46</v>
      </c>
      <c r="BG3" s="24">
        <v>2.46</v>
      </c>
      <c r="BH3" s="25">
        <v>2.83</v>
      </c>
      <c r="BI3" s="25">
        <v>2.69</v>
      </c>
      <c r="BJ3" s="25">
        <v>2.77</v>
      </c>
      <c r="BK3" s="24">
        <v>3.38</v>
      </c>
      <c r="BL3" s="25">
        <v>2.19</v>
      </c>
      <c r="BM3" s="10">
        <v>4.24</v>
      </c>
      <c r="BN3" s="24">
        <v>2.69</v>
      </c>
      <c r="BO3" s="24">
        <v>3.4</v>
      </c>
      <c r="BP3" s="24">
        <v>2.95</v>
      </c>
      <c r="BQ3" s="25">
        <v>2.97</v>
      </c>
      <c r="BR3" s="25">
        <v>2.84</v>
      </c>
      <c r="BS3" s="10">
        <v>3.65</v>
      </c>
      <c r="BT3" s="10">
        <v>3.31</v>
      </c>
      <c r="BU3" s="25">
        <v>2.51</v>
      </c>
      <c r="BV3" s="24">
        <v>2.43</v>
      </c>
      <c r="BW3" s="24">
        <v>2.5</v>
      </c>
      <c r="BX3" s="10">
        <v>4.24</v>
      </c>
      <c r="BY3" s="24">
        <v>2.9</v>
      </c>
      <c r="BZ3" s="10">
        <v>3.56</v>
      </c>
      <c r="CA3" s="24">
        <v>3.54</v>
      </c>
      <c r="CB3" s="24">
        <v>3.63</v>
      </c>
      <c r="CC3" s="24">
        <v>2.76</v>
      </c>
      <c r="CD3" s="25">
        <v>1.51</v>
      </c>
      <c r="CE3" s="10">
        <v>2.8</v>
      </c>
      <c r="CF3" s="30">
        <v>2.0</v>
      </c>
      <c r="CG3" s="24">
        <v>2.52</v>
      </c>
      <c r="CH3" s="26">
        <v>4.94</v>
      </c>
    </row>
    <row r="4">
      <c r="A4" s="14" t="s">
        <v>86</v>
      </c>
      <c r="B4" s="17">
        <v>4.71</v>
      </c>
      <c r="C4" s="15">
        <v>3.66</v>
      </c>
      <c r="D4" s="15">
        <v>3.89</v>
      </c>
      <c r="E4" s="7">
        <v>2.4</v>
      </c>
      <c r="F4" s="7">
        <v>2.48</v>
      </c>
      <c r="G4" s="15">
        <v>3.21</v>
      </c>
      <c r="H4" s="17">
        <v>4.62</v>
      </c>
      <c r="I4" s="17">
        <v>3.87</v>
      </c>
      <c r="J4" s="31">
        <v>4.94</v>
      </c>
      <c r="K4" s="8" t="s">
        <v>87</v>
      </c>
      <c r="L4" s="7">
        <v>3.62</v>
      </c>
      <c r="M4" s="17">
        <v>4.81</v>
      </c>
      <c r="N4" s="7">
        <v>3.03</v>
      </c>
      <c r="O4" s="20">
        <v>2.26</v>
      </c>
      <c r="P4" s="20">
        <v>3.59</v>
      </c>
      <c r="Q4" s="22">
        <v>3.13</v>
      </c>
      <c r="R4" s="32">
        <v>3.29</v>
      </c>
      <c r="S4" s="20">
        <v>2.93</v>
      </c>
      <c r="T4" s="20">
        <v>2.84</v>
      </c>
      <c r="U4" s="33">
        <v>4.29</v>
      </c>
      <c r="V4" s="17">
        <v>5.1</v>
      </c>
      <c r="W4" s="7">
        <v>2.89</v>
      </c>
      <c r="X4" s="7">
        <v>4.17</v>
      </c>
      <c r="Y4" s="25">
        <v>0.5</v>
      </c>
      <c r="Z4" s="8">
        <v>4.79</v>
      </c>
      <c r="AA4" s="34">
        <v>2.95</v>
      </c>
      <c r="AB4" s="7">
        <v>4.31</v>
      </c>
      <c r="AC4" s="7">
        <v>3.7</v>
      </c>
      <c r="AD4" s="17">
        <v>3.45</v>
      </c>
      <c r="AE4" s="7">
        <v>3.61</v>
      </c>
      <c r="AF4" s="20">
        <v>3.08</v>
      </c>
      <c r="AG4" s="20">
        <v>2.92</v>
      </c>
      <c r="AH4" s="7">
        <v>3.2</v>
      </c>
      <c r="AI4" s="20">
        <v>2.76</v>
      </c>
      <c r="AJ4" s="17">
        <v>4.31</v>
      </c>
      <c r="AK4" s="10">
        <v>3.66</v>
      </c>
      <c r="AL4" s="24">
        <v>2.66</v>
      </c>
      <c r="AM4" s="24">
        <v>3.07</v>
      </c>
      <c r="AN4" s="25">
        <v>3.05</v>
      </c>
      <c r="AO4" s="16">
        <v>2.08</v>
      </c>
      <c r="AP4" s="4">
        <v>4.09</v>
      </c>
      <c r="AQ4" s="35">
        <v>4.46</v>
      </c>
      <c r="AR4" s="13">
        <v>4.47</v>
      </c>
      <c r="AS4" s="26">
        <v>3.89</v>
      </c>
      <c r="AT4" s="24">
        <v>3.02</v>
      </c>
      <c r="AU4" s="33">
        <v>4.83</v>
      </c>
      <c r="AV4" s="23">
        <v>3.06</v>
      </c>
      <c r="AW4" s="33">
        <v>4.41</v>
      </c>
      <c r="AX4" s="23">
        <v>3.04</v>
      </c>
      <c r="AY4" s="33">
        <v>3.25</v>
      </c>
      <c r="AZ4" s="10">
        <v>3.91</v>
      </c>
      <c r="BA4" s="26">
        <v>4.51</v>
      </c>
      <c r="BB4" s="10">
        <v>4.08</v>
      </c>
      <c r="BC4" s="36">
        <v>5.04</v>
      </c>
      <c r="BD4" s="10">
        <v>4.95</v>
      </c>
      <c r="BE4" s="10">
        <v>4.59</v>
      </c>
      <c r="BF4" s="10">
        <v>3.87</v>
      </c>
      <c r="BG4" s="26">
        <v>4.98</v>
      </c>
      <c r="BH4" s="10">
        <v>4.15</v>
      </c>
      <c r="BI4" s="10">
        <v>4.28</v>
      </c>
      <c r="BJ4" s="24">
        <v>3.84</v>
      </c>
      <c r="BK4" s="10">
        <v>4.8</v>
      </c>
      <c r="BL4" s="10">
        <v>4.21</v>
      </c>
      <c r="BM4" s="26">
        <v>5.4</v>
      </c>
      <c r="BN4" s="10">
        <v>3.54</v>
      </c>
      <c r="BO4" s="26">
        <v>5.34</v>
      </c>
      <c r="BP4" s="10">
        <v>4.63</v>
      </c>
      <c r="BQ4" s="10">
        <v>4.34</v>
      </c>
      <c r="BR4" s="10">
        <v>4.8</v>
      </c>
      <c r="BS4" s="10">
        <v>3.73</v>
      </c>
      <c r="BT4" s="24">
        <v>1.84</v>
      </c>
      <c r="BU4" s="10">
        <v>3.69</v>
      </c>
      <c r="BV4" s="24">
        <v>3.07</v>
      </c>
      <c r="BW4" s="10">
        <v>4.19</v>
      </c>
      <c r="BX4" s="10">
        <v>4.52</v>
      </c>
      <c r="BY4" s="10">
        <v>3.71</v>
      </c>
      <c r="BZ4" s="10">
        <v>3.46</v>
      </c>
      <c r="CA4" s="26">
        <v>5.27</v>
      </c>
      <c r="CB4" s="26">
        <v>4.65</v>
      </c>
      <c r="CC4" s="26">
        <v>3.54</v>
      </c>
      <c r="CD4" s="26">
        <v>5.21</v>
      </c>
      <c r="CE4" s="24">
        <v>3.44</v>
      </c>
      <c r="CF4" s="24">
        <v>2.87</v>
      </c>
      <c r="CG4" s="24">
        <v>3.2</v>
      </c>
      <c r="CH4" s="24">
        <v>3.01</v>
      </c>
    </row>
    <row r="5">
      <c r="A5" s="14" t="s">
        <v>88</v>
      </c>
      <c r="B5" s="7">
        <v>2.61</v>
      </c>
      <c r="C5" s="7">
        <v>1.76</v>
      </c>
      <c r="D5" s="7">
        <v>1.76</v>
      </c>
      <c r="E5" s="7">
        <v>1.76</v>
      </c>
      <c r="F5" s="15">
        <v>3.44</v>
      </c>
      <c r="G5" s="7">
        <v>2.69</v>
      </c>
      <c r="H5" s="7">
        <v>2.6</v>
      </c>
      <c r="I5" s="15">
        <v>2.87</v>
      </c>
      <c r="J5" s="8">
        <v>3.54</v>
      </c>
      <c r="K5" s="8">
        <v>2.65</v>
      </c>
      <c r="L5" s="15">
        <v>3.11</v>
      </c>
      <c r="M5" s="7">
        <v>3.06</v>
      </c>
      <c r="N5" s="20">
        <v>2.38</v>
      </c>
      <c r="O5" s="7">
        <v>3.78</v>
      </c>
      <c r="P5" s="20">
        <v>3.25</v>
      </c>
      <c r="Q5" s="20">
        <v>2.84</v>
      </c>
      <c r="R5" s="17">
        <v>3.42</v>
      </c>
      <c r="S5" s="7">
        <v>3.49</v>
      </c>
      <c r="T5" s="7">
        <v>4.15</v>
      </c>
      <c r="U5" s="33">
        <v>3.8</v>
      </c>
      <c r="V5" s="7">
        <v>4.14</v>
      </c>
      <c r="W5" s="7">
        <v>3.57</v>
      </c>
      <c r="X5" s="20">
        <v>3.26</v>
      </c>
      <c r="Y5" s="10">
        <v>4.3</v>
      </c>
      <c r="Z5" s="8">
        <v>3.27</v>
      </c>
      <c r="AA5" s="8">
        <v>4.0</v>
      </c>
      <c r="AB5" s="7">
        <v>4.0</v>
      </c>
      <c r="AC5" s="7">
        <v>4.0</v>
      </c>
      <c r="AD5" s="7">
        <v>3.2</v>
      </c>
      <c r="AE5" s="20">
        <v>2.51</v>
      </c>
      <c r="AF5" s="7">
        <v>3.63</v>
      </c>
      <c r="AG5" s="17">
        <v>3.96</v>
      </c>
      <c r="AH5" s="7">
        <v>3.15</v>
      </c>
      <c r="AI5" s="7">
        <v>3.89</v>
      </c>
      <c r="AJ5" s="20">
        <v>3.06</v>
      </c>
      <c r="AK5" s="24">
        <v>3.27</v>
      </c>
      <c r="AL5" s="10">
        <v>3.34</v>
      </c>
      <c r="AM5" s="24">
        <v>3.32</v>
      </c>
      <c r="AN5" s="24">
        <v>3.76</v>
      </c>
      <c r="AO5" s="24">
        <v>2.21</v>
      </c>
      <c r="AP5" s="4">
        <v>3.57</v>
      </c>
      <c r="AQ5" s="27">
        <v>2.58</v>
      </c>
      <c r="AR5" s="37">
        <v>3.04</v>
      </c>
      <c r="AS5" s="10">
        <v>3.36</v>
      </c>
      <c r="AT5" s="10">
        <v>4.26</v>
      </c>
      <c r="AU5" s="33">
        <v>4.04</v>
      </c>
      <c r="AV5" s="33">
        <v>3.49</v>
      </c>
      <c r="AW5" s="23">
        <v>3.4</v>
      </c>
      <c r="AX5" s="33">
        <v>3.31</v>
      </c>
      <c r="AY5" s="23">
        <v>2.77</v>
      </c>
      <c r="AZ5" s="10">
        <v>3.8</v>
      </c>
      <c r="BA5" s="10">
        <v>3.72</v>
      </c>
      <c r="BB5" s="10">
        <v>3.75</v>
      </c>
      <c r="BC5" s="28">
        <v>3.25</v>
      </c>
      <c r="BD5" s="24">
        <v>3.82</v>
      </c>
      <c r="BE5" s="25">
        <v>2.27</v>
      </c>
      <c r="BF5" s="24">
        <v>3.28</v>
      </c>
      <c r="BG5" s="24">
        <v>3.36</v>
      </c>
      <c r="BH5" s="24">
        <v>2.96</v>
      </c>
      <c r="BI5" s="24">
        <v>3.28</v>
      </c>
      <c r="BJ5" s="10">
        <v>4.11</v>
      </c>
      <c r="BK5" s="24">
        <v>3.68</v>
      </c>
      <c r="BL5" s="24">
        <v>3.88</v>
      </c>
      <c r="BM5" s="24">
        <v>3.74</v>
      </c>
      <c r="BN5" s="26">
        <v>3.74</v>
      </c>
      <c r="BO5" s="10">
        <v>3.84</v>
      </c>
      <c r="BP5" s="24">
        <v>2.74</v>
      </c>
      <c r="BQ5" s="24">
        <v>3.57</v>
      </c>
      <c r="BR5" s="24">
        <v>3.55</v>
      </c>
      <c r="BS5" s="10">
        <v>3.79</v>
      </c>
      <c r="BT5" s="10">
        <v>4.15</v>
      </c>
      <c r="BU5" s="24">
        <v>3.43</v>
      </c>
      <c r="BV5" s="10">
        <v>4.14</v>
      </c>
      <c r="BW5" s="24">
        <v>3.2</v>
      </c>
      <c r="BX5" s="10">
        <v>4.0</v>
      </c>
      <c r="BY5" s="24">
        <v>3.3</v>
      </c>
      <c r="BZ5" s="10">
        <v>3.6</v>
      </c>
      <c r="CA5" s="24">
        <v>3.45</v>
      </c>
      <c r="CB5" s="24">
        <v>3.4</v>
      </c>
      <c r="CC5" s="10">
        <v>3.05</v>
      </c>
      <c r="CD5" s="24">
        <v>3.23</v>
      </c>
      <c r="CE5" s="10">
        <v>3.16</v>
      </c>
      <c r="CF5" s="10">
        <v>3.7</v>
      </c>
      <c r="CG5" s="10">
        <v>3.61</v>
      </c>
      <c r="CH5" s="24">
        <v>3.24</v>
      </c>
    </row>
    <row r="6" hidden="1">
      <c r="A6" s="14" t="s">
        <v>89</v>
      </c>
      <c r="B6" s="7">
        <v>2.19</v>
      </c>
      <c r="C6" s="7">
        <v>2.33</v>
      </c>
      <c r="D6" s="7">
        <v>1.89</v>
      </c>
      <c r="E6" s="7">
        <v>2.56</v>
      </c>
      <c r="F6" s="7">
        <v>1.75</v>
      </c>
      <c r="G6" s="7">
        <v>2.78</v>
      </c>
      <c r="H6" s="7">
        <v>1.87</v>
      </c>
      <c r="I6" s="7">
        <v>2.3</v>
      </c>
      <c r="J6" s="8">
        <v>2.97</v>
      </c>
      <c r="K6" s="19">
        <v>3.52</v>
      </c>
      <c r="L6" s="15">
        <v>3.13</v>
      </c>
      <c r="M6" s="20">
        <v>2.35</v>
      </c>
      <c r="N6" s="16">
        <v>2.12</v>
      </c>
      <c r="O6" s="16">
        <v>2.09</v>
      </c>
      <c r="P6" s="16">
        <v>1.53</v>
      </c>
      <c r="Q6" s="32">
        <v>2.03</v>
      </c>
      <c r="R6" s="32"/>
      <c r="S6" s="38"/>
      <c r="T6" s="38"/>
      <c r="U6" s="14"/>
      <c r="V6" s="38"/>
      <c r="W6" s="38"/>
      <c r="X6" s="38"/>
      <c r="Y6" s="39"/>
      <c r="Z6" s="40"/>
      <c r="AA6" s="40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39"/>
      <c r="AM6" s="39"/>
      <c r="AN6" s="39"/>
      <c r="AO6" s="39"/>
      <c r="AP6" s="41"/>
      <c r="AQ6" s="41"/>
      <c r="AR6" s="42"/>
      <c r="AS6" s="39"/>
      <c r="AT6" s="39"/>
      <c r="AU6" s="14"/>
      <c r="AV6" s="14"/>
      <c r="AW6" s="14"/>
      <c r="AX6" s="14"/>
      <c r="AY6" s="14"/>
      <c r="AZ6" s="10"/>
      <c r="BA6" s="10"/>
      <c r="BB6" s="10"/>
      <c r="BC6" s="13"/>
      <c r="BD6" s="10"/>
      <c r="BE6" s="10"/>
      <c r="BF6" s="10"/>
      <c r="BG6" s="10"/>
      <c r="BH6" s="10"/>
      <c r="BI6" s="24"/>
      <c r="BJ6" s="10"/>
      <c r="BK6" s="10"/>
      <c r="BL6" s="10"/>
      <c r="BM6" s="10"/>
      <c r="BN6" s="10"/>
      <c r="BO6" s="10"/>
      <c r="BP6" s="10"/>
      <c r="BQ6" s="10"/>
      <c r="BR6" s="24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</row>
    <row r="7">
      <c r="A7" s="14" t="s">
        <v>90</v>
      </c>
      <c r="B7" s="15">
        <v>3.53</v>
      </c>
      <c r="C7" s="15">
        <v>4.56</v>
      </c>
      <c r="D7" s="17">
        <v>4.45</v>
      </c>
      <c r="E7" s="15">
        <v>4.12</v>
      </c>
      <c r="F7" s="17">
        <v>5.03</v>
      </c>
      <c r="G7" s="17">
        <v>3.92</v>
      </c>
      <c r="H7" s="15">
        <v>4.04</v>
      </c>
      <c r="I7" s="7">
        <v>2.54</v>
      </c>
      <c r="J7" s="19">
        <v>4.85</v>
      </c>
      <c r="K7" s="19">
        <v>3.69</v>
      </c>
      <c r="L7" s="17">
        <v>5.31</v>
      </c>
      <c r="M7" s="7">
        <v>4.14</v>
      </c>
      <c r="N7" s="7">
        <v>3.08</v>
      </c>
      <c r="O7" s="17">
        <v>4.57</v>
      </c>
      <c r="P7" s="17">
        <v>4.33</v>
      </c>
      <c r="Q7" s="43">
        <v>5.29</v>
      </c>
      <c r="R7" s="21">
        <v>2.92</v>
      </c>
      <c r="S7" s="17">
        <v>5.07</v>
      </c>
      <c r="T7" s="7">
        <v>4.39</v>
      </c>
      <c r="U7" s="44">
        <v>4.69</v>
      </c>
      <c r="V7" s="7">
        <v>4.13</v>
      </c>
      <c r="W7" s="7">
        <v>3.06</v>
      </c>
      <c r="X7" s="17">
        <v>5.55</v>
      </c>
      <c r="Y7" s="10">
        <v>3.07</v>
      </c>
      <c r="Z7" s="31">
        <v>5.08</v>
      </c>
      <c r="AA7" s="31">
        <v>5.25</v>
      </c>
      <c r="AB7" s="17">
        <v>5.59</v>
      </c>
      <c r="AC7" s="7">
        <v>4.25</v>
      </c>
      <c r="AD7" s="7">
        <v>3.42</v>
      </c>
      <c r="AE7" s="17">
        <v>5.22</v>
      </c>
      <c r="AF7" s="7">
        <v>4.35</v>
      </c>
      <c r="AG7" s="16">
        <v>2.65</v>
      </c>
      <c r="AH7" s="17">
        <v>3.65</v>
      </c>
      <c r="AI7" s="7">
        <v>3.68</v>
      </c>
      <c r="AJ7" s="7">
        <v>4.24</v>
      </c>
      <c r="AK7" s="10">
        <v>4.08</v>
      </c>
      <c r="AL7" s="26">
        <v>5.23</v>
      </c>
      <c r="AM7" s="26">
        <v>4.54</v>
      </c>
      <c r="AN7" s="10">
        <v>4.25</v>
      </c>
      <c r="AO7" s="26">
        <v>4.76</v>
      </c>
      <c r="AP7" s="45">
        <v>5.17</v>
      </c>
      <c r="AQ7" s="4">
        <v>4.04</v>
      </c>
      <c r="AR7" s="36">
        <v>5.23</v>
      </c>
      <c r="AS7" s="24">
        <v>3.07</v>
      </c>
      <c r="AT7" s="26">
        <v>4.95</v>
      </c>
      <c r="AU7" s="44">
        <v>4.94</v>
      </c>
      <c r="AV7" s="44">
        <v>4.23</v>
      </c>
      <c r="AW7" s="33">
        <v>4.47</v>
      </c>
      <c r="AX7" s="44">
        <v>4.02</v>
      </c>
      <c r="AY7" s="33">
        <v>3.99</v>
      </c>
      <c r="AZ7" s="26">
        <v>4.4</v>
      </c>
      <c r="BA7" s="10">
        <v>3.68</v>
      </c>
      <c r="BB7" s="26">
        <v>4.1</v>
      </c>
      <c r="BC7" s="13">
        <v>4.46</v>
      </c>
      <c r="BD7" s="10">
        <v>4.56</v>
      </c>
      <c r="BE7" s="10">
        <v>5.19</v>
      </c>
      <c r="BF7" s="10">
        <v>4.2</v>
      </c>
      <c r="BG7" s="10">
        <v>3.85</v>
      </c>
      <c r="BH7" s="26">
        <v>5.52</v>
      </c>
      <c r="BI7" s="24">
        <v>3.4</v>
      </c>
      <c r="BJ7" s="26">
        <v>5.35</v>
      </c>
      <c r="BK7" s="26">
        <v>5.43</v>
      </c>
      <c r="BL7" s="10">
        <v>4.24</v>
      </c>
      <c r="BM7" s="10">
        <v>4.66</v>
      </c>
      <c r="BN7" s="10"/>
      <c r="BO7" s="10">
        <v>4.34</v>
      </c>
      <c r="BP7" s="46">
        <v>5.05</v>
      </c>
      <c r="BQ7" s="10">
        <v>4.99</v>
      </c>
      <c r="BR7" s="24">
        <v>3.5</v>
      </c>
      <c r="BS7" s="24">
        <v>3.38</v>
      </c>
      <c r="BT7" s="26">
        <v>4.54</v>
      </c>
      <c r="BU7" s="26">
        <v>4.58</v>
      </c>
      <c r="BV7" s="10">
        <v>4.05</v>
      </c>
      <c r="BW7" s="26">
        <v>5.34</v>
      </c>
      <c r="BX7" s="24">
        <v>3.21</v>
      </c>
      <c r="BY7" s="26">
        <v>4.73</v>
      </c>
      <c r="BZ7" s="26">
        <v>4.71</v>
      </c>
      <c r="CA7" s="10">
        <v>4.13</v>
      </c>
      <c r="CB7" s="10">
        <v>4.38</v>
      </c>
      <c r="CC7" s="10">
        <v>3.32</v>
      </c>
      <c r="CD7" s="10">
        <v>4.98</v>
      </c>
      <c r="CE7" s="26">
        <v>4.69</v>
      </c>
      <c r="CF7" s="26">
        <v>4.27</v>
      </c>
      <c r="CG7" s="26">
        <v>4.78</v>
      </c>
      <c r="CH7" s="10">
        <v>4.32</v>
      </c>
    </row>
    <row r="8" hidden="1">
      <c r="A8" s="14" t="s">
        <v>91</v>
      </c>
      <c r="B8" s="16">
        <v>1.73</v>
      </c>
      <c r="C8" s="15">
        <v>4.57</v>
      </c>
      <c r="D8" s="15">
        <v>3.76</v>
      </c>
      <c r="E8" s="15">
        <v>4.21</v>
      </c>
      <c r="F8" s="15">
        <v>4.03</v>
      </c>
      <c r="G8" s="15">
        <v>3.58</v>
      </c>
      <c r="H8" s="15">
        <v>2.87</v>
      </c>
      <c r="I8" s="15">
        <v>3.18</v>
      </c>
      <c r="J8" s="19">
        <v>4.35</v>
      </c>
      <c r="K8" s="31">
        <v>4.73</v>
      </c>
      <c r="L8" s="7">
        <v>4.07</v>
      </c>
      <c r="M8" s="16">
        <v>1.86</v>
      </c>
      <c r="N8" s="20">
        <v>2.34</v>
      </c>
      <c r="O8" s="20">
        <v>2.22</v>
      </c>
      <c r="P8" s="20">
        <v>3.58</v>
      </c>
      <c r="Q8" s="20">
        <v>3.69</v>
      </c>
      <c r="R8" s="20">
        <v>3.19</v>
      </c>
      <c r="S8" s="20">
        <v>3.34</v>
      </c>
      <c r="T8" s="20">
        <v>2.9</v>
      </c>
      <c r="U8" s="23">
        <v>2.72</v>
      </c>
      <c r="V8" s="20">
        <v>2.73</v>
      </c>
      <c r="W8" s="20">
        <v>2.16</v>
      </c>
      <c r="X8" s="20">
        <v>3.14</v>
      </c>
      <c r="Y8" s="25">
        <v>1.35</v>
      </c>
      <c r="Z8" s="34">
        <v>2.12</v>
      </c>
      <c r="AA8" s="34">
        <v>3.17</v>
      </c>
      <c r="AB8" s="20">
        <v>2.51</v>
      </c>
      <c r="AC8" s="20">
        <v>3.09</v>
      </c>
      <c r="AD8" s="20">
        <v>2.52</v>
      </c>
      <c r="AE8" s="20">
        <v>2.84</v>
      </c>
      <c r="AF8" s="16">
        <v>2.43</v>
      </c>
      <c r="AG8" s="20">
        <v>2.78</v>
      </c>
      <c r="AH8" s="20">
        <v>1.68</v>
      </c>
      <c r="AI8" s="16">
        <v>2.2</v>
      </c>
      <c r="AJ8" s="16">
        <v>2.61</v>
      </c>
      <c r="AK8" s="25">
        <v>3.0</v>
      </c>
      <c r="AL8" s="24">
        <v>2.44</v>
      </c>
      <c r="AM8" s="24">
        <v>2.22</v>
      </c>
      <c r="AN8" s="47">
        <v>3.64</v>
      </c>
      <c r="AO8" s="10">
        <v>3.26</v>
      </c>
      <c r="AP8" s="27">
        <v>2.71</v>
      </c>
      <c r="AQ8" s="48">
        <v>1.81</v>
      </c>
      <c r="AR8" s="28">
        <v>2.92</v>
      </c>
      <c r="AS8" s="24">
        <v>2.95</v>
      </c>
      <c r="AT8" s="25">
        <v>1.94</v>
      </c>
      <c r="AU8" s="29">
        <v>1.9</v>
      </c>
      <c r="AV8" s="29">
        <v>1.71</v>
      </c>
      <c r="AW8" s="23">
        <v>2.3</v>
      </c>
      <c r="AX8" s="23">
        <v>2.69</v>
      </c>
      <c r="AY8" s="23">
        <v>2.21</v>
      </c>
      <c r="AZ8" s="24">
        <v>2.49</v>
      </c>
      <c r="BA8" s="24">
        <v>3.17</v>
      </c>
      <c r="BB8" s="24">
        <v>1.84</v>
      </c>
      <c r="BC8" s="49">
        <v>2.11</v>
      </c>
      <c r="BD8" s="24">
        <v>2.93</v>
      </c>
      <c r="BE8" s="24">
        <v>2.63</v>
      </c>
      <c r="BF8" s="24">
        <v>2.98</v>
      </c>
      <c r="BG8" s="25">
        <v>1.96</v>
      </c>
      <c r="BH8" s="24">
        <v>3.2</v>
      </c>
      <c r="BI8" s="24">
        <v>3.39</v>
      </c>
      <c r="BJ8" s="10">
        <v>4.29</v>
      </c>
      <c r="BK8" s="25">
        <v>2.97</v>
      </c>
      <c r="BL8" s="24">
        <v>3.14</v>
      </c>
      <c r="BM8" s="25">
        <v>3.23</v>
      </c>
      <c r="BN8" s="25">
        <v>2.42</v>
      </c>
      <c r="BO8" s="25">
        <v>2.92</v>
      </c>
      <c r="BP8" s="25">
        <v>2.61</v>
      </c>
      <c r="BQ8" s="10">
        <v>4.57</v>
      </c>
      <c r="BR8" s="24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</row>
    <row r="9" hidden="1">
      <c r="A9" s="14" t="s">
        <v>92</v>
      </c>
      <c r="B9" s="7">
        <v>2.41</v>
      </c>
      <c r="C9" s="7">
        <v>3.05</v>
      </c>
      <c r="D9" s="7">
        <v>1.73</v>
      </c>
      <c r="E9" s="15">
        <v>3.52</v>
      </c>
      <c r="F9" s="7">
        <v>1.59</v>
      </c>
      <c r="G9" s="7">
        <v>1.69</v>
      </c>
      <c r="H9" s="7">
        <v>1.68</v>
      </c>
      <c r="I9" s="16">
        <v>1.96</v>
      </c>
      <c r="J9" s="8" t="s">
        <v>93</v>
      </c>
      <c r="K9" s="18">
        <v>1.78</v>
      </c>
      <c r="L9" s="7">
        <v>3.24</v>
      </c>
      <c r="M9" s="7">
        <v>3.55</v>
      </c>
      <c r="N9" s="20">
        <v>2.24</v>
      </c>
      <c r="O9" s="20">
        <v>2.87</v>
      </c>
      <c r="P9" s="7">
        <v>2.69</v>
      </c>
      <c r="Q9" s="32">
        <v>2.26</v>
      </c>
      <c r="R9" s="32"/>
      <c r="S9" s="38"/>
      <c r="T9" s="38"/>
      <c r="U9" s="14"/>
      <c r="V9" s="38"/>
      <c r="W9" s="38"/>
      <c r="X9" s="38"/>
      <c r="Y9" s="39"/>
      <c r="Z9" s="40"/>
      <c r="AA9" s="40"/>
      <c r="AB9" s="38"/>
      <c r="AC9" s="38"/>
      <c r="AD9" s="38"/>
      <c r="AE9" s="38"/>
      <c r="AF9" s="38"/>
      <c r="AG9" s="38"/>
      <c r="AH9" s="38"/>
      <c r="AI9" s="38"/>
      <c r="AJ9" s="38"/>
      <c r="AK9" s="39"/>
      <c r="AL9" s="39"/>
      <c r="AM9" s="39"/>
      <c r="AN9" s="39"/>
      <c r="AO9" s="39"/>
      <c r="AP9" s="41"/>
      <c r="AQ9" s="41"/>
      <c r="AR9" s="42"/>
      <c r="AS9" s="50"/>
      <c r="AT9" s="39"/>
      <c r="AU9" s="14"/>
      <c r="AV9" s="14"/>
      <c r="AW9" s="14"/>
      <c r="AX9" s="14"/>
      <c r="AY9" s="14"/>
      <c r="AZ9" s="10"/>
      <c r="BA9" s="24"/>
      <c r="BB9" s="10"/>
      <c r="BC9" s="13"/>
      <c r="BD9" s="24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24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</row>
    <row r="10">
      <c r="A10" s="14" t="s">
        <v>94</v>
      </c>
      <c r="B10" s="7">
        <v>2.58</v>
      </c>
      <c r="C10" s="17">
        <v>4.75</v>
      </c>
      <c r="D10" s="15">
        <v>4.37</v>
      </c>
      <c r="E10" s="17">
        <v>4.5</v>
      </c>
      <c r="F10" s="15">
        <v>3.41</v>
      </c>
      <c r="G10" s="15">
        <v>3.02</v>
      </c>
      <c r="H10" s="16">
        <v>1.64</v>
      </c>
      <c r="I10" s="17">
        <v>3.87</v>
      </c>
      <c r="J10" s="8">
        <v>3.01</v>
      </c>
      <c r="K10" s="19">
        <v>3.57</v>
      </c>
      <c r="L10" s="7">
        <v>3.48</v>
      </c>
      <c r="M10" s="7">
        <v>3.27</v>
      </c>
      <c r="N10" s="17">
        <v>3.52</v>
      </c>
      <c r="O10" s="7">
        <v>3.21</v>
      </c>
      <c r="P10" s="20">
        <v>3.59</v>
      </c>
      <c r="Q10" s="32">
        <v>2.75</v>
      </c>
      <c r="R10" s="32">
        <v>3.26</v>
      </c>
      <c r="S10" s="7">
        <v>4.45</v>
      </c>
      <c r="T10" s="17">
        <v>4.74</v>
      </c>
      <c r="U10" s="33">
        <v>4.01</v>
      </c>
      <c r="V10" s="7">
        <v>4.29</v>
      </c>
      <c r="W10" s="20">
        <v>2.33</v>
      </c>
      <c r="X10" s="7">
        <v>3.58</v>
      </c>
      <c r="Y10" s="10">
        <v>3.75</v>
      </c>
      <c r="Z10" s="8">
        <v>3.36</v>
      </c>
      <c r="AA10" s="8">
        <v>3.38</v>
      </c>
      <c r="AB10" s="7">
        <v>3.53</v>
      </c>
      <c r="AC10" s="17">
        <v>4.48</v>
      </c>
      <c r="AD10" s="7">
        <v>3.06</v>
      </c>
      <c r="AE10" s="7">
        <v>3.7</v>
      </c>
      <c r="AF10" s="17">
        <v>4.5</v>
      </c>
      <c r="AG10" s="7">
        <v>3.92</v>
      </c>
      <c r="AH10" s="16">
        <v>1.56</v>
      </c>
      <c r="AI10" s="20">
        <v>2.52</v>
      </c>
      <c r="AJ10" s="7">
        <v>4.09</v>
      </c>
      <c r="AK10" s="26">
        <v>4.87</v>
      </c>
      <c r="AL10" s="10">
        <v>3.15</v>
      </c>
      <c r="AM10" s="10">
        <v>3.9</v>
      </c>
      <c r="AN10" s="10">
        <v>4.25</v>
      </c>
      <c r="AO10" s="24">
        <v>2.67</v>
      </c>
      <c r="AP10" s="48">
        <v>2.61</v>
      </c>
      <c r="AQ10" s="4">
        <v>3.55</v>
      </c>
      <c r="AR10" s="13">
        <v>3.64</v>
      </c>
      <c r="AS10" s="24">
        <v>2.45</v>
      </c>
      <c r="AT10" s="24">
        <v>3.58</v>
      </c>
      <c r="AU10" s="23">
        <v>2.66</v>
      </c>
      <c r="AV10" s="23">
        <v>3.26</v>
      </c>
      <c r="AW10" s="44">
        <v>4.52</v>
      </c>
      <c r="AX10" s="33">
        <v>3.7</v>
      </c>
      <c r="AY10" s="44">
        <v>4.26</v>
      </c>
      <c r="AZ10" s="10">
        <v>4.09</v>
      </c>
      <c r="BA10" s="24">
        <v>2.49</v>
      </c>
      <c r="BB10" s="10">
        <v>4.06</v>
      </c>
      <c r="BC10" s="28">
        <v>3.35</v>
      </c>
      <c r="BD10" s="24">
        <v>3.87</v>
      </c>
      <c r="BE10" s="24">
        <v>3.16</v>
      </c>
      <c r="BF10" s="24">
        <v>3.1</v>
      </c>
      <c r="BG10" s="10">
        <v>4.71</v>
      </c>
      <c r="BH10" s="10">
        <v>3.8</v>
      </c>
      <c r="BI10" s="26">
        <v>4.95</v>
      </c>
      <c r="BJ10" s="10">
        <v>4.43</v>
      </c>
      <c r="BK10" s="24">
        <v>3.07</v>
      </c>
      <c r="BL10" s="26">
        <v>4.97</v>
      </c>
      <c r="BM10" s="10">
        <v>4.79</v>
      </c>
      <c r="BN10" s="10">
        <v>3.17</v>
      </c>
      <c r="BO10" s="10">
        <v>3.85</v>
      </c>
      <c r="BP10" s="10">
        <v>4.2</v>
      </c>
      <c r="BQ10" s="10">
        <v>4.57</v>
      </c>
      <c r="BR10" s="24">
        <v>3.85</v>
      </c>
      <c r="BS10" s="26">
        <v>4.87</v>
      </c>
      <c r="BT10" s="24">
        <v>2.27</v>
      </c>
      <c r="BU10" s="10">
        <v>4.46</v>
      </c>
      <c r="BV10" s="26">
        <v>5.12</v>
      </c>
      <c r="BW10" s="10">
        <v>4.91</v>
      </c>
      <c r="BX10" s="26">
        <v>4.66</v>
      </c>
      <c r="BY10" s="10">
        <v>3.91</v>
      </c>
      <c r="BZ10" s="24">
        <v>2.86</v>
      </c>
      <c r="CA10" s="10">
        <v>5.22</v>
      </c>
      <c r="CB10" s="10">
        <v>3.66</v>
      </c>
      <c r="CC10" s="10">
        <v>3.27</v>
      </c>
      <c r="CD10" s="24">
        <v>3.09</v>
      </c>
      <c r="CE10" s="24">
        <v>3.68</v>
      </c>
      <c r="CF10" s="24">
        <v>3.32</v>
      </c>
      <c r="CG10" s="10">
        <v>3.38</v>
      </c>
      <c r="CH10" s="24">
        <v>2.22</v>
      </c>
    </row>
    <row r="11" hidden="1">
      <c r="A11" s="7" t="s">
        <v>95</v>
      </c>
      <c r="B11" s="38"/>
      <c r="C11" s="38"/>
      <c r="D11" s="38"/>
      <c r="E11" s="38"/>
      <c r="F11" s="38"/>
      <c r="G11" s="38"/>
      <c r="H11" s="38"/>
      <c r="I11" s="38"/>
      <c r="J11" s="40"/>
      <c r="K11" s="40"/>
      <c r="L11" s="38"/>
      <c r="M11" s="38"/>
      <c r="N11" s="38"/>
      <c r="O11" s="38"/>
      <c r="P11" s="38"/>
      <c r="Q11" s="38"/>
      <c r="R11" s="38"/>
      <c r="S11" s="20">
        <v>2.52</v>
      </c>
      <c r="T11" s="7">
        <v>2.28</v>
      </c>
      <c r="U11" s="16">
        <v>2.1</v>
      </c>
      <c r="V11" s="16">
        <v>2.38</v>
      </c>
      <c r="W11" s="16">
        <v>1.27</v>
      </c>
      <c r="X11" s="16">
        <v>0.87</v>
      </c>
      <c r="Y11" s="24">
        <v>2.36</v>
      </c>
      <c r="Z11" s="18">
        <v>1.14</v>
      </c>
      <c r="AA11" s="40"/>
      <c r="AB11" s="38"/>
      <c r="AD11" s="38"/>
      <c r="AE11" s="38"/>
      <c r="AF11" s="38"/>
      <c r="AG11" s="38"/>
      <c r="AH11" s="38"/>
      <c r="AI11" s="38"/>
      <c r="AJ11" s="38"/>
      <c r="AK11" s="39"/>
      <c r="AL11" s="39"/>
      <c r="AM11" s="39"/>
      <c r="AN11" s="39"/>
      <c r="AO11" s="39"/>
      <c r="AP11" s="41"/>
      <c r="AQ11" s="41"/>
      <c r="AR11" s="42"/>
      <c r="AS11" s="39"/>
      <c r="AT11" s="39"/>
      <c r="AU11" s="7"/>
      <c r="AV11" s="7"/>
      <c r="AW11" s="7"/>
      <c r="AX11" s="7"/>
      <c r="AY11" s="7"/>
      <c r="AZ11" s="10"/>
      <c r="BA11" s="10"/>
      <c r="BB11" s="10"/>
      <c r="BC11" s="13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24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24"/>
      <c r="CF11" s="10"/>
      <c r="CG11" s="10"/>
      <c r="CH11" s="10"/>
    </row>
    <row r="12">
      <c r="A12" s="7" t="s">
        <v>96</v>
      </c>
      <c r="B12" s="38"/>
      <c r="C12" s="38"/>
      <c r="D12" s="38"/>
      <c r="E12" s="38"/>
      <c r="F12" s="38"/>
      <c r="G12" s="38"/>
      <c r="H12" s="38"/>
      <c r="I12" s="38"/>
      <c r="J12" s="40"/>
      <c r="K12" s="40"/>
      <c r="L12" s="38"/>
      <c r="M12" s="38"/>
      <c r="N12" s="38"/>
      <c r="O12" s="38"/>
      <c r="P12" s="38"/>
      <c r="Q12" s="38"/>
      <c r="R12" s="38"/>
      <c r="S12" s="38"/>
      <c r="T12" s="16">
        <v>2.07</v>
      </c>
      <c r="U12" s="7">
        <v>4.13</v>
      </c>
      <c r="V12" s="7">
        <v>0.0</v>
      </c>
      <c r="W12" s="17">
        <v>3.98</v>
      </c>
      <c r="X12" s="20">
        <v>3.43</v>
      </c>
      <c r="Y12" s="26">
        <v>4.53</v>
      </c>
      <c r="Z12" s="34">
        <v>1.27</v>
      </c>
      <c r="AA12" s="34">
        <v>3.03</v>
      </c>
      <c r="AB12" s="20">
        <v>2.9</v>
      </c>
      <c r="AC12" s="20">
        <v>3.32</v>
      </c>
      <c r="AD12" s="20">
        <v>3.01</v>
      </c>
      <c r="AE12" s="7">
        <v>3.25</v>
      </c>
      <c r="AF12" s="20">
        <v>2.59</v>
      </c>
      <c r="AG12" s="20">
        <v>2.79</v>
      </c>
      <c r="AH12" s="20">
        <v>2.33</v>
      </c>
      <c r="AI12" s="17">
        <v>4.5</v>
      </c>
      <c r="AJ12" s="7">
        <v>3.81</v>
      </c>
      <c r="AK12" s="10">
        <v>3.73</v>
      </c>
      <c r="AL12" s="25">
        <v>2.02</v>
      </c>
      <c r="AM12" s="10">
        <v>4.33</v>
      </c>
      <c r="AN12" s="10">
        <v>4.43</v>
      </c>
      <c r="AO12" s="10">
        <v>3.37</v>
      </c>
      <c r="AP12" s="4">
        <v>4.05</v>
      </c>
      <c r="AQ12" s="27">
        <v>2.33</v>
      </c>
      <c r="AR12" s="49">
        <v>2.27</v>
      </c>
      <c r="AS12" s="25">
        <v>2.16</v>
      </c>
      <c r="AT12" s="10">
        <v>3.92</v>
      </c>
      <c r="AU12" s="20">
        <v>3.32</v>
      </c>
      <c r="AV12" s="7">
        <v>4.2</v>
      </c>
      <c r="AW12" s="20">
        <v>3.33</v>
      </c>
      <c r="AX12" s="7">
        <v>3.34</v>
      </c>
      <c r="AY12" s="7">
        <v>3.48</v>
      </c>
      <c r="AZ12" s="24">
        <v>3.42</v>
      </c>
      <c r="BA12" s="10">
        <v>3.39</v>
      </c>
      <c r="BB12" s="24">
        <v>2.98</v>
      </c>
      <c r="BC12" s="13">
        <v>4.33</v>
      </c>
      <c r="BD12" s="26">
        <v>5.42</v>
      </c>
      <c r="BE12" s="10">
        <v>4.52</v>
      </c>
      <c r="BF12" s="26">
        <v>5.44</v>
      </c>
      <c r="BG12" s="10">
        <v>4.23</v>
      </c>
      <c r="BH12" s="10">
        <v>4.38</v>
      </c>
      <c r="BI12" s="10">
        <v>4.05</v>
      </c>
      <c r="BJ12" s="10">
        <v>4.56</v>
      </c>
      <c r="BK12" s="10">
        <v>4.59</v>
      </c>
      <c r="BL12" s="10">
        <v>4.42</v>
      </c>
      <c r="BM12" s="24">
        <v>3.31</v>
      </c>
      <c r="BN12" s="24">
        <v>2.78</v>
      </c>
      <c r="BO12" s="24">
        <v>3.77</v>
      </c>
      <c r="BP12" s="24">
        <v>3.27</v>
      </c>
      <c r="BQ12" s="26">
        <v>5.27</v>
      </c>
      <c r="BR12" s="26">
        <v>5.08</v>
      </c>
      <c r="BS12" s="25">
        <v>3.03</v>
      </c>
      <c r="BT12" s="24">
        <v>2.59</v>
      </c>
      <c r="BU12" s="10">
        <v>4.03</v>
      </c>
      <c r="BV12" s="10">
        <v>3.73</v>
      </c>
      <c r="BW12" s="10">
        <v>4.18</v>
      </c>
      <c r="BX12" s="24">
        <v>3.93</v>
      </c>
      <c r="BY12" s="25">
        <v>2.75</v>
      </c>
      <c r="BZ12" s="10">
        <v>3.62</v>
      </c>
      <c r="CA12" s="10">
        <v>3.09</v>
      </c>
      <c r="CB12" s="24">
        <v>3.18</v>
      </c>
      <c r="CC12" s="24">
        <v>2.73</v>
      </c>
      <c r="CD12" s="10">
        <v>3.53</v>
      </c>
      <c r="CE12" s="24">
        <v>3.69</v>
      </c>
      <c r="CF12" s="10">
        <v>4.21</v>
      </c>
      <c r="CG12" s="10">
        <v>3.61</v>
      </c>
      <c r="CH12" s="10">
        <v>3.58</v>
      </c>
    </row>
    <row r="13" hidden="1">
      <c r="A13" s="38"/>
      <c r="B13" s="38"/>
      <c r="C13" s="38"/>
      <c r="D13" s="38"/>
      <c r="E13" s="38"/>
      <c r="F13" s="38"/>
      <c r="G13" s="38"/>
      <c r="H13" s="38"/>
      <c r="I13" s="38"/>
      <c r="J13" s="40"/>
      <c r="K13" s="40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9"/>
      <c r="Z13" s="40"/>
      <c r="AA13" s="40"/>
      <c r="AB13" s="38"/>
      <c r="AC13" s="38"/>
      <c r="AD13" s="38"/>
      <c r="AE13" s="38"/>
      <c r="AF13" s="38"/>
      <c r="AG13" s="38"/>
      <c r="AH13" s="38"/>
      <c r="AI13" s="38"/>
      <c r="AJ13" s="38"/>
      <c r="AK13" s="39"/>
      <c r="AL13" s="39"/>
      <c r="AM13" s="39"/>
      <c r="AN13" s="39"/>
      <c r="AO13" s="39"/>
      <c r="AP13" s="41"/>
      <c r="AQ13" s="41"/>
      <c r="AR13" s="42"/>
      <c r="AS13" s="39"/>
      <c r="AT13" s="39"/>
      <c r="AU13" s="38"/>
      <c r="AV13" s="38"/>
      <c r="AW13" s="38"/>
      <c r="AX13" s="38"/>
      <c r="AY13" s="38"/>
      <c r="AZ13" s="10"/>
      <c r="BA13" s="10"/>
      <c r="BB13" s="10"/>
      <c r="BC13" s="13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</row>
    <row r="14">
      <c r="A14" s="7" t="s">
        <v>97</v>
      </c>
      <c r="B14" s="38"/>
      <c r="C14" s="38"/>
      <c r="D14" s="38"/>
      <c r="E14" s="38"/>
      <c r="F14" s="38"/>
      <c r="G14" s="38"/>
      <c r="H14" s="38"/>
      <c r="I14" s="38"/>
      <c r="J14" s="40"/>
      <c r="K14" s="40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9"/>
      <c r="Z14" s="40"/>
      <c r="AA14" s="40"/>
      <c r="AB14" s="38"/>
      <c r="AC14" s="38"/>
      <c r="AD14" s="38"/>
      <c r="AE14" s="38"/>
      <c r="AF14" s="38"/>
      <c r="AG14" s="38"/>
      <c r="AH14" s="38"/>
      <c r="AI14" s="38"/>
      <c r="AJ14" s="38"/>
      <c r="AK14" s="39"/>
      <c r="AL14" s="39"/>
      <c r="AM14" s="39"/>
      <c r="AN14" s="39"/>
      <c r="AO14" s="39"/>
      <c r="AP14" s="41"/>
      <c r="AQ14" s="41"/>
      <c r="AR14" s="42"/>
      <c r="AS14" s="39"/>
      <c r="AT14" s="39"/>
      <c r="AU14" s="38"/>
      <c r="AV14" s="38"/>
      <c r="AW14" s="38"/>
      <c r="AX14" s="38"/>
      <c r="AY14" s="38"/>
      <c r="AZ14" s="10"/>
      <c r="BA14" s="10"/>
      <c r="BB14" s="10"/>
      <c r="BC14" s="13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25">
        <v>1.42</v>
      </c>
      <c r="BU14" s="24">
        <v>2.58</v>
      </c>
      <c r="BV14" s="25">
        <v>1.5</v>
      </c>
      <c r="BW14" s="25">
        <v>2.4</v>
      </c>
      <c r="BX14" s="25">
        <v>2.32</v>
      </c>
      <c r="BY14" s="24">
        <v>3.42</v>
      </c>
      <c r="BZ14" s="25">
        <v>1.64</v>
      </c>
      <c r="CA14" s="25">
        <v>1.64</v>
      </c>
      <c r="CB14" s="25">
        <v>2.19</v>
      </c>
      <c r="CC14" s="25">
        <v>2.46</v>
      </c>
      <c r="CD14" s="24">
        <v>2.21</v>
      </c>
      <c r="CE14" s="25">
        <v>2.45</v>
      </c>
      <c r="CF14" s="24">
        <v>2.5</v>
      </c>
      <c r="CG14" s="25">
        <v>1.64</v>
      </c>
      <c r="CH14" s="25">
        <v>2.21</v>
      </c>
    </row>
    <row r="15">
      <c r="A15" s="7"/>
      <c r="B15" s="10"/>
      <c r="C15" s="10"/>
      <c r="D15" s="10"/>
      <c r="E15" s="10"/>
      <c r="F15" s="10"/>
      <c r="G15" s="10"/>
      <c r="H15" s="7"/>
      <c r="I15" s="7"/>
      <c r="J15" s="8"/>
      <c r="K15" s="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0"/>
      <c r="Z15" s="8"/>
      <c r="AA15" s="8"/>
      <c r="AB15" s="7"/>
      <c r="AC15" s="7"/>
      <c r="AD15" s="7"/>
      <c r="AE15" s="7"/>
      <c r="AF15" s="7"/>
      <c r="AG15" s="7"/>
      <c r="AH15" s="7"/>
      <c r="AI15" s="7"/>
      <c r="AJ15" s="7"/>
      <c r="AK15" s="10"/>
      <c r="AL15" s="10"/>
      <c r="AM15" s="10"/>
      <c r="AN15" s="10"/>
      <c r="AO15" s="10"/>
      <c r="AP15" s="4"/>
      <c r="AQ15" s="4"/>
      <c r="AR15" s="13"/>
      <c r="AS15" s="10"/>
      <c r="AT15" s="10"/>
      <c r="AU15" s="7"/>
      <c r="AV15" s="7"/>
      <c r="AW15" s="7"/>
      <c r="AX15" s="7"/>
      <c r="AY15" s="7"/>
      <c r="AZ15" s="10"/>
      <c r="BA15" s="10"/>
      <c r="BB15" s="10"/>
      <c r="BC15" s="13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</row>
    <row r="16">
      <c r="A16" s="7" t="s">
        <v>98</v>
      </c>
      <c r="B16" s="10">
        <f>(B3+B5+B6+B7+B9+B10)/6</f>
        <v>2.696666667</v>
      </c>
      <c r="C16" s="10">
        <f>(C4+C5+C6+C7+C8+C9)/6</f>
        <v>3.321666667</v>
      </c>
      <c r="D16" s="10">
        <f>(D4+D5+D6+D10+D8+D9)/6</f>
        <v>2.9</v>
      </c>
      <c r="E16" s="10">
        <f>(E4+E5+E6+E7+E8+E9)/6</f>
        <v>3.095</v>
      </c>
      <c r="F16" s="10">
        <f t="shared" ref="F16:G16" si="1">(F4+F5+F6+F10+F8+F9)/6</f>
        <v>2.783333333</v>
      </c>
      <c r="G16" s="10">
        <f t="shared" si="1"/>
        <v>2.828333333</v>
      </c>
      <c r="H16" s="7">
        <v>2.61</v>
      </c>
      <c r="I16" s="7">
        <v>2.69</v>
      </c>
      <c r="J16" s="8">
        <v>3.61</v>
      </c>
      <c r="K16" s="8">
        <v>3.33</v>
      </c>
      <c r="L16" s="7">
        <v>3.44</v>
      </c>
      <c r="M16" s="7">
        <v>3.04</v>
      </c>
      <c r="N16" s="7">
        <v>2.57</v>
      </c>
      <c r="O16" s="7">
        <v>3.0</v>
      </c>
      <c r="P16" s="7">
        <v>3.14</v>
      </c>
      <c r="Q16" s="7">
        <v>2.78</v>
      </c>
      <c r="R16" s="7">
        <v>3.23</v>
      </c>
      <c r="S16" s="7">
        <v>3.35</v>
      </c>
      <c r="T16" s="7">
        <v>3.21</v>
      </c>
      <c r="U16" s="7">
        <v>3.61</v>
      </c>
      <c r="V16" s="7">
        <v>3.64</v>
      </c>
      <c r="W16" s="7">
        <v>2.66</v>
      </c>
      <c r="X16" s="7">
        <v>3.49</v>
      </c>
      <c r="Y16" s="10">
        <v>3.06</v>
      </c>
      <c r="Z16" s="8">
        <v>2.68</v>
      </c>
      <c r="AA16" s="8">
        <v>3.31</v>
      </c>
      <c r="AB16" s="7">
        <v>3.45</v>
      </c>
      <c r="AC16" s="7">
        <v>3.67</v>
      </c>
      <c r="AD16" s="7">
        <v>3.05</v>
      </c>
      <c r="AE16" s="7">
        <v>3.16</v>
      </c>
      <c r="AF16" s="7">
        <v>3.26</v>
      </c>
      <c r="AG16" s="7">
        <v>3.15</v>
      </c>
      <c r="AH16" s="7">
        <v>2.4</v>
      </c>
      <c r="AI16" s="7">
        <v>3.13</v>
      </c>
      <c r="AJ16" s="7">
        <v>3.67</v>
      </c>
      <c r="AK16" s="10">
        <v>3.58</v>
      </c>
      <c r="AL16" s="10">
        <v>2.82</v>
      </c>
      <c r="AM16" s="10">
        <v>3.41</v>
      </c>
      <c r="AN16" s="10">
        <v>4.06</v>
      </c>
      <c r="AO16" s="10">
        <v>2.82</v>
      </c>
      <c r="AP16" s="4">
        <v>3.45</v>
      </c>
      <c r="AQ16" s="4">
        <v>2.9</v>
      </c>
      <c r="AR16" s="13">
        <v>3.29</v>
      </c>
      <c r="AS16" s="10">
        <v>3.14</v>
      </c>
      <c r="AT16" s="10">
        <v>3.63</v>
      </c>
      <c r="AU16" s="7">
        <v>3.68</v>
      </c>
      <c r="AV16" s="7">
        <v>3.4</v>
      </c>
      <c r="AW16" s="7">
        <v>3.58</v>
      </c>
      <c r="AX16" s="7">
        <v>3.22</v>
      </c>
      <c r="AY16" s="7">
        <v>3.14</v>
      </c>
      <c r="AZ16" s="10">
        <v>3.54</v>
      </c>
      <c r="BA16" s="10">
        <v>3.29</v>
      </c>
      <c r="BB16" s="10">
        <v>3.34</v>
      </c>
      <c r="BC16" s="13">
        <v>3.57</v>
      </c>
      <c r="BD16" s="10">
        <v>4.03</v>
      </c>
      <c r="BE16" s="10">
        <v>3.8</v>
      </c>
      <c r="BF16" s="10">
        <v>3.49</v>
      </c>
      <c r="BG16" s="10">
        <v>3.72</v>
      </c>
      <c r="BH16" s="10">
        <v>3.7</v>
      </c>
      <c r="BI16" s="10">
        <v>3.68</v>
      </c>
      <c r="BJ16" s="10">
        <v>4.24</v>
      </c>
      <c r="BK16" s="10">
        <v>3.9</v>
      </c>
      <c r="BL16" s="10">
        <v>3.98</v>
      </c>
      <c r="BM16" s="10">
        <v>4.15</v>
      </c>
      <c r="BN16" s="10">
        <v>3.05</v>
      </c>
      <c r="BO16" s="10">
        <v>3.84</v>
      </c>
      <c r="BP16" s="10">
        <v>3.66</v>
      </c>
      <c r="BQ16" s="10">
        <v>4.37</v>
      </c>
      <c r="BR16" s="10">
        <v>3.93</v>
      </c>
      <c r="BS16" s="10">
        <v>3.64</v>
      </c>
      <c r="BT16" s="10">
        <v>2.83</v>
      </c>
      <c r="BU16" s="10">
        <v>3.58</v>
      </c>
      <c r="BV16" s="10">
        <v>3.49</v>
      </c>
      <c r="BW16" s="10">
        <v>3.8</v>
      </c>
      <c r="BX16" s="10">
        <v>3.98</v>
      </c>
      <c r="BY16" s="10">
        <v>3.45</v>
      </c>
      <c r="BZ16" s="10">
        <v>3.42</v>
      </c>
      <c r="CA16" s="10">
        <v>3.88</v>
      </c>
      <c r="CB16" s="10">
        <v>3.65</v>
      </c>
      <c r="CC16" s="10">
        <v>3.02</v>
      </c>
      <c r="CD16" s="10">
        <v>3.41</v>
      </c>
      <c r="CE16" s="10">
        <v>3.36</v>
      </c>
      <c r="CF16" s="10">
        <v>3.37</v>
      </c>
      <c r="CG16" s="10">
        <v>3.26</v>
      </c>
      <c r="CH16" s="10">
        <v>3.27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40"/>
      <c r="K17" s="40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9"/>
      <c r="Z17" s="40"/>
      <c r="AA17" s="40"/>
      <c r="AB17" s="38"/>
      <c r="AC17" s="38"/>
      <c r="AD17" s="38"/>
      <c r="AE17" s="38"/>
      <c r="AF17" s="38"/>
      <c r="AG17" s="38"/>
      <c r="AH17" s="38"/>
      <c r="AI17" s="38"/>
      <c r="AJ17" s="38"/>
      <c r="AK17" s="39"/>
      <c r="AL17" s="39"/>
      <c r="AM17" s="39"/>
      <c r="AO17" s="10"/>
      <c r="AP17" s="4"/>
      <c r="AQ17" s="4"/>
      <c r="AR17" s="13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3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</row>
    <row r="18">
      <c r="A18" s="7" t="s">
        <v>99</v>
      </c>
      <c r="B18" s="7" t="s">
        <v>89</v>
      </c>
      <c r="C18" s="7" t="s">
        <v>94</v>
      </c>
      <c r="D18" s="7" t="s">
        <v>94</v>
      </c>
      <c r="E18" s="7" t="s">
        <v>91</v>
      </c>
      <c r="F18" s="7" t="s">
        <v>100</v>
      </c>
      <c r="G18" s="7" t="s">
        <v>90</v>
      </c>
      <c r="H18" s="7" t="s">
        <v>90</v>
      </c>
      <c r="I18" s="7" t="s">
        <v>101</v>
      </c>
      <c r="J18" s="8" t="s">
        <v>88</v>
      </c>
      <c r="K18" s="8" t="s">
        <v>102</v>
      </c>
      <c r="L18" s="7" t="s">
        <v>103</v>
      </c>
      <c r="M18" s="7" t="s">
        <v>104</v>
      </c>
      <c r="N18" s="7" t="s">
        <v>105</v>
      </c>
      <c r="O18" s="7" t="s">
        <v>104</v>
      </c>
      <c r="P18" s="7" t="s">
        <v>105</v>
      </c>
      <c r="Q18" s="7" t="s">
        <v>105</v>
      </c>
      <c r="R18" s="7" t="s">
        <v>94</v>
      </c>
      <c r="S18" s="7" t="s">
        <v>95</v>
      </c>
      <c r="T18" s="7" t="s">
        <v>106</v>
      </c>
      <c r="U18" s="7" t="s">
        <v>96</v>
      </c>
      <c r="V18" s="7" t="s">
        <v>107</v>
      </c>
      <c r="W18" s="7" t="s">
        <v>88</v>
      </c>
      <c r="X18" s="7" t="s">
        <v>90</v>
      </c>
      <c r="Y18" s="10" t="s">
        <v>108</v>
      </c>
      <c r="Z18" s="8" t="s">
        <v>108</v>
      </c>
      <c r="AA18" s="8" t="s">
        <v>109</v>
      </c>
      <c r="AB18" s="7" t="s">
        <v>90</v>
      </c>
      <c r="AC18" s="7" t="s">
        <v>94</v>
      </c>
      <c r="AD18" s="7" t="s">
        <v>110</v>
      </c>
      <c r="AE18" s="7" t="s">
        <v>90</v>
      </c>
      <c r="AF18" s="7" t="s">
        <v>94</v>
      </c>
      <c r="AG18" s="7" t="s">
        <v>94</v>
      </c>
      <c r="AH18" s="7" t="s">
        <v>88</v>
      </c>
      <c r="AI18" s="7" t="s">
        <v>85</v>
      </c>
      <c r="AJ18" s="7" t="s">
        <v>96</v>
      </c>
      <c r="AK18" s="10" t="s">
        <v>94</v>
      </c>
      <c r="AL18" s="10" t="s">
        <v>94</v>
      </c>
      <c r="AM18" s="10" t="s">
        <v>111</v>
      </c>
      <c r="AN18" s="10" t="s">
        <v>96</v>
      </c>
      <c r="AO18" s="10" t="s">
        <v>112</v>
      </c>
      <c r="AP18" s="4" t="s">
        <v>113</v>
      </c>
      <c r="AQ18" s="4" t="s">
        <v>114</v>
      </c>
      <c r="AR18" s="13" t="s">
        <v>108</v>
      </c>
      <c r="AS18" s="10" t="s">
        <v>115</v>
      </c>
      <c r="AT18" s="10" t="s">
        <v>96</v>
      </c>
      <c r="AU18" s="10" t="s">
        <v>116</v>
      </c>
      <c r="AV18" s="10" t="s">
        <v>85</v>
      </c>
      <c r="AW18" s="10" t="s">
        <v>117</v>
      </c>
      <c r="AX18" s="10" t="s">
        <v>88</v>
      </c>
      <c r="AY18" s="10" t="s">
        <v>118</v>
      </c>
      <c r="AZ18" s="10" t="s">
        <v>88</v>
      </c>
      <c r="BA18" s="10" t="s">
        <v>88</v>
      </c>
      <c r="BB18" s="10" t="s">
        <v>88</v>
      </c>
      <c r="BC18" s="13" t="s">
        <v>119</v>
      </c>
      <c r="BD18" s="10" t="s">
        <v>120</v>
      </c>
      <c r="BE18" s="10" t="s">
        <v>90</v>
      </c>
      <c r="BF18" s="10" t="s">
        <v>96</v>
      </c>
      <c r="BG18" s="10" t="s">
        <v>121</v>
      </c>
      <c r="BH18" s="10" t="s">
        <v>90</v>
      </c>
      <c r="BI18" s="10" t="s">
        <v>120</v>
      </c>
      <c r="BJ18" s="10" t="s">
        <v>122</v>
      </c>
      <c r="BK18" s="10" t="s">
        <v>120</v>
      </c>
      <c r="BL18" s="10" t="s">
        <v>94</v>
      </c>
      <c r="BM18" s="10" t="s">
        <v>123</v>
      </c>
      <c r="BN18" s="10" t="s">
        <v>88</v>
      </c>
      <c r="BO18" s="10" t="s">
        <v>88</v>
      </c>
      <c r="BP18" s="10" t="s">
        <v>90</v>
      </c>
      <c r="BQ18" s="10" t="s">
        <v>96</v>
      </c>
      <c r="BR18" s="10" t="s">
        <v>124</v>
      </c>
      <c r="BS18" s="10" t="s">
        <v>94</v>
      </c>
      <c r="BT18" s="10" t="s">
        <v>88</v>
      </c>
      <c r="BU18" s="10" t="s">
        <v>125</v>
      </c>
      <c r="BV18" s="10" t="s">
        <v>94</v>
      </c>
      <c r="BW18" s="10" t="s">
        <v>94</v>
      </c>
      <c r="BX18" s="10" t="s">
        <v>118</v>
      </c>
      <c r="BY18" s="10" t="s">
        <v>94</v>
      </c>
      <c r="BZ18" s="10" t="s">
        <v>126</v>
      </c>
      <c r="CA18" s="10" t="s">
        <v>94</v>
      </c>
      <c r="CB18" s="10" t="s">
        <v>90</v>
      </c>
      <c r="CC18" s="10" t="s">
        <v>127</v>
      </c>
      <c r="CD18" s="10" t="s">
        <v>108</v>
      </c>
      <c r="CE18" s="10" t="s">
        <v>125</v>
      </c>
      <c r="CF18" s="10" t="s">
        <v>88</v>
      </c>
      <c r="CG18" s="10" t="s">
        <v>90</v>
      </c>
      <c r="CH18" s="10" t="s">
        <v>85</v>
      </c>
    </row>
    <row r="19">
      <c r="A19" s="7" t="s">
        <v>128</v>
      </c>
      <c r="B19" s="7" t="s">
        <v>108</v>
      </c>
      <c r="C19" s="7" t="s">
        <v>94</v>
      </c>
      <c r="D19" s="7" t="s">
        <v>90</v>
      </c>
      <c r="E19" s="7" t="s">
        <v>94</v>
      </c>
      <c r="F19" s="7" t="s">
        <v>90</v>
      </c>
      <c r="G19" s="7" t="s">
        <v>90</v>
      </c>
      <c r="H19" s="7" t="s">
        <v>129</v>
      </c>
      <c r="I19" s="7" t="s">
        <v>107</v>
      </c>
      <c r="J19" s="8" t="s">
        <v>108</v>
      </c>
      <c r="K19" s="8" t="s">
        <v>91</v>
      </c>
      <c r="L19" s="7" t="s">
        <v>105</v>
      </c>
      <c r="M19" s="7" t="s">
        <v>130</v>
      </c>
      <c r="N19" s="7" t="s">
        <v>131</v>
      </c>
      <c r="O19" s="7" t="s">
        <v>105</v>
      </c>
      <c r="P19" s="7" t="s">
        <v>105</v>
      </c>
      <c r="Q19" s="7" t="s">
        <v>105</v>
      </c>
      <c r="R19" s="7" t="s">
        <v>88</v>
      </c>
      <c r="S19" s="7" t="s">
        <v>90</v>
      </c>
      <c r="T19" s="7" t="s">
        <v>94</v>
      </c>
      <c r="U19" s="7" t="s">
        <v>90</v>
      </c>
      <c r="V19" s="7" t="s">
        <v>108</v>
      </c>
      <c r="W19" s="7" t="s">
        <v>96</v>
      </c>
      <c r="X19" s="7" t="s">
        <v>90</v>
      </c>
      <c r="Y19" s="10" t="s">
        <v>96</v>
      </c>
      <c r="Z19" s="8" t="s">
        <v>90</v>
      </c>
      <c r="AA19" s="8" t="s">
        <v>90</v>
      </c>
      <c r="AB19" s="7" t="s">
        <v>90</v>
      </c>
      <c r="AC19" s="7" t="s">
        <v>94</v>
      </c>
      <c r="AD19" s="7" t="s">
        <v>108</v>
      </c>
      <c r="AE19" s="7" t="s">
        <v>90</v>
      </c>
      <c r="AF19" s="7" t="s">
        <v>94</v>
      </c>
      <c r="AG19" s="7" t="s">
        <v>88</v>
      </c>
      <c r="AH19" s="7" t="s">
        <v>90</v>
      </c>
      <c r="AI19" s="7" t="s">
        <v>96</v>
      </c>
      <c r="AJ19" s="7" t="s">
        <v>108</v>
      </c>
      <c r="AK19" s="10" t="s">
        <v>94</v>
      </c>
      <c r="AL19" s="10" t="s">
        <v>90</v>
      </c>
      <c r="AM19" s="10" t="s">
        <v>90</v>
      </c>
      <c r="AN19" s="10" t="s">
        <v>85</v>
      </c>
      <c r="AO19" s="10" t="s">
        <v>90</v>
      </c>
      <c r="AP19" s="4" t="s">
        <v>90</v>
      </c>
      <c r="AQ19" s="4" t="s">
        <v>130</v>
      </c>
      <c r="AR19" s="13" t="s">
        <v>90</v>
      </c>
      <c r="AS19" s="10" t="s">
        <v>90</v>
      </c>
      <c r="AT19" s="10" t="s">
        <v>90</v>
      </c>
      <c r="AU19" s="10" t="s">
        <v>90</v>
      </c>
      <c r="AV19" s="10" t="s">
        <v>90</v>
      </c>
      <c r="AW19" s="10" t="s">
        <v>94</v>
      </c>
      <c r="AX19" s="10" t="s">
        <v>90</v>
      </c>
      <c r="AY19" s="10" t="s">
        <v>94</v>
      </c>
      <c r="AZ19" s="10" t="s">
        <v>90</v>
      </c>
      <c r="BA19" s="10" t="s">
        <v>108</v>
      </c>
      <c r="BB19" s="10" t="s">
        <v>90</v>
      </c>
      <c r="BC19" s="13" t="s">
        <v>108</v>
      </c>
      <c r="BD19" s="10" t="s">
        <v>96</v>
      </c>
      <c r="BE19" s="10" t="s">
        <v>85</v>
      </c>
      <c r="BF19" s="10" t="s">
        <v>96</v>
      </c>
      <c r="BG19" s="10" t="s">
        <v>108</v>
      </c>
      <c r="BH19" s="10" t="s">
        <v>90</v>
      </c>
      <c r="BI19" s="10" t="s">
        <v>94</v>
      </c>
      <c r="BJ19" s="10" t="s">
        <v>90</v>
      </c>
      <c r="BK19" s="10" t="s">
        <v>90</v>
      </c>
      <c r="BL19" s="10" t="s">
        <v>94</v>
      </c>
      <c r="BM19" s="10" t="s">
        <v>108</v>
      </c>
      <c r="BN19" s="10" t="s">
        <v>88</v>
      </c>
      <c r="BO19" s="10" t="s">
        <v>108</v>
      </c>
      <c r="BP19" s="10" t="s">
        <v>90</v>
      </c>
      <c r="BQ19" s="10" t="s">
        <v>96</v>
      </c>
      <c r="BR19" s="10" t="s">
        <v>96</v>
      </c>
      <c r="BS19" s="10" t="s">
        <v>94</v>
      </c>
      <c r="BT19" s="10" t="s">
        <v>90</v>
      </c>
      <c r="BU19" s="10" t="s">
        <v>90</v>
      </c>
      <c r="BV19" s="10" t="s">
        <v>94</v>
      </c>
      <c r="BW19" s="10" t="s">
        <v>90</v>
      </c>
      <c r="BX19" s="10" t="s">
        <v>94</v>
      </c>
      <c r="BY19" s="10" t="s">
        <v>90</v>
      </c>
      <c r="BZ19" s="10" t="s">
        <v>90</v>
      </c>
      <c r="CA19" s="10" t="s">
        <v>108</v>
      </c>
      <c r="CB19" s="10" t="s">
        <v>108</v>
      </c>
      <c r="CC19" s="10" t="s">
        <v>108</v>
      </c>
      <c r="CD19" s="10" t="s">
        <v>108</v>
      </c>
      <c r="CE19" s="10" t="s">
        <v>90</v>
      </c>
      <c r="CF19" s="10" t="s">
        <v>90</v>
      </c>
      <c r="CG19" s="10" t="s">
        <v>90</v>
      </c>
      <c r="CH19" s="10" t="s">
        <v>85</v>
      </c>
    </row>
    <row r="20">
      <c r="K20" s="51"/>
      <c r="Y20" s="52"/>
      <c r="Z20" s="51"/>
      <c r="AA20" s="51"/>
      <c r="AK20" s="52"/>
      <c r="AL20" s="52"/>
      <c r="AM20" s="52"/>
      <c r="AN20" s="52"/>
      <c r="AO20" s="52"/>
      <c r="AP20" s="53"/>
      <c r="AQ20" s="53"/>
      <c r="AR20" s="54"/>
      <c r="AS20" s="52"/>
      <c r="AT20" s="52"/>
      <c r="AU20" s="52"/>
      <c r="AV20" s="52"/>
      <c r="AW20" s="52"/>
      <c r="AX20" s="52"/>
      <c r="AY20" s="3"/>
      <c r="AZ20" s="3"/>
      <c r="BA20" s="3"/>
      <c r="BB20" s="3"/>
      <c r="BC20" s="6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</row>
    <row r="21">
      <c r="K21" s="51"/>
      <c r="Y21" s="52"/>
      <c r="Z21" s="51"/>
      <c r="AA21" s="51"/>
      <c r="AK21" s="52"/>
      <c r="AL21" s="52"/>
      <c r="AT21" s="52"/>
      <c r="AU21" s="52"/>
      <c r="AV21" s="3" t="s">
        <v>132</v>
      </c>
      <c r="AW21" s="52"/>
      <c r="AX21" s="52"/>
      <c r="AY21" s="3"/>
      <c r="AZ21" s="3"/>
      <c r="BA21" s="3"/>
      <c r="BB21" s="3"/>
      <c r="BC21" s="6"/>
      <c r="BD21" s="3"/>
      <c r="BE21" s="3"/>
      <c r="BF21" s="3"/>
    </row>
    <row r="22">
      <c r="K22" s="51"/>
      <c r="V22" s="55"/>
      <c r="W22" s="55"/>
      <c r="Z22" s="51"/>
      <c r="AA22" s="51"/>
      <c r="AL22" s="55"/>
      <c r="AT22" s="55"/>
      <c r="AU22" s="55"/>
      <c r="AV22" s="55"/>
      <c r="AW22" s="55"/>
      <c r="AX22" s="52"/>
      <c r="AY22" s="52"/>
      <c r="AZ22" s="52"/>
      <c r="BA22" s="53"/>
      <c r="BB22" s="53"/>
      <c r="BC22" s="54"/>
      <c r="BD22" s="52"/>
      <c r="BE22" s="52"/>
      <c r="BF22" s="52"/>
      <c r="BG22" s="3"/>
      <c r="BH22" s="3"/>
    </row>
    <row r="23">
      <c r="K23" s="55">
        <v>1.0</v>
      </c>
      <c r="L23" s="55">
        <v>1.0</v>
      </c>
      <c r="M23" s="55">
        <v>1.0</v>
      </c>
      <c r="N23" s="55">
        <v>1.0</v>
      </c>
      <c r="V23" s="55"/>
      <c r="W23" s="55"/>
      <c r="AJ23" s="3"/>
      <c r="AL23" s="55"/>
      <c r="AT23" s="55"/>
      <c r="AU23" s="55"/>
      <c r="AV23" s="55"/>
      <c r="AW23" s="55"/>
      <c r="AZ23" s="55"/>
      <c r="BC23" s="56"/>
      <c r="BG23" s="52"/>
      <c r="BK23" s="3"/>
      <c r="BL23" s="3"/>
      <c r="BM23" s="57" t="s">
        <v>133</v>
      </c>
      <c r="BQ23" s="58"/>
      <c r="BR23" s="55" t="s">
        <v>134</v>
      </c>
      <c r="BS23" s="55"/>
      <c r="BT23" s="55"/>
      <c r="BU23" s="55"/>
      <c r="BV23" s="55"/>
    </row>
    <row r="24">
      <c r="K24" s="55">
        <v>1.0</v>
      </c>
      <c r="L24" s="55">
        <v>1.0</v>
      </c>
      <c r="V24" s="55"/>
      <c r="W24" s="55"/>
      <c r="AJ24" s="3"/>
      <c r="AL24" s="55"/>
      <c r="AT24" s="55"/>
      <c r="AU24" s="55"/>
      <c r="AV24" s="55"/>
      <c r="AW24" s="55"/>
      <c r="AZ24" s="55"/>
      <c r="BC24" s="56"/>
      <c r="BM24" s="57" t="s">
        <v>135</v>
      </c>
      <c r="BQ24" s="59"/>
      <c r="BR24" s="55" t="s">
        <v>136</v>
      </c>
      <c r="BS24" s="55"/>
      <c r="BT24" s="55"/>
      <c r="BU24" s="55"/>
      <c r="BV24" s="55"/>
    </row>
    <row r="25">
      <c r="V25" s="55"/>
      <c r="W25" s="55"/>
      <c r="AE25" s="51"/>
      <c r="AF25" s="51"/>
      <c r="AJ25" s="3"/>
      <c r="AL25" s="52"/>
      <c r="AT25" s="52"/>
      <c r="AU25" s="52"/>
      <c r="AV25" s="52"/>
      <c r="AW25" s="52"/>
      <c r="AZ25" s="55"/>
      <c r="BC25" s="56"/>
      <c r="BQ25" s="60"/>
      <c r="BR25" s="55" t="s">
        <v>137</v>
      </c>
      <c r="BS25" s="55"/>
      <c r="BT25" s="55"/>
      <c r="BU25" s="55"/>
      <c r="BV25" s="55"/>
    </row>
    <row r="26">
      <c r="K26" s="51"/>
      <c r="V26" s="55"/>
      <c r="W26" s="55"/>
      <c r="Y26" s="52"/>
      <c r="AJ26" s="3"/>
      <c r="AK26" s="52"/>
      <c r="AL26" s="52"/>
      <c r="AT26" s="52"/>
      <c r="AU26" s="52"/>
      <c r="AV26" s="52"/>
      <c r="AW26" s="52"/>
      <c r="AY26" s="52"/>
      <c r="AZ26" s="52"/>
      <c r="BC26" s="61"/>
      <c r="BD26" s="53"/>
      <c r="BE26" s="52"/>
      <c r="BF26" s="52"/>
      <c r="BG26" s="52"/>
      <c r="BH26" s="52"/>
      <c r="BO26" s="55"/>
      <c r="BP26" s="55"/>
      <c r="BQ26" s="55"/>
      <c r="BR26" s="55"/>
      <c r="BS26" s="55"/>
      <c r="BT26" s="55"/>
      <c r="BU26" s="55"/>
      <c r="BV26" s="55"/>
    </row>
    <row r="27">
      <c r="K27" s="51"/>
      <c r="V27" s="55"/>
      <c r="W27" s="55"/>
      <c r="Y27" s="52"/>
      <c r="Z27" s="51"/>
      <c r="AA27" s="51"/>
      <c r="AK27" s="52"/>
      <c r="AL27" s="52"/>
      <c r="AT27" s="52"/>
      <c r="AU27" s="52"/>
      <c r="AV27" s="52"/>
      <c r="AW27" s="52"/>
      <c r="AX27" s="52"/>
      <c r="AY27" s="52"/>
      <c r="AZ27" s="52"/>
      <c r="BA27" s="53"/>
      <c r="BB27" s="53"/>
      <c r="BC27" s="54"/>
      <c r="BD27" s="52"/>
      <c r="BE27" s="52"/>
      <c r="BF27" s="52"/>
      <c r="BG27" s="52"/>
      <c r="BH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>
      <c r="K28" s="51"/>
      <c r="V28" s="55"/>
      <c r="W28" s="55"/>
      <c r="Y28" s="52"/>
      <c r="Z28" s="51"/>
      <c r="AA28" s="51"/>
      <c r="AK28" s="52"/>
      <c r="AL28" s="52"/>
      <c r="AT28" s="52"/>
      <c r="AU28" s="52"/>
      <c r="AV28" s="52"/>
      <c r="AW28" s="52"/>
      <c r="AY28" s="52"/>
      <c r="AZ28" s="52"/>
      <c r="BA28" s="53"/>
      <c r="BB28" s="53"/>
      <c r="BC28" s="54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>
      <c r="K29" s="51"/>
      <c r="V29" s="55"/>
      <c r="W29" s="55"/>
      <c r="Y29" s="52"/>
      <c r="Z29" s="51"/>
      <c r="AA29" s="51"/>
      <c r="AK29" s="52"/>
      <c r="AL29" s="52"/>
      <c r="AM29" s="52"/>
      <c r="AN29" s="52"/>
      <c r="AO29" s="52"/>
      <c r="AP29" s="53"/>
      <c r="AQ29" s="53"/>
      <c r="AR29" s="54"/>
      <c r="AS29" s="52"/>
      <c r="AT29" s="52"/>
      <c r="AU29" s="52"/>
      <c r="AV29" s="52"/>
      <c r="AW29" s="52"/>
      <c r="AX29" s="52"/>
      <c r="AY29" s="52"/>
      <c r="AZ29" s="52"/>
      <c r="BA29" s="53"/>
      <c r="BB29" s="53"/>
      <c r="BC29" s="54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</row>
    <row r="30">
      <c r="K30" s="51"/>
      <c r="Y30" s="52"/>
      <c r="Z30" s="51"/>
      <c r="AA30" s="51"/>
      <c r="AK30" s="52"/>
      <c r="AL30" s="52"/>
      <c r="AM30" s="52"/>
      <c r="AN30" s="52"/>
      <c r="AO30" s="52"/>
      <c r="AP30" s="53"/>
      <c r="AQ30" s="53"/>
      <c r="AR30" s="54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4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</row>
    <row r="31">
      <c r="G31" s="55" t="s">
        <v>138</v>
      </c>
      <c r="K31" s="51"/>
      <c r="V31" s="55"/>
      <c r="W31" s="55"/>
      <c r="Y31" s="52"/>
      <c r="Z31" s="51"/>
      <c r="AA31" s="51"/>
      <c r="AK31" s="52"/>
      <c r="AL31" s="52"/>
      <c r="AM31" s="52"/>
      <c r="AN31" s="52"/>
      <c r="AO31" s="52"/>
      <c r="AP31" s="53"/>
      <c r="AQ31" s="53"/>
      <c r="AR31" s="54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4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</row>
    <row r="32">
      <c r="G32" s="55" t="s">
        <v>105</v>
      </c>
      <c r="H32" s="55">
        <v>1.0</v>
      </c>
      <c r="I32" s="55">
        <v>1.0</v>
      </c>
      <c r="J32" s="55">
        <v>1.0</v>
      </c>
      <c r="K32" s="62">
        <v>1.0</v>
      </c>
      <c r="L32" s="55">
        <v>1.0</v>
      </c>
      <c r="M32" s="55">
        <v>1.0</v>
      </c>
      <c r="N32" s="55">
        <v>1.0</v>
      </c>
      <c r="O32" s="55">
        <v>1.0</v>
      </c>
      <c r="Y32" s="52"/>
      <c r="Z32" s="51"/>
      <c r="AA32" s="51"/>
      <c r="AK32" s="52"/>
      <c r="AL32" s="52"/>
      <c r="AM32" s="52"/>
      <c r="AN32" s="52"/>
      <c r="AO32" s="52"/>
      <c r="AP32" s="53"/>
      <c r="AQ32" s="53"/>
      <c r="AR32" s="54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4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</row>
    <row r="33">
      <c r="G33" s="55" t="s">
        <v>104</v>
      </c>
      <c r="H33" s="55">
        <v>1.0</v>
      </c>
      <c r="K33" s="51"/>
      <c r="Y33" s="52"/>
      <c r="Z33" s="51"/>
      <c r="AA33" s="51"/>
      <c r="AK33" s="52"/>
      <c r="AL33" s="52"/>
      <c r="AM33" s="52"/>
      <c r="AN33" s="52"/>
      <c r="AO33" s="52"/>
      <c r="AP33" s="53"/>
      <c r="AQ33" s="53"/>
      <c r="AR33" s="54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4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</row>
    <row r="34">
      <c r="G34" s="55" t="s">
        <v>130</v>
      </c>
      <c r="H34" s="55">
        <v>1.0</v>
      </c>
      <c r="I34" s="55">
        <v>1.0</v>
      </c>
      <c r="J34" s="55">
        <v>1.0</v>
      </c>
      <c r="K34" s="62">
        <v>1.0</v>
      </c>
      <c r="Y34" s="52"/>
      <c r="Z34" s="51"/>
      <c r="AA34" s="51"/>
      <c r="AK34" s="52"/>
      <c r="AL34" s="52"/>
      <c r="AM34" s="52"/>
      <c r="AN34" s="52"/>
      <c r="AO34" s="52"/>
      <c r="AP34" s="53"/>
      <c r="AQ34" s="53"/>
      <c r="AR34" s="54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4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</row>
    <row r="35">
      <c r="G35" s="55" t="s">
        <v>131</v>
      </c>
      <c r="H35" s="55">
        <v>1.0</v>
      </c>
      <c r="I35" s="55">
        <v>1.0</v>
      </c>
      <c r="J35" s="55">
        <v>1.0</v>
      </c>
      <c r="K35" s="51"/>
      <c r="Y35" s="52"/>
      <c r="Z35" s="51"/>
      <c r="AA35" s="51"/>
      <c r="AK35" s="52"/>
      <c r="AL35" s="52"/>
      <c r="AM35" s="52"/>
      <c r="AN35" s="52"/>
      <c r="AO35" s="52"/>
      <c r="AP35" s="53"/>
      <c r="AQ35" s="53"/>
      <c r="AR35" s="54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4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</row>
    <row r="36">
      <c r="G36" s="55" t="s">
        <v>139</v>
      </c>
      <c r="H36" s="55">
        <v>1.0</v>
      </c>
      <c r="K36" s="51"/>
      <c r="Y36" s="52"/>
      <c r="Z36" s="51"/>
      <c r="AA36" s="51"/>
      <c r="AK36" s="52"/>
      <c r="AL36" s="52"/>
      <c r="AM36" s="52"/>
      <c r="AN36" s="52"/>
      <c r="AO36" s="52"/>
      <c r="AP36" s="53"/>
      <c r="AQ36" s="53"/>
      <c r="AR36" s="54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4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</row>
    <row r="37">
      <c r="G37" s="55" t="s">
        <v>140</v>
      </c>
      <c r="H37" s="55">
        <v>1.0</v>
      </c>
      <c r="K37" s="51"/>
      <c r="Y37" s="52"/>
      <c r="Z37" s="51"/>
      <c r="AA37" s="51"/>
      <c r="AK37" s="52"/>
      <c r="AL37" s="52"/>
      <c r="AM37" s="52"/>
      <c r="AN37" s="52"/>
      <c r="AO37" s="52"/>
      <c r="AP37" s="53"/>
      <c r="AQ37" s="53"/>
      <c r="AR37" s="54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4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</row>
    <row r="38">
      <c r="K38" s="51"/>
      <c r="Y38" s="52"/>
      <c r="Z38" s="51"/>
      <c r="AA38" s="51"/>
      <c r="AK38" s="52"/>
      <c r="AL38" s="52"/>
      <c r="AM38" s="52"/>
      <c r="AN38" s="52"/>
      <c r="AO38" s="52"/>
      <c r="AP38" s="53"/>
      <c r="AQ38" s="53"/>
      <c r="AR38" s="54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4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</row>
    <row r="39">
      <c r="K39" s="51"/>
      <c r="Y39" s="52"/>
      <c r="Z39" s="51"/>
      <c r="AA39" s="51"/>
      <c r="AK39" s="52"/>
      <c r="AL39" s="52"/>
      <c r="AM39" s="52"/>
      <c r="AN39" s="52"/>
      <c r="AO39" s="52"/>
      <c r="AP39" s="53"/>
      <c r="AQ39" s="53"/>
      <c r="AR39" s="54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4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</row>
    <row r="40">
      <c r="K40" s="51"/>
      <c r="Y40" s="52"/>
      <c r="Z40" s="51"/>
      <c r="AA40" s="51"/>
      <c r="AK40" s="52"/>
      <c r="AL40" s="52"/>
      <c r="AM40" s="52"/>
      <c r="AN40" s="52"/>
      <c r="AO40" s="52"/>
      <c r="AP40" s="53"/>
      <c r="AQ40" s="53"/>
      <c r="AR40" s="54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4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</row>
    <row r="41">
      <c r="K41" s="51"/>
      <c r="Y41" s="52"/>
      <c r="Z41" s="51"/>
      <c r="AA41" s="51"/>
      <c r="AK41" s="52"/>
      <c r="AL41" s="52"/>
      <c r="AM41" s="52"/>
      <c r="AN41" s="52"/>
      <c r="AO41" s="52"/>
      <c r="AP41" s="53"/>
      <c r="AQ41" s="53"/>
      <c r="AR41" s="54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4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</row>
    <row r="42">
      <c r="K42" s="51"/>
      <c r="Y42" s="52"/>
      <c r="Z42" s="51"/>
      <c r="AA42" s="51"/>
      <c r="AK42" s="52"/>
      <c r="AL42" s="52"/>
      <c r="AM42" s="52"/>
      <c r="AN42" s="52"/>
      <c r="AO42" s="52"/>
      <c r="AP42" s="53"/>
      <c r="AQ42" s="53"/>
      <c r="AR42" s="54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4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</row>
    <row r="43">
      <c r="K43" s="51"/>
      <c r="Y43" s="52"/>
      <c r="Z43" s="51"/>
      <c r="AA43" s="51"/>
      <c r="AK43" s="52"/>
      <c r="AL43" s="52"/>
      <c r="AM43" s="52"/>
      <c r="AN43" s="52"/>
      <c r="AO43" s="52"/>
      <c r="AP43" s="53"/>
      <c r="AQ43" s="53"/>
      <c r="AR43" s="54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4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</row>
    <row r="44">
      <c r="K44" s="51"/>
      <c r="Y44" s="52"/>
      <c r="Z44" s="51"/>
      <c r="AA44" s="51"/>
      <c r="AK44" s="52"/>
      <c r="AL44" s="52"/>
      <c r="AM44" s="52"/>
      <c r="AN44" s="52"/>
      <c r="AO44" s="52"/>
      <c r="AP44" s="53"/>
      <c r="AQ44" s="53"/>
      <c r="AR44" s="54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4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</row>
    <row r="45">
      <c r="K45" s="51"/>
      <c r="Y45" s="52"/>
      <c r="Z45" s="51"/>
      <c r="AA45" s="51"/>
      <c r="AK45" s="52"/>
      <c r="AL45" s="52"/>
      <c r="AM45" s="52"/>
      <c r="AN45" s="52"/>
      <c r="AO45" s="52"/>
      <c r="AP45" s="53"/>
      <c r="AQ45" s="53"/>
      <c r="AR45" s="54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4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</row>
    <row r="46">
      <c r="K46" s="51"/>
      <c r="Y46" s="52"/>
      <c r="Z46" s="51"/>
      <c r="AA46" s="51"/>
      <c r="AK46" s="52"/>
      <c r="AL46" s="52"/>
      <c r="AM46" s="52"/>
      <c r="AN46" s="52"/>
      <c r="AO46" s="52"/>
      <c r="AP46" s="53"/>
      <c r="AQ46" s="53"/>
      <c r="AR46" s="54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4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</row>
    <row r="47">
      <c r="K47" s="51"/>
      <c r="Y47" s="52"/>
      <c r="Z47" s="51"/>
      <c r="AA47" s="51"/>
      <c r="AK47" s="52"/>
      <c r="AL47" s="52"/>
      <c r="AM47" s="52"/>
      <c r="AN47" s="52"/>
      <c r="AO47" s="52"/>
      <c r="AP47" s="53"/>
      <c r="AQ47" s="53"/>
      <c r="AR47" s="54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4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</row>
    <row r="48">
      <c r="K48" s="51"/>
      <c r="Y48" s="52"/>
      <c r="Z48" s="51"/>
      <c r="AA48" s="51"/>
      <c r="AK48" s="52"/>
      <c r="AL48" s="52"/>
      <c r="AM48" s="52"/>
      <c r="AN48" s="52"/>
      <c r="AO48" s="52"/>
      <c r="AP48" s="53"/>
      <c r="AQ48" s="53"/>
      <c r="AR48" s="54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4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</row>
    <row r="49">
      <c r="K49" s="51"/>
      <c r="Y49" s="52"/>
      <c r="Z49" s="51"/>
      <c r="AA49" s="51"/>
      <c r="AK49" s="52"/>
      <c r="AL49" s="52"/>
      <c r="AM49" s="52"/>
      <c r="AN49" s="52"/>
      <c r="AO49" s="52"/>
      <c r="AP49" s="53"/>
      <c r="AQ49" s="53"/>
      <c r="AR49" s="54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4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</row>
    <row r="50">
      <c r="K50" s="51"/>
      <c r="Y50" s="52"/>
      <c r="Z50" s="51"/>
      <c r="AA50" s="51"/>
      <c r="AK50" s="52"/>
      <c r="AL50" s="52"/>
      <c r="AM50" s="52"/>
      <c r="AN50" s="52"/>
      <c r="AO50" s="52"/>
      <c r="AP50" s="53"/>
      <c r="AQ50" s="53"/>
      <c r="AR50" s="54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4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</row>
    <row r="51">
      <c r="K51" s="51"/>
      <c r="Y51" s="52"/>
      <c r="Z51" s="51"/>
      <c r="AA51" s="51"/>
      <c r="AK51" s="52"/>
      <c r="AL51" s="52"/>
      <c r="AM51" s="52"/>
      <c r="AN51" s="52"/>
      <c r="AO51" s="52"/>
      <c r="AP51" s="53"/>
      <c r="AQ51" s="53"/>
      <c r="AR51" s="54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4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</row>
    <row r="52">
      <c r="K52" s="51"/>
      <c r="Y52" s="52"/>
      <c r="Z52" s="51"/>
      <c r="AA52" s="51"/>
      <c r="AK52" s="52"/>
      <c r="AL52" s="52"/>
      <c r="AM52" s="52"/>
      <c r="AN52" s="52"/>
      <c r="AO52" s="52"/>
      <c r="AP52" s="53"/>
      <c r="AQ52" s="53"/>
      <c r="AR52" s="54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4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</row>
    <row r="53">
      <c r="K53" s="51"/>
      <c r="Y53" s="52"/>
      <c r="Z53" s="51"/>
      <c r="AA53" s="51"/>
      <c r="AK53" s="52"/>
      <c r="AL53" s="52"/>
      <c r="AM53" s="52"/>
      <c r="AN53" s="52"/>
      <c r="AO53" s="52"/>
      <c r="AP53" s="53"/>
      <c r="AQ53" s="53"/>
      <c r="AR53" s="54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4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</row>
    <row r="54">
      <c r="K54" s="51"/>
      <c r="Y54" s="52"/>
      <c r="Z54" s="51"/>
      <c r="AA54" s="51"/>
      <c r="AK54" s="52"/>
      <c r="AL54" s="52"/>
      <c r="AM54" s="52"/>
      <c r="AN54" s="52"/>
      <c r="AO54" s="52"/>
      <c r="AP54" s="53"/>
      <c r="AQ54" s="53"/>
      <c r="AR54" s="54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4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</row>
    <row r="55">
      <c r="K55" s="51"/>
      <c r="Y55" s="52"/>
      <c r="Z55" s="51"/>
      <c r="AA55" s="51"/>
      <c r="AK55" s="52"/>
      <c r="AL55" s="52"/>
      <c r="AM55" s="52"/>
      <c r="AN55" s="52"/>
      <c r="AO55" s="52"/>
      <c r="AP55" s="53"/>
      <c r="AQ55" s="53"/>
      <c r="AR55" s="54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4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</row>
    <row r="56">
      <c r="K56" s="51"/>
      <c r="Y56" s="52"/>
      <c r="Z56" s="51"/>
      <c r="AA56" s="51"/>
      <c r="AK56" s="52"/>
      <c r="AL56" s="52"/>
      <c r="AM56" s="52"/>
      <c r="AN56" s="52"/>
      <c r="AO56" s="52"/>
      <c r="AP56" s="53"/>
      <c r="AQ56" s="53"/>
      <c r="AR56" s="54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4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</row>
    <row r="57">
      <c r="K57" s="51"/>
      <c r="Y57" s="52"/>
      <c r="Z57" s="51"/>
      <c r="AA57" s="51"/>
      <c r="AK57" s="52"/>
      <c r="AL57" s="52"/>
      <c r="AM57" s="52"/>
      <c r="AN57" s="52"/>
      <c r="AO57" s="52"/>
      <c r="AP57" s="53"/>
      <c r="AQ57" s="53"/>
      <c r="AR57" s="54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4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</row>
    <row r="58">
      <c r="K58" s="51"/>
      <c r="Y58" s="52"/>
      <c r="Z58" s="51"/>
      <c r="AA58" s="51"/>
      <c r="AK58" s="52"/>
      <c r="AL58" s="52"/>
      <c r="AM58" s="52"/>
      <c r="AN58" s="52"/>
      <c r="AO58" s="52"/>
      <c r="AP58" s="53"/>
      <c r="AQ58" s="53"/>
      <c r="AR58" s="54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4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</row>
    <row r="59">
      <c r="K59" s="51"/>
      <c r="Y59" s="52"/>
      <c r="Z59" s="51"/>
      <c r="AA59" s="51"/>
      <c r="AK59" s="52"/>
      <c r="AL59" s="52"/>
      <c r="AM59" s="52"/>
      <c r="AN59" s="52"/>
      <c r="AO59" s="52"/>
      <c r="AP59" s="53"/>
      <c r="AQ59" s="53"/>
      <c r="AR59" s="54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4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</row>
    <row r="60">
      <c r="K60" s="51"/>
      <c r="Y60" s="52"/>
      <c r="Z60" s="51"/>
      <c r="AA60" s="51"/>
      <c r="AK60" s="52"/>
      <c r="AL60" s="52"/>
      <c r="AM60" s="52"/>
      <c r="AN60" s="52"/>
      <c r="AO60" s="52"/>
      <c r="AP60" s="53"/>
      <c r="AQ60" s="53"/>
      <c r="AR60" s="54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4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</row>
    <row r="61">
      <c r="K61" s="51"/>
      <c r="Y61" s="52"/>
      <c r="Z61" s="51"/>
      <c r="AA61" s="51"/>
      <c r="AK61" s="52"/>
      <c r="AL61" s="52"/>
      <c r="AM61" s="52"/>
      <c r="AN61" s="52"/>
      <c r="AO61" s="52"/>
      <c r="AP61" s="53"/>
      <c r="AQ61" s="53"/>
      <c r="AR61" s="54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4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</row>
    <row r="62">
      <c r="K62" s="51"/>
      <c r="Y62" s="52"/>
      <c r="Z62" s="51"/>
      <c r="AA62" s="51"/>
      <c r="AK62" s="52"/>
      <c r="AL62" s="52"/>
      <c r="AM62" s="52"/>
      <c r="AN62" s="52"/>
      <c r="AO62" s="52"/>
      <c r="AP62" s="53"/>
      <c r="AQ62" s="53"/>
      <c r="AR62" s="54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4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</row>
    <row r="63">
      <c r="K63" s="51"/>
      <c r="Y63" s="52"/>
      <c r="Z63" s="51"/>
      <c r="AA63" s="51"/>
      <c r="AK63" s="52"/>
      <c r="AL63" s="52"/>
      <c r="AM63" s="52"/>
      <c r="AN63" s="52"/>
      <c r="AO63" s="52"/>
      <c r="AP63" s="53"/>
      <c r="AQ63" s="53"/>
      <c r="AR63" s="54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4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</row>
    <row r="64">
      <c r="K64" s="51"/>
      <c r="Y64" s="52"/>
      <c r="Z64" s="51"/>
      <c r="AA64" s="51"/>
      <c r="AK64" s="52"/>
      <c r="AL64" s="52"/>
      <c r="AM64" s="52"/>
      <c r="AN64" s="52"/>
      <c r="AO64" s="52"/>
      <c r="AP64" s="53"/>
      <c r="AQ64" s="53"/>
      <c r="AR64" s="54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4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</row>
    <row r="65">
      <c r="K65" s="51"/>
      <c r="Y65" s="52"/>
      <c r="Z65" s="51"/>
      <c r="AA65" s="51"/>
      <c r="AK65" s="52"/>
      <c r="AL65" s="52"/>
      <c r="AM65" s="52"/>
      <c r="AN65" s="52"/>
      <c r="AO65" s="52"/>
      <c r="AP65" s="53"/>
      <c r="AQ65" s="53"/>
      <c r="AR65" s="54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4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</row>
    <row r="66">
      <c r="K66" s="51"/>
      <c r="Y66" s="52"/>
      <c r="Z66" s="51"/>
      <c r="AA66" s="51"/>
      <c r="AK66" s="52"/>
      <c r="AL66" s="52"/>
      <c r="AM66" s="52"/>
      <c r="AN66" s="52"/>
      <c r="AO66" s="52"/>
      <c r="AP66" s="53"/>
      <c r="AQ66" s="53"/>
      <c r="AR66" s="54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4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</row>
    <row r="67">
      <c r="K67" s="51"/>
      <c r="Y67" s="52"/>
      <c r="Z67" s="51"/>
      <c r="AA67" s="51"/>
      <c r="AK67" s="52"/>
      <c r="AL67" s="52"/>
      <c r="AM67" s="52"/>
      <c r="AN67" s="52"/>
      <c r="AO67" s="52"/>
      <c r="AP67" s="53"/>
      <c r="AQ67" s="53"/>
      <c r="AR67" s="54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4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</row>
    <row r="68">
      <c r="K68" s="51"/>
      <c r="Y68" s="52"/>
      <c r="Z68" s="51"/>
      <c r="AA68" s="51"/>
      <c r="AK68" s="52"/>
      <c r="AL68" s="52"/>
      <c r="AM68" s="52"/>
      <c r="AN68" s="52"/>
      <c r="AO68" s="52"/>
      <c r="AP68" s="53"/>
      <c r="AQ68" s="53"/>
      <c r="AR68" s="54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4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</row>
    <row r="69">
      <c r="K69" s="51"/>
      <c r="Y69" s="52"/>
      <c r="Z69" s="51"/>
      <c r="AA69" s="51"/>
      <c r="AK69" s="52"/>
      <c r="AL69" s="52"/>
      <c r="AM69" s="52"/>
      <c r="AN69" s="52"/>
      <c r="AO69" s="52"/>
      <c r="AP69" s="53"/>
      <c r="AQ69" s="53"/>
      <c r="AR69" s="54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4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</row>
    <row r="70">
      <c r="K70" s="51"/>
      <c r="Y70" s="52"/>
      <c r="Z70" s="51"/>
      <c r="AA70" s="51"/>
      <c r="AK70" s="52"/>
      <c r="AL70" s="52"/>
      <c r="AM70" s="52"/>
      <c r="AN70" s="52"/>
      <c r="AO70" s="52"/>
      <c r="AP70" s="53"/>
      <c r="AQ70" s="53"/>
      <c r="AR70" s="54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4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</row>
    <row r="71">
      <c r="K71" s="51"/>
      <c r="Y71" s="52"/>
      <c r="Z71" s="51"/>
      <c r="AA71" s="51"/>
      <c r="AK71" s="52"/>
      <c r="AL71" s="52"/>
      <c r="AM71" s="52"/>
      <c r="AN71" s="52"/>
      <c r="AO71" s="52"/>
      <c r="AP71" s="53"/>
      <c r="AQ71" s="53"/>
      <c r="AR71" s="54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4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</row>
    <row r="72">
      <c r="K72" s="51"/>
      <c r="Y72" s="52"/>
      <c r="Z72" s="51"/>
      <c r="AA72" s="51"/>
      <c r="AK72" s="52"/>
      <c r="AL72" s="52"/>
      <c r="AM72" s="52"/>
      <c r="AN72" s="52"/>
      <c r="AO72" s="52"/>
      <c r="AP72" s="53"/>
      <c r="AQ72" s="53"/>
      <c r="AR72" s="54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4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</row>
    <row r="73">
      <c r="K73" s="51"/>
      <c r="Y73" s="52"/>
      <c r="Z73" s="51"/>
      <c r="AA73" s="51"/>
      <c r="AK73" s="52"/>
      <c r="AL73" s="52"/>
      <c r="AM73" s="52"/>
      <c r="AN73" s="52"/>
      <c r="AO73" s="52"/>
      <c r="AP73" s="53"/>
      <c r="AQ73" s="53"/>
      <c r="AR73" s="54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4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</row>
    <row r="74">
      <c r="K74" s="51"/>
      <c r="Y74" s="52"/>
      <c r="Z74" s="51"/>
      <c r="AA74" s="51"/>
      <c r="AK74" s="52"/>
      <c r="AL74" s="52"/>
      <c r="AM74" s="52"/>
      <c r="AN74" s="52"/>
      <c r="AO74" s="52"/>
      <c r="AP74" s="53"/>
      <c r="AQ74" s="53"/>
      <c r="AR74" s="54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4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</row>
    <row r="75">
      <c r="K75" s="51"/>
      <c r="Y75" s="52"/>
      <c r="Z75" s="51"/>
      <c r="AA75" s="51"/>
      <c r="AK75" s="52"/>
      <c r="AL75" s="52"/>
      <c r="AM75" s="52"/>
      <c r="AN75" s="52"/>
      <c r="AO75" s="52"/>
      <c r="AP75" s="53"/>
      <c r="AQ75" s="53"/>
      <c r="AR75" s="54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4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</row>
    <row r="76">
      <c r="K76" s="51"/>
      <c r="Y76" s="52"/>
      <c r="Z76" s="51"/>
      <c r="AA76" s="51"/>
      <c r="AK76" s="52"/>
      <c r="AL76" s="52"/>
      <c r="AM76" s="52"/>
      <c r="AN76" s="52"/>
      <c r="AO76" s="52"/>
      <c r="AP76" s="53"/>
      <c r="AQ76" s="53"/>
      <c r="AR76" s="54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4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</row>
    <row r="77">
      <c r="K77" s="51"/>
      <c r="Y77" s="52"/>
      <c r="Z77" s="51"/>
      <c r="AA77" s="51"/>
      <c r="AK77" s="52"/>
      <c r="AL77" s="52"/>
      <c r="AM77" s="52"/>
      <c r="AN77" s="52"/>
      <c r="AO77" s="52"/>
      <c r="AP77" s="53"/>
      <c r="AQ77" s="53"/>
      <c r="AR77" s="54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4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</row>
    <row r="78">
      <c r="K78" s="51"/>
      <c r="Y78" s="52"/>
      <c r="Z78" s="51"/>
      <c r="AA78" s="51"/>
      <c r="AK78" s="52"/>
      <c r="AL78" s="52"/>
      <c r="AM78" s="52"/>
      <c r="AN78" s="52"/>
      <c r="AO78" s="52"/>
      <c r="AP78" s="53"/>
      <c r="AQ78" s="53"/>
      <c r="AR78" s="54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4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</row>
    <row r="79">
      <c r="K79" s="51"/>
      <c r="Y79" s="52"/>
      <c r="Z79" s="51"/>
      <c r="AA79" s="51"/>
      <c r="AK79" s="52"/>
      <c r="AL79" s="52"/>
      <c r="AM79" s="52"/>
      <c r="AN79" s="52"/>
      <c r="AO79" s="52"/>
      <c r="AP79" s="53"/>
      <c r="AQ79" s="53"/>
      <c r="AR79" s="54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4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</row>
    <row r="80">
      <c r="K80" s="51"/>
      <c r="Y80" s="52"/>
      <c r="Z80" s="51"/>
      <c r="AA80" s="51"/>
      <c r="AK80" s="52"/>
      <c r="AL80" s="52"/>
      <c r="AM80" s="52"/>
      <c r="AN80" s="52"/>
      <c r="AO80" s="52"/>
      <c r="AP80" s="53"/>
      <c r="AQ80" s="53"/>
      <c r="AR80" s="54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4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</row>
    <row r="81">
      <c r="K81" s="51"/>
      <c r="Y81" s="52"/>
      <c r="Z81" s="51"/>
      <c r="AA81" s="51"/>
      <c r="AK81" s="52"/>
      <c r="AL81" s="52"/>
      <c r="AM81" s="52"/>
      <c r="AN81" s="52"/>
      <c r="AO81" s="52"/>
      <c r="AP81" s="53"/>
      <c r="AQ81" s="53"/>
      <c r="AR81" s="54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4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</row>
    <row r="82">
      <c r="K82" s="51"/>
      <c r="Y82" s="52"/>
      <c r="Z82" s="51"/>
      <c r="AA82" s="51"/>
      <c r="AK82" s="52"/>
      <c r="AL82" s="52"/>
      <c r="AM82" s="52"/>
      <c r="AN82" s="52"/>
      <c r="AO82" s="52"/>
      <c r="AP82" s="53"/>
      <c r="AQ82" s="53"/>
      <c r="AR82" s="54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4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</row>
    <row r="83">
      <c r="K83" s="51"/>
      <c r="Y83" s="52"/>
      <c r="Z83" s="51"/>
      <c r="AA83" s="51"/>
      <c r="AK83" s="52"/>
      <c r="AL83" s="52"/>
      <c r="AM83" s="52"/>
      <c r="AN83" s="52"/>
      <c r="AO83" s="52"/>
      <c r="AP83" s="53"/>
      <c r="AQ83" s="53"/>
      <c r="AR83" s="54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4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</row>
    <row r="84">
      <c r="K84" s="51"/>
      <c r="Y84" s="52"/>
      <c r="Z84" s="51"/>
      <c r="AA84" s="51"/>
      <c r="AK84" s="52"/>
      <c r="AL84" s="52"/>
      <c r="AM84" s="52"/>
      <c r="AN84" s="52"/>
      <c r="AO84" s="52"/>
      <c r="AP84" s="53"/>
      <c r="AQ84" s="53"/>
      <c r="AR84" s="54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4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</row>
    <row r="85">
      <c r="K85" s="51"/>
      <c r="Y85" s="52"/>
      <c r="Z85" s="51"/>
      <c r="AA85" s="51"/>
      <c r="AK85" s="52"/>
      <c r="AL85" s="52"/>
      <c r="AM85" s="52"/>
      <c r="AN85" s="52"/>
      <c r="AO85" s="52"/>
      <c r="AP85" s="53"/>
      <c r="AQ85" s="53"/>
      <c r="AR85" s="54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4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</row>
    <row r="86">
      <c r="K86" s="51"/>
      <c r="Y86" s="52"/>
      <c r="Z86" s="51"/>
      <c r="AA86" s="51"/>
      <c r="AK86" s="52"/>
      <c r="AL86" s="52"/>
      <c r="AM86" s="52"/>
      <c r="AN86" s="52"/>
      <c r="AO86" s="52"/>
      <c r="AP86" s="53"/>
      <c r="AQ86" s="53"/>
      <c r="AR86" s="54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4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</row>
    <row r="87">
      <c r="K87" s="51"/>
      <c r="Y87" s="52"/>
      <c r="Z87" s="51"/>
      <c r="AA87" s="51"/>
      <c r="AK87" s="52"/>
      <c r="AL87" s="52"/>
      <c r="AM87" s="52"/>
      <c r="AN87" s="52"/>
      <c r="AO87" s="52"/>
      <c r="AP87" s="53"/>
      <c r="AQ87" s="53"/>
      <c r="AR87" s="54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4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</row>
    <row r="88">
      <c r="K88" s="51"/>
      <c r="Y88" s="52"/>
      <c r="Z88" s="51"/>
      <c r="AA88" s="51"/>
      <c r="AK88" s="52"/>
      <c r="AL88" s="52"/>
      <c r="AM88" s="52"/>
      <c r="AN88" s="52"/>
      <c r="AO88" s="52"/>
      <c r="AP88" s="53"/>
      <c r="AQ88" s="53"/>
      <c r="AR88" s="54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4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</row>
    <row r="89">
      <c r="K89" s="51"/>
      <c r="Y89" s="52"/>
      <c r="Z89" s="51"/>
      <c r="AA89" s="51"/>
      <c r="AK89" s="52"/>
      <c r="AL89" s="52"/>
      <c r="AM89" s="52"/>
      <c r="AN89" s="52"/>
      <c r="AO89" s="52"/>
      <c r="AP89" s="53"/>
      <c r="AQ89" s="53"/>
      <c r="AR89" s="54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4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</row>
    <row r="90">
      <c r="K90" s="51"/>
      <c r="Y90" s="52"/>
      <c r="Z90" s="51"/>
      <c r="AA90" s="51"/>
      <c r="AK90" s="52"/>
      <c r="AL90" s="52"/>
      <c r="AM90" s="52"/>
      <c r="AN90" s="52"/>
      <c r="AO90" s="52"/>
      <c r="AP90" s="53"/>
      <c r="AQ90" s="53"/>
      <c r="AR90" s="54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4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</row>
    <row r="91">
      <c r="K91" s="51"/>
      <c r="Y91" s="52"/>
      <c r="Z91" s="51"/>
      <c r="AA91" s="51"/>
      <c r="AK91" s="52"/>
      <c r="AL91" s="52"/>
      <c r="AM91" s="52"/>
      <c r="AN91" s="52"/>
      <c r="AO91" s="52"/>
      <c r="AP91" s="53"/>
      <c r="AQ91" s="53"/>
      <c r="AR91" s="54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4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</row>
    <row r="92">
      <c r="K92" s="51"/>
      <c r="Y92" s="52"/>
      <c r="Z92" s="51"/>
      <c r="AA92" s="51"/>
      <c r="AK92" s="52"/>
      <c r="AL92" s="52"/>
      <c r="AM92" s="52"/>
      <c r="AN92" s="52"/>
      <c r="AO92" s="52"/>
      <c r="AP92" s="53"/>
      <c r="AQ92" s="53"/>
      <c r="AR92" s="54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4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</row>
    <row r="93">
      <c r="K93" s="51"/>
      <c r="Y93" s="52"/>
      <c r="Z93" s="51"/>
      <c r="AA93" s="51"/>
      <c r="AK93" s="52"/>
      <c r="AL93" s="52"/>
      <c r="AM93" s="52"/>
      <c r="AN93" s="52"/>
      <c r="AO93" s="52"/>
      <c r="AP93" s="53"/>
      <c r="AQ93" s="53"/>
      <c r="AR93" s="54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4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</row>
    <row r="94">
      <c r="K94" s="51"/>
      <c r="Y94" s="52"/>
      <c r="Z94" s="51"/>
      <c r="AA94" s="51"/>
      <c r="AK94" s="52"/>
      <c r="AL94" s="52"/>
      <c r="AM94" s="52"/>
      <c r="AN94" s="52"/>
      <c r="AO94" s="52"/>
      <c r="AP94" s="53"/>
      <c r="AQ94" s="53"/>
      <c r="AR94" s="54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4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</row>
    <row r="95">
      <c r="K95" s="51"/>
      <c r="Y95" s="52"/>
      <c r="Z95" s="51"/>
      <c r="AA95" s="51"/>
      <c r="AK95" s="52"/>
      <c r="AL95" s="52"/>
      <c r="AM95" s="52"/>
      <c r="AN95" s="52"/>
      <c r="AO95" s="52"/>
      <c r="AP95" s="53"/>
      <c r="AQ95" s="53"/>
      <c r="AR95" s="54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4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</row>
    <row r="96">
      <c r="K96" s="51"/>
      <c r="Y96" s="52"/>
      <c r="Z96" s="51"/>
      <c r="AA96" s="51"/>
      <c r="AK96" s="52"/>
      <c r="AL96" s="52"/>
      <c r="AM96" s="52"/>
      <c r="AN96" s="52"/>
      <c r="AO96" s="52"/>
      <c r="AP96" s="53"/>
      <c r="AQ96" s="53"/>
      <c r="AR96" s="54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4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</row>
    <row r="97">
      <c r="K97" s="51"/>
      <c r="Y97" s="52"/>
      <c r="Z97" s="51"/>
      <c r="AA97" s="51"/>
      <c r="AK97" s="52"/>
      <c r="AL97" s="52"/>
      <c r="AM97" s="52"/>
      <c r="AN97" s="52"/>
      <c r="AO97" s="52"/>
      <c r="AP97" s="53"/>
      <c r="AQ97" s="53"/>
      <c r="AR97" s="54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4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</row>
    <row r="98">
      <c r="K98" s="51"/>
      <c r="Y98" s="52"/>
      <c r="Z98" s="51"/>
      <c r="AA98" s="51"/>
      <c r="AK98" s="52"/>
      <c r="AL98" s="52"/>
      <c r="AM98" s="52"/>
      <c r="AN98" s="52"/>
      <c r="AO98" s="52"/>
      <c r="AP98" s="53"/>
      <c r="AQ98" s="53"/>
      <c r="AR98" s="54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4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</row>
    <row r="99">
      <c r="K99" s="51"/>
      <c r="Y99" s="52"/>
      <c r="Z99" s="51"/>
      <c r="AA99" s="51"/>
      <c r="AK99" s="52"/>
      <c r="AL99" s="52"/>
      <c r="AM99" s="52"/>
      <c r="AN99" s="52"/>
      <c r="AO99" s="52"/>
      <c r="AP99" s="53"/>
      <c r="AQ99" s="53"/>
      <c r="AR99" s="54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4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</row>
    <row r="100">
      <c r="K100" s="51"/>
      <c r="Y100" s="52"/>
      <c r="Z100" s="51"/>
      <c r="AA100" s="51"/>
      <c r="AK100" s="52"/>
      <c r="AL100" s="52"/>
      <c r="AM100" s="52"/>
      <c r="AN100" s="52"/>
      <c r="AO100" s="52"/>
      <c r="AP100" s="53"/>
      <c r="AQ100" s="53"/>
      <c r="AR100" s="54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4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</row>
    <row r="101">
      <c r="K101" s="51"/>
      <c r="Y101" s="52"/>
      <c r="Z101" s="51"/>
      <c r="AA101" s="51"/>
      <c r="AK101" s="52"/>
      <c r="AL101" s="52"/>
      <c r="AM101" s="52"/>
      <c r="AN101" s="52"/>
      <c r="AO101" s="52"/>
      <c r="AP101" s="53"/>
      <c r="AQ101" s="53"/>
      <c r="AR101" s="54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4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</row>
    <row r="102">
      <c r="K102" s="51"/>
      <c r="Y102" s="52"/>
      <c r="Z102" s="51"/>
      <c r="AA102" s="51"/>
      <c r="AK102" s="52"/>
      <c r="AL102" s="52"/>
      <c r="AM102" s="52"/>
      <c r="AN102" s="52"/>
      <c r="AO102" s="52"/>
      <c r="AP102" s="53"/>
      <c r="AQ102" s="53"/>
      <c r="AR102" s="54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4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</row>
    <row r="103">
      <c r="K103" s="51"/>
      <c r="Y103" s="52"/>
      <c r="Z103" s="51"/>
      <c r="AA103" s="51"/>
      <c r="AK103" s="52"/>
      <c r="AL103" s="52"/>
      <c r="AM103" s="52"/>
      <c r="AN103" s="52"/>
      <c r="AO103" s="52"/>
      <c r="AP103" s="53"/>
      <c r="AQ103" s="53"/>
      <c r="AR103" s="54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4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</row>
    <row r="104">
      <c r="K104" s="51"/>
      <c r="Y104" s="52"/>
      <c r="Z104" s="51"/>
      <c r="AA104" s="51"/>
      <c r="AK104" s="52"/>
      <c r="AL104" s="52"/>
      <c r="AM104" s="52"/>
      <c r="AN104" s="52"/>
      <c r="AO104" s="52"/>
      <c r="AP104" s="53"/>
      <c r="AQ104" s="53"/>
      <c r="AR104" s="54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4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</row>
    <row r="105">
      <c r="K105" s="51"/>
      <c r="Y105" s="52"/>
      <c r="Z105" s="51"/>
      <c r="AA105" s="51"/>
      <c r="AK105" s="52"/>
      <c r="AL105" s="52"/>
      <c r="AM105" s="52"/>
      <c r="AN105" s="52"/>
      <c r="AO105" s="52"/>
      <c r="AP105" s="53"/>
      <c r="AQ105" s="53"/>
      <c r="AR105" s="54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4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</row>
    <row r="106">
      <c r="K106" s="51"/>
      <c r="Y106" s="52"/>
      <c r="Z106" s="51"/>
      <c r="AA106" s="51"/>
      <c r="AK106" s="52"/>
      <c r="AL106" s="52"/>
      <c r="AM106" s="52"/>
      <c r="AN106" s="52"/>
      <c r="AO106" s="52"/>
      <c r="AP106" s="53"/>
      <c r="AQ106" s="53"/>
      <c r="AR106" s="54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4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</row>
    <row r="107">
      <c r="K107" s="51"/>
      <c r="Y107" s="52"/>
      <c r="Z107" s="51"/>
      <c r="AA107" s="51"/>
      <c r="AK107" s="52"/>
      <c r="AL107" s="52"/>
      <c r="AM107" s="52"/>
      <c r="AN107" s="52"/>
      <c r="AO107" s="52"/>
      <c r="AP107" s="53"/>
      <c r="AQ107" s="53"/>
      <c r="AR107" s="54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4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</row>
    <row r="108">
      <c r="K108" s="51"/>
      <c r="Y108" s="52"/>
      <c r="Z108" s="51"/>
      <c r="AA108" s="51"/>
      <c r="AK108" s="52"/>
      <c r="AL108" s="52"/>
      <c r="AM108" s="52"/>
      <c r="AN108" s="52"/>
      <c r="AO108" s="52"/>
      <c r="AP108" s="53"/>
      <c r="AQ108" s="53"/>
      <c r="AR108" s="54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4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</row>
    <row r="109">
      <c r="K109" s="51"/>
      <c r="Y109" s="52"/>
      <c r="Z109" s="51"/>
      <c r="AA109" s="51"/>
      <c r="AK109" s="52"/>
      <c r="AL109" s="52"/>
      <c r="AM109" s="52"/>
      <c r="AN109" s="52"/>
      <c r="AO109" s="52"/>
      <c r="AP109" s="53"/>
      <c r="AQ109" s="53"/>
      <c r="AR109" s="54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4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</row>
    <row r="110">
      <c r="K110" s="51"/>
      <c r="Y110" s="52"/>
      <c r="Z110" s="51"/>
      <c r="AA110" s="51"/>
      <c r="AK110" s="52"/>
      <c r="AL110" s="52"/>
      <c r="AM110" s="52"/>
      <c r="AN110" s="52"/>
      <c r="AO110" s="52"/>
      <c r="AP110" s="53"/>
      <c r="AQ110" s="53"/>
      <c r="AR110" s="54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4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</row>
    <row r="111">
      <c r="K111" s="51"/>
      <c r="Y111" s="52"/>
      <c r="Z111" s="51"/>
      <c r="AA111" s="51"/>
      <c r="AK111" s="52"/>
      <c r="AL111" s="52"/>
      <c r="AM111" s="52"/>
      <c r="AN111" s="52"/>
      <c r="AO111" s="52"/>
      <c r="AP111" s="53"/>
      <c r="AQ111" s="53"/>
      <c r="AR111" s="54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4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</row>
    <row r="112">
      <c r="K112" s="51"/>
      <c r="Y112" s="52"/>
      <c r="Z112" s="51"/>
      <c r="AA112" s="51"/>
      <c r="AK112" s="52"/>
      <c r="AL112" s="52"/>
      <c r="AM112" s="52"/>
      <c r="AN112" s="52"/>
      <c r="AO112" s="52"/>
      <c r="AP112" s="53"/>
      <c r="AQ112" s="53"/>
      <c r="AR112" s="54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4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</row>
    <row r="113">
      <c r="K113" s="51"/>
      <c r="Y113" s="52"/>
      <c r="Z113" s="51"/>
      <c r="AA113" s="51"/>
      <c r="AK113" s="52"/>
      <c r="AL113" s="52"/>
      <c r="AM113" s="52"/>
      <c r="AN113" s="52"/>
      <c r="AO113" s="52"/>
      <c r="AP113" s="53"/>
      <c r="AQ113" s="53"/>
      <c r="AR113" s="54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4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</row>
    <row r="114">
      <c r="K114" s="51"/>
      <c r="Y114" s="52"/>
      <c r="Z114" s="51"/>
      <c r="AA114" s="51"/>
      <c r="AK114" s="52"/>
      <c r="AL114" s="52"/>
      <c r="AM114" s="52"/>
      <c r="AN114" s="52"/>
      <c r="AO114" s="52"/>
      <c r="AP114" s="53"/>
      <c r="AQ114" s="53"/>
      <c r="AR114" s="54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4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</row>
    <row r="115">
      <c r="K115" s="51"/>
      <c r="Y115" s="52"/>
      <c r="Z115" s="51"/>
      <c r="AA115" s="51"/>
      <c r="AK115" s="52"/>
      <c r="AL115" s="52"/>
      <c r="AM115" s="52"/>
      <c r="AN115" s="52"/>
      <c r="AO115" s="52"/>
      <c r="AP115" s="53"/>
      <c r="AQ115" s="53"/>
      <c r="AR115" s="54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4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</row>
    <row r="116">
      <c r="K116" s="51"/>
      <c r="Y116" s="52"/>
      <c r="Z116" s="51"/>
      <c r="AA116" s="51"/>
      <c r="AK116" s="52"/>
      <c r="AL116" s="52"/>
      <c r="AM116" s="52"/>
      <c r="AN116" s="52"/>
      <c r="AO116" s="52"/>
      <c r="AP116" s="53"/>
      <c r="AQ116" s="53"/>
      <c r="AR116" s="54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4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</row>
    <row r="117">
      <c r="K117" s="51"/>
      <c r="Y117" s="52"/>
      <c r="Z117" s="51"/>
      <c r="AA117" s="51"/>
      <c r="AK117" s="52"/>
      <c r="AL117" s="52"/>
      <c r="AM117" s="52"/>
      <c r="AN117" s="52"/>
      <c r="AO117" s="52"/>
      <c r="AP117" s="53"/>
      <c r="AQ117" s="53"/>
      <c r="AR117" s="54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4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</row>
    <row r="118">
      <c r="K118" s="51"/>
      <c r="Y118" s="52"/>
      <c r="Z118" s="51"/>
      <c r="AA118" s="51"/>
      <c r="AK118" s="52"/>
      <c r="AL118" s="52"/>
      <c r="AM118" s="52"/>
      <c r="AN118" s="52"/>
      <c r="AO118" s="52"/>
      <c r="AP118" s="53"/>
      <c r="AQ118" s="53"/>
      <c r="AR118" s="54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4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</row>
    <row r="119">
      <c r="K119" s="51"/>
      <c r="Y119" s="52"/>
      <c r="Z119" s="51"/>
      <c r="AA119" s="51"/>
      <c r="AK119" s="52"/>
      <c r="AL119" s="52"/>
      <c r="AM119" s="52"/>
      <c r="AN119" s="52"/>
      <c r="AO119" s="52"/>
      <c r="AP119" s="53"/>
      <c r="AQ119" s="53"/>
      <c r="AR119" s="54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4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</row>
    <row r="120">
      <c r="K120" s="51"/>
      <c r="Y120" s="52"/>
      <c r="Z120" s="51"/>
      <c r="AA120" s="51"/>
      <c r="AK120" s="52"/>
      <c r="AL120" s="52"/>
      <c r="AM120" s="52"/>
      <c r="AN120" s="52"/>
      <c r="AO120" s="52"/>
      <c r="AP120" s="53"/>
      <c r="AQ120" s="53"/>
      <c r="AR120" s="54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4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</row>
    <row r="121">
      <c r="K121" s="51"/>
      <c r="Y121" s="52"/>
      <c r="Z121" s="51"/>
      <c r="AA121" s="51"/>
      <c r="AK121" s="52"/>
      <c r="AL121" s="52"/>
      <c r="AM121" s="52"/>
      <c r="AN121" s="52"/>
      <c r="AO121" s="52"/>
      <c r="AP121" s="53"/>
      <c r="AQ121" s="53"/>
      <c r="AR121" s="54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4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</row>
    <row r="122">
      <c r="K122" s="51"/>
      <c r="Y122" s="52"/>
      <c r="Z122" s="51"/>
      <c r="AA122" s="51"/>
      <c r="AK122" s="52"/>
      <c r="AL122" s="52"/>
      <c r="AM122" s="52"/>
      <c r="AN122" s="52"/>
      <c r="AO122" s="52"/>
      <c r="AP122" s="53"/>
      <c r="AQ122" s="53"/>
      <c r="AR122" s="54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4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</row>
    <row r="123">
      <c r="K123" s="51"/>
      <c r="Y123" s="52"/>
      <c r="Z123" s="51"/>
      <c r="AA123" s="51"/>
      <c r="AK123" s="52"/>
      <c r="AL123" s="52"/>
      <c r="AM123" s="52"/>
      <c r="AN123" s="52"/>
      <c r="AO123" s="52"/>
      <c r="AP123" s="53"/>
      <c r="AQ123" s="53"/>
      <c r="AR123" s="54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4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</row>
    <row r="124">
      <c r="K124" s="51"/>
      <c r="Y124" s="52"/>
      <c r="Z124" s="51"/>
      <c r="AA124" s="51"/>
      <c r="AK124" s="52"/>
      <c r="AL124" s="52"/>
      <c r="AM124" s="52"/>
      <c r="AN124" s="52"/>
      <c r="AO124" s="52"/>
      <c r="AP124" s="53"/>
      <c r="AQ124" s="53"/>
      <c r="AR124" s="54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4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</row>
    <row r="125">
      <c r="K125" s="51"/>
      <c r="Y125" s="52"/>
      <c r="Z125" s="51"/>
      <c r="AA125" s="51"/>
      <c r="AK125" s="52"/>
      <c r="AL125" s="52"/>
      <c r="AM125" s="52"/>
      <c r="AN125" s="52"/>
      <c r="AO125" s="52"/>
      <c r="AP125" s="53"/>
      <c r="AQ125" s="53"/>
      <c r="AR125" s="54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4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</row>
    <row r="126">
      <c r="K126" s="51"/>
      <c r="Y126" s="52"/>
      <c r="Z126" s="51"/>
      <c r="AA126" s="51"/>
      <c r="AK126" s="52"/>
      <c r="AL126" s="52"/>
      <c r="AM126" s="52"/>
      <c r="AN126" s="52"/>
      <c r="AO126" s="52"/>
      <c r="AP126" s="53"/>
      <c r="AQ126" s="53"/>
      <c r="AR126" s="54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4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</row>
    <row r="127">
      <c r="K127" s="51"/>
      <c r="Y127" s="52"/>
      <c r="Z127" s="51"/>
      <c r="AA127" s="51"/>
      <c r="AK127" s="52"/>
      <c r="AL127" s="52"/>
      <c r="AM127" s="52"/>
      <c r="AN127" s="52"/>
      <c r="AO127" s="52"/>
      <c r="AP127" s="53"/>
      <c r="AQ127" s="53"/>
      <c r="AR127" s="54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4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</row>
    <row r="128">
      <c r="K128" s="51"/>
      <c r="Y128" s="52"/>
      <c r="Z128" s="51"/>
      <c r="AA128" s="51"/>
      <c r="AK128" s="52"/>
      <c r="AL128" s="52"/>
      <c r="AM128" s="52"/>
      <c r="AN128" s="52"/>
      <c r="AO128" s="52"/>
      <c r="AP128" s="53"/>
      <c r="AQ128" s="53"/>
      <c r="AR128" s="54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4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</row>
    <row r="129">
      <c r="K129" s="51"/>
      <c r="Y129" s="52"/>
      <c r="Z129" s="51"/>
      <c r="AA129" s="51"/>
      <c r="AK129" s="52"/>
      <c r="AL129" s="52"/>
      <c r="AM129" s="52"/>
      <c r="AN129" s="52"/>
      <c r="AO129" s="52"/>
      <c r="AP129" s="53"/>
      <c r="AQ129" s="53"/>
      <c r="AR129" s="54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4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</row>
    <row r="130">
      <c r="K130" s="51"/>
      <c r="Y130" s="52"/>
      <c r="Z130" s="51"/>
      <c r="AA130" s="51"/>
      <c r="AK130" s="52"/>
      <c r="AL130" s="52"/>
      <c r="AM130" s="52"/>
      <c r="AN130" s="52"/>
      <c r="AO130" s="52"/>
      <c r="AP130" s="53"/>
      <c r="AQ130" s="53"/>
      <c r="AR130" s="54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4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</row>
    <row r="131">
      <c r="K131" s="51"/>
      <c r="Y131" s="52"/>
      <c r="Z131" s="51"/>
      <c r="AA131" s="51"/>
      <c r="AK131" s="52"/>
      <c r="AL131" s="52"/>
      <c r="AM131" s="52"/>
      <c r="AN131" s="52"/>
      <c r="AO131" s="52"/>
      <c r="AP131" s="53"/>
      <c r="AQ131" s="53"/>
      <c r="AR131" s="54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4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</row>
    <row r="132">
      <c r="K132" s="51"/>
      <c r="Y132" s="52"/>
      <c r="Z132" s="51"/>
      <c r="AA132" s="51"/>
      <c r="AK132" s="52"/>
      <c r="AL132" s="52"/>
      <c r="AM132" s="52"/>
      <c r="AN132" s="52"/>
      <c r="AO132" s="52"/>
      <c r="AP132" s="53"/>
      <c r="AQ132" s="53"/>
      <c r="AR132" s="54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4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</row>
    <row r="133">
      <c r="K133" s="51"/>
      <c r="Y133" s="52"/>
      <c r="Z133" s="51"/>
      <c r="AA133" s="51"/>
      <c r="AK133" s="52"/>
      <c r="AL133" s="52"/>
      <c r="AM133" s="52"/>
      <c r="AN133" s="52"/>
      <c r="AO133" s="52"/>
      <c r="AP133" s="53"/>
      <c r="AQ133" s="53"/>
      <c r="AR133" s="54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4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</row>
    <row r="134">
      <c r="K134" s="51"/>
      <c r="Y134" s="52"/>
      <c r="Z134" s="51"/>
      <c r="AA134" s="51"/>
      <c r="AK134" s="52"/>
      <c r="AL134" s="52"/>
      <c r="AM134" s="52"/>
      <c r="AN134" s="52"/>
      <c r="AO134" s="52"/>
      <c r="AP134" s="53"/>
      <c r="AQ134" s="53"/>
      <c r="AR134" s="54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4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</row>
    <row r="135">
      <c r="K135" s="51"/>
      <c r="Y135" s="52"/>
      <c r="Z135" s="51"/>
      <c r="AA135" s="51"/>
      <c r="AK135" s="52"/>
      <c r="AL135" s="52"/>
      <c r="AM135" s="52"/>
      <c r="AN135" s="52"/>
      <c r="AO135" s="52"/>
      <c r="AP135" s="53"/>
      <c r="AQ135" s="53"/>
      <c r="AR135" s="54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4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</row>
    <row r="136">
      <c r="K136" s="51"/>
      <c r="Y136" s="52"/>
      <c r="Z136" s="51"/>
      <c r="AA136" s="51"/>
      <c r="AK136" s="52"/>
      <c r="AL136" s="52"/>
      <c r="AM136" s="52"/>
      <c r="AN136" s="52"/>
      <c r="AO136" s="52"/>
      <c r="AP136" s="53"/>
      <c r="AQ136" s="53"/>
      <c r="AR136" s="54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4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</row>
    <row r="137">
      <c r="K137" s="51"/>
      <c r="Y137" s="52"/>
      <c r="Z137" s="51"/>
      <c r="AA137" s="51"/>
      <c r="AK137" s="52"/>
      <c r="AL137" s="52"/>
      <c r="AM137" s="52"/>
      <c r="AN137" s="52"/>
      <c r="AO137" s="52"/>
      <c r="AP137" s="53"/>
      <c r="AQ137" s="53"/>
      <c r="AR137" s="54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4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</row>
    <row r="138">
      <c r="K138" s="51"/>
      <c r="Y138" s="52"/>
      <c r="Z138" s="51"/>
      <c r="AA138" s="51"/>
      <c r="AK138" s="52"/>
      <c r="AL138" s="52"/>
      <c r="AM138" s="52"/>
      <c r="AN138" s="52"/>
      <c r="AO138" s="52"/>
      <c r="AP138" s="53"/>
      <c r="AQ138" s="53"/>
      <c r="AR138" s="54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4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</row>
    <row r="139">
      <c r="K139" s="51"/>
      <c r="Y139" s="52"/>
      <c r="Z139" s="51"/>
      <c r="AA139" s="51"/>
      <c r="AK139" s="52"/>
      <c r="AL139" s="52"/>
      <c r="AM139" s="52"/>
      <c r="AN139" s="52"/>
      <c r="AO139" s="52"/>
      <c r="AP139" s="53"/>
      <c r="AQ139" s="53"/>
      <c r="AR139" s="54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4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</row>
    <row r="140">
      <c r="K140" s="51"/>
      <c r="Y140" s="52"/>
      <c r="Z140" s="51"/>
      <c r="AA140" s="51"/>
      <c r="AK140" s="52"/>
      <c r="AL140" s="52"/>
      <c r="AM140" s="52"/>
      <c r="AN140" s="52"/>
      <c r="AO140" s="52"/>
      <c r="AP140" s="53"/>
      <c r="AQ140" s="53"/>
      <c r="AR140" s="54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4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</row>
    <row r="141">
      <c r="K141" s="51"/>
      <c r="Y141" s="52"/>
      <c r="Z141" s="51"/>
      <c r="AA141" s="51"/>
      <c r="AK141" s="52"/>
      <c r="AL141" s="52"/>
      <c r="AM141" s="52"/>
      <c r="AN141" s="52"/>
      <c r="AO141" s="52"/>
      <c r="AP141" s="53"/>
      <c r="AQ141" s="53"/>
      <c r="AR141" s="54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4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</row>
    <row r="142">
      <c r="K142" s="51"/>
      <c r="Y142" s="52"/>
      <c r="Z142" s="51"/>
      <c r="AA142" s="51"/>
      <c r="AK142" s="52"/>
      <c r="AL142" s="52"/>
      <c r="AM142" s="52"/>
      <c r="AN142" s="52"/>
      <c r="AO142" s="52"/>
      <c r="AP142" s="53"/>
      <c r="AQ142" s="53"/>
      <c r="AR142" s="54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4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</row>
    <row r="143">
      <c r="K143" s="51"/>
      <c r="Y143" s="52"/>
      <c r="Z143" s="51"/>
      <c r="AA143" s="51"/>
      <c r="AK143" s="52"/>
      <c r="AL143" s="52"/>
      <c r="AM143" s="52"/>
      <c r="AN143" s="52"/>
      <c r="AO143" s="52"/>
      <c r="AP143" s="53"/>
      <c r="AQ143" s="53"/>
      <c r="AR143" s="54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4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</row>
    <row r="144">
      <c r="K144" s="51"/>
      <c r="Y144" s="52"/>
      <c r="Z144" s="51"/>
      <c r="AA144" s="51"/>
      <c r="AK144" s="52"/>
      <c r="AL144" s="52"/>
      <c r="AM144" s="52"/>
      <c r="AN144" s="52"/>
      <c r="AO144" s="52"/>
      <c r="AP144" s="53"/>
      <c r="AQ144" s="53"/>
      <c r="AR144" s="54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4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</row>
    <row r="145">
      <c r="K145" s="51"/>
      <c r="Y145" s="52"/>
      <c r="Z145" s="51"/>
      <c r="AA145" s="51"/>
      <c r="AK145" s="52"/>
      <c r="AL145" s="52"/>
      <c r="AM145" s="52"/>
      <c r="AN145" s="52"/>
      <c r="AO145" s="52"/>
      <c r="AP145" s="53"/>
      <c r="AQ145" s="53"/>
      <c r="AR145" s="54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4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</row>
    <row r="146">
      <c r="K146" s="51"/>
      <c r="Y146" s="52"/>
      <c r="Z146" s="51"/>
      <c r="AA146" s="51"/>
      <c r="AK146" s="52"/>
      <c r="AL146" s="52"/>
      <c r="AM146" s="52"/>
      <c r="AN146" s="52"/>
      <c r="AO146" s="52"/>
      <c r="AP146" s="53"/>
      <c r="AQ146" s="53"/>
      <c r="AR146" s="54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4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</row>
    <row r="147">
      <c r="K147" s="51"/>
      <c r="Y147" s="52"/>
      <c r="Z147" s="51"/>
      <c r="AA147" s="51"/>
      <c r="AK147" s="52"/>
      <c r="AL147" s="52"/>
      <c r="AM147" s="52"/>
      <c r="AN147" s="52"/>
      <c r="AO147" s="52"/>
      <c r="AP147" s="53"/>
      <c r="AQ147" s="53"/>
      <c r="AR147" s="54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4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</row>
    <row r="148">
      <c r="K148" s="51"/>
      <c r="Y148" s="52"/>
      <c r="Z148" s="51"/>
      <c r="AA148" s="51"/>
      <c r="AK148" s="52"/>
      <c r="AL148" s="52"/>
      <c r="AM148" s="52"/>
      <c r="AN148" s="52"/>
      <c r="AO148" s="52"/>
      <c r="AP148" s="53"/>
      <c r="AQ148" s="53"/>
      <c r="AR148" s="54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4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</row>
    <row r="149">
      <c r="K149" s="51"/>
      <c r="Y149" s="52"/>
      <c r="Z149" s="51"/>
      <c r="AA149" s="51"/>
      <c r="AK149" s="52"/>
      <c r="AL149" s="52"/>
      <c r="AM149" s="52"/>
      <c r="AN149" s="52"/>
      <c r="AO149" s="52"/>
      <c r="AP149" s="53"/>
      <c r="AQ149" s="53"/>
      <c r="AR149" s="54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4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</row>
    <row r="150">
      <c r="K150" s="51"/>
      <c r="Y150" s="52"/>
      <c r="Z150" s="51"/>
      <c r="AA150" s="51"/>
      <c r="AK150" s="52"/>
      <c r="AL150" s="52"/>
      <c r="AM150" s="52"/>
      <c r="AN150" s="52"/>
      <c r="AO150" s="52"/>
      <c r="AP150" s="53"/>
      <c r="AQ150" s="53"/>
      <c r="AR150" s="54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4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</row>
    <row r="151">
      <c r="K151" s="51"/>
      <c r="Y151" s="52"/>
      <c r="Z151" s="51"/>
      <c r="AA151" s="51"/>
      <c r="AK151" s="52"/>
      <c r="AL151" s="52"/>
      <c r="AM151" s="52"/>
      <c r="AN151" s="52"/>
      <c r="AO151" s="52"/>
      <c r="AP151" s="53"/>
      <c r="AQ151" s="53"/>
      <c r="AR151" s="54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4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</row>
    <row r="152">
      <c r="K152" s="51"/>
      <c r="Y152" s="52"/>
      <c r="Z152" s="51"/>
      <c r="AA152" s="51"/>
      <c r="AK152" s="52"/>
      <c r="AL152" s="52"/>
      <c r="AM152" s="52"/>
      <c r="AN152" s="52"/>
      <c r="AO152" s="52"/>
      <c r="AP152" s="53"/>
      <c r="AQ152" s="53"/>
      <c r="AR152" s="54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4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</row>
    <row r="153">
      <c r="K153" s="51"/>
      <c r="Y153" s="52"/>
      <c r="Z153" s="51"/>
      <c r="AA153" s="51"/>
      <c r="AK153" s="52"/>
      <c r="AL153" s="52"/>
      <c r="AM153" s="52"/>
      <c r="AN153" s="52"/>
      <c r="AO153" s="52"/>
      <c r="AP153" s="53"/>
      <c r="AQ153" s="53"/>
      <c r="AR153" s="54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4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</row>
    <row r="154">
      <c r="K154" s="51"/>
      <c r="Y154" s="52"/>
      <c r="Z154" s="51"/>
      <c r="AA154" s="51"/>
      <c r="AK154" s="52"/>
      <c r="AL154" s="52"/>
      <c r="AM154" s="52"/>
      <c r="AN154" s="52"/>
      <c r="AO154" s="52"/>
      <c r="AP154" s="53"/>
      <c r="AQ154" s="53"/>
      <c r="AR154" s="54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4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</row>
    <row r="155">
      <c r="K155" s="51"/>
      <c r="Y155" s="52"/>
      <c r="Z155" s="51"/>
      <c r="AA155" s="51"/>
      <c r="AK155" s="52"/>
      <c r="AL155" s="52"/>
      <c r="AM155" s="52"/>
      <c r="AN155" s="52"/>
      <c r="AO155" s="52"/>
      <c r="AP155" s="53"/>
      <c r="AQ155" s="53"/>
      <c r="AR155" s="54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4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</row>
    <row r="156">
      <c r="K156" s="51"/>
      <c r="Y156" s="52"/>
      <c r="Z156" s="51"/>
      <c r="AA156" s="51"/>
      <c r="AK156" s="52"/>
      <c r="AL156" s="52"/>
      <c r="AM156" s="52"/>
      <c r="AN156" s="52"/>
      <c r="AO156" s="52"/>
      <c r="AP156" s="53"/>
      <c r="AQ156" s="53"/>
      <c r="AR156" s="54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4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</row>
    <row r="157">
      <c r="K157" s="51"/>
      <c r="Y157" s="52"/>
      <c r="Z157" s="51"/>
      <c r="AA157" s="51"/>
      <c r="AK157" s="52"/>
      <c r="AL157" s="52"/>
      <c r="AM157" s="52"/>
      <c r="AN157" s="52"/>
      <c r="AO157" s="52"/>
      <c r="AP157" s="53"/>
      <c r="AQ157" s="53"/>
      <c r="AR157" s="54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4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</row>
    <row r="158">
      <c r="K158" s="51"/>
      <c r="Y158" s="52"/>
      <c r="Z158" s="51"/>
      <c r="AA158" s="51"/>
      <c r="AK158" s="52"/>
      <c r="AL158" s="52"/>
      <c r="AM158" s="52"/>
      <c r="AN158" s="52"/>
      <c r="AO158" s="52"/>
      <c r="AP158" s="53"/>
      <c r="AQ158" s="53"/>
      <c r="AR158" s="54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4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</row>
    <row r="159">
      <c r="K159" s="51"/>
      <c r="Y159" s="52"/>
      <c r="Z159" s="51"/>
      <c r="AA159" s="51"/>
      <c r="AK159" s="52"/>
      <c r="AL159" s="52"/>
      <c r="AM159" s="52"/>
      <c r="AN159" s="52"/>
      <c r="AO159" s="52"/>
      <c r="AP159" s="53"/>
      <c r="AQ159" s="53"/>
      <c r="AR159" s="54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4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</row>
    <row r="160">
      <c r="K160" s="51"/>
      <c r="Y160" s="52"/>
      <c r="Z160" s="51"/>
      <c r="AA160" s="51"/>
      <c r="AK160" s="52"/>
      <c r="AL160" s="52"/>
      <c r="AM160" s="52"/>
      <c r="AN160" s="52"/>
      <c r="AO160" s="52"/>
      <c r="AP160" s="53"/>
      <c r="AQ160" s="53"/>
      <c r="AR160" s="54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4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</row>
    <row r="161">
      <c r="K161" s="51"/>
      <c r="Y161" s="52"/>
      <c r="Z161" s="51"/>
      <c r="AA161" s="51"/>
      <c r="AK161" s="52"/>
      <c r="AL161" s="52"/>
      <c r="AM161" s="52"/>
      <c r="AN161" s="52"/>
      <c r="AO161" s="52"/>
      <c r="AP161" s="53"/>
      <c r="AQ161" s="53"/>
      <c r="AR161" s="54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4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</row>
    <row r="162">
      <c r="K162" s="51"/>
      <c r="Y162" s="52"/>
      <c r="Z162" s="51"/>
      <c r="AA162" s="51"/>
      <c r="AK162" s="52"/>
      <c r="AL162" s="52"/>
      <c r="AM162" s="52"/>
      <c r="AN162" s="52"/>
      <c r="AO162" s="52"/>
      <c r="AP162" s="53"/>
      <c r="AQ162" s="53"/>
      <c r="AR162" s="54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4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</row>
    <row r="163">
      <c r="K163" s="51"/>
      <c r="Y163" s="52"/>
      <c r="Z163" s="51"/>
      <c r="AA163" s="51"/>
      <c r="AK163" s="52"/>
      <c r="AL163" s="52"/>
      <c r="AM163" s="52"/>
      <c r="AN163" s="52"/>
      <c r="AO163" s="52"/>
      <c r="AP163" s="53"/>
      <c r="AQ163" s="53"/>
      <c r="AR163" s="54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4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</row>
    <row r="164">
      <c r="K164" s="51"/>
      <c r="Y164" s="52"/>
      <c r="Z164" s="51"/>
      <c r="AA164" s="51"/>
      <c r="AK164" s="52"/>
      <c r="AL164" s="52"/>
      <c r="AM164" s="52"/>
      <c r="AN164" s="52"/>
      <c r="AO164" s="52"/>
      <c r="AP164" s="53"/>
      <c r="AQ164" s="53"/>
      <c r="AR164" s="54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4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</row>
    <row r="165">
      <c r="K165" s="51"/>
      <c r="Y165" s="52"/>
      <c r="Z165" s="51"/>
      <c r="AA165" s="51"/>
      <c r="AK165" s="52"/>
      <c r="AL165" s="52"/>
      <c r="AM165" s="52"/>
      <c r="AN165" s="52"/>
      <c r="AO165" s="52"/>
      <c r="AP165" s="53"/>
      <c r="AQ165" s="53"/>
      <c r="AR165" s="54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4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</row>
    <row r="166">
      <c r="K166" s="51"/>
      <c r="Y166" s="52"/>
      <c r="Z166" s="51"/>
      <c r="AA166" s="51"/>
      <c r="AK166" s="52"/>
      <c r="AL166" s="52"/>
      <c r="AM166" s="52"/>
      <c r="AN166" s="52"/>
      <c r="AO166" s="52"/>
      <c r="AP166" s="53"/>
      <c r="AQ166" s="53"/>
      <c r="AR166" s="54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4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</row>
    <row r="167">
      <c r="K167" s="51"/>
      <c r="Y167" s="52"/>
      <c r="Z167" s="51"/>
      <c r="AA167" s="51"/>
      <c r="AK167" s="52"/>
      <c r="AL167" s="52"/>
      <c r="AM167" s="52"/>
      <c r="AN167" s="52"/>
      <c r="AO167" s="52"/>
      <c r="AP167" s="53"/>
      <c r="AQ167" s="53"/>
      <c r="AR167" s="54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4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</row>
    <row r="168">
      <c r="K168" s="51"/>
      <c r="Y168" s="52"/>
      <c r="Z168" s="51"/>
      <c r="AA168" s="51"/>
      <c r="AK168" s="52"/>
      <c r="AL168" s="52"/>
      <c r="AM168" s="52"/>
      <c r="AN168" s="52"/>
      <c r="AO168" s="52"/>
      <c r="AP168" s="53"/>
      <c r="AQ168" s="53"/>
      <c r="AR168" s="54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4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</row>
    <row r="169">
      <c r="K169" s="51"/>
      <c r="Y169" s="52"/>
      <c r="Z169" s="51"/>
      <c r="AA169" s="51"/>
      <c r="AK169" s="52"/>
      <c r="AL169" s="52"/>
      <c r="AM169" s="52"/>
      <c r="AN169" s="52"/>
      <c r="AO169" s="52"/>
      <c r="AP169" s="53"/>
      <c r="AQ169" s="53"/>
      <c r="AR169" s="54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4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</row>
    <row r="170">
      <c r="K170" s="51"/>
      <c r="Y170" s="52"/>
      <c r="Z170" s="51"/>
      <c r="AA170" s="51"/>
      <c r="AK170" s="52"/>
      <c r="AL170" s="52"/>
      <c r="AM170" s="52"/>
      <c r="AN170" s="52"/>
      <c r="AO170" s="52"/>
      <c r="AP170" s="53"/>
      <c r="AQ170" s="53"/>
      <c r="AR170" s="54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4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</row>
    <row r="171">
      <c r="K171" s="51"/>
      <c r="Y171" s="52"/>
      <c r="Z171" s="51"/>
      <c r="AA171" s="51"/>
      <c r="AK171" s="52"/>
      <c r="AL171" s="52"/>
      <c r="AM171" s="52"/>
      <c r="AN171" s="52"/>
      <c r="AO171" s="52"/>
      <c r="AP171" s="53"/>
      <c r="AQ171" s="53"/>
      <c r="AR171" s="54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4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</row>
    <row r="172">
      <c r="K172" s="51"/>
      <c r="Y172" s="52"/>
      <c r="Z172" s="51"/>
      <c r="AA172" s="51"/>
      <c r="AK172" s="52"/>
      <c r="AL172" s="52"/>
      <c r="AM172" s="52"/>
      <c r="AN172" s="52"/>
      <c r="AO172" s="52"/>
      <c r="AP172" s="53"/>
      <c r="AQ172" s="53"/>
      <c r="AR172" s="54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4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</row>
    <row r="173">
      <c r="K173" s="51"/>
      <c r="Y173" s="52"/>
      <c r="Z173" s="51"/>
      <c r="AA173" s="51"/>
      <c r="AK173" s="52"/>
      <c r="AL173" s="52"/>
      <c r="AM173" s="52"/>
      <c r="AN173" s="52"/>
      <c r="AO173" s="52"/>
      <c r="AP173" s="53"/>
      <c r="AQ173" s="53"/>
      <c r="AR173" s="54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4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</row>
    <row r="174">
      <c r="K174" s="51"/>
      <c r="Y174" s="52"/>
      <c r="Z174" s="51"/>
      <c r="AA174" s="51"/>
      <c r="AK174" s="52"/>
      <c r="AL174" s="52"/>
      <c r="AM174" s="52"/>
      <c r="AN174" s="52"/>
      <c r="AO174" s="52"/>
      <c r="AP174" s="53"/>
      <c r="AQ174" s="53"/>
      <c r="AR174" s="54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4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</row>
    <row r="175">
      <c r="K175" s="51"/>
      <c r="Y175" s="52"/>
      <c r="Z175" s="51"/>
      <c r="AA175" s="51"/>
      <c r="AK175" s="52"/>
      <c r="AL175" s="52"/>
      <c r="AM175" s="52"/>
      <c r="AN175" s="52"/>
      <c r="AO175" s="52"/>
      <c r="AP175" s="53"/>
      <c r="AQ175" s="53"/>
      <c r="AR175" s="54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4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</row>
    <row r="176">
      <c r="K176" s="51"/>
      <c r="Y176" s="52"/>
      <c r="Z176" s="51"/>
      <c r="AA176" s="51"/>
      <c r="AK176" s="52"/>
      <c r="AL176" s="52"/>
      <c r="AM176" s="52"/>
      <c r="AN176" s="52"/>
      <c r="AO176" s="52"/>
      <c r="AP176" s="53"/>
      <c r="AQ176" s="53"/>
      <c r="AR176" s="54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4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</row>
    <row r="177">
      <c r="K177" s="51"/>
      <c r="Y177" s="52"/>
      <c r="Z177" s="51"/>
      <c r="AA177" s="51"/>
      <c r="AK177" s="52"/>
      <c r="AL177" s="52"/>
      <c r="AM177" s="52"/>
      <c r="AN177" s="52"/>
      <c r="AO177" s="52"/>
      <c r="AP177" s="53"/>
      <c r="AQ177" s="53"/>
      <c r="AR177" s="54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4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</row>
    <row r="178">
      <c r="K178" s="51"/>
      <c r="Y178" s="52"/>
      <c r="Z178" s="51"/>
      <c r="AA178" s="51"/>
      <c r="AK178" s="52"/>
      <c r="AL178" s="52"/>
      <c r="AM178" s="52"/>
      <c r="AN178" s="52"/>
      <c r="AO178" s="52"/>
      <c r="AP178" s="53"/>
      <c r="AQ178" s="53"/>
      <c r="AR178" s="54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4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</row>
    <row r="179">
      <c r="K179" s="51"/>
      <c r="Y179" s="52"/>
      <c r="Z179" s="51"/>
      <c r="AA179" s="51"/>
      <c r="AK179" s="52"/>
      <c r="AL179" s="52"/>
      <c r="AM179" s="52"/>
      <c r="AN179" s="52"/>
      <c r="AO179" s="52"/>
      <c r="AP179" s="53"/>
      <c r="AQ179" s="53"/>
      <c r="AR179" s="54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4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</row>
    <row r="180">
      <c r="K180" s="51"/>
      <c r="Y180" s="52"/>
      <c r="Z180" s="51"/>
      <c r="AA180" s="51"/>
      <c r="AK180" s="52"/>
      <c r="AL180" s="52"/>
      <c r="AM180" s="52"/>
      <c r="AN180" s="52"/>
      <c r="AO180" s="52"/>
      <c r="AP180" s="53"/>
      <c r="AQ180" s="53"/>
      <c r="AR180" s="54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4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</row>
    <row r="181">
      <c r="K181" s="51"/>
      <c r="Y181" s="52"/>
      <c r="Z181" s="51"/>
      <c r="AA181" s="51"/>
      <c r="AK181" s="52"/>
      <c r="AL181" s="52"/>
      <c r="AM181" s="52"/>
      <c r="AN181" s="52"/>
      <c r="AO181" s="52"/>
      <c r="AP181" s="53"/>
      <c r="AQ181" s="53"/>
      <c r="AR181" s="54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4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</row>
    <row r="182">
      <c r="K182" s="51"/>
      <c r="Y182" s="52"/>
      <c r="Z182" s="51"/>
      <c r="AA182" s="51"/>
      <c r="AK182" s="52"/>
      <c r="AL182" s="52"/>
      <c r="AM182" s="52"/>
      <c r="AN182" s="52"/>
      <c r="AO182" s="52"/>
      <c r="AP182" s="53"/>
      <c r="AQ182" s="53"/>
      <c r="AR182" s="54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4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</row>
    <row r="183">
      <c r="K183" s="51"/>
      <c r="Y183" s="52"/>
      <c r="Z183" s="51"/>
      <c r="AA183" s="51"/>
      <c r="AK183" s="52"/>
      <c r="AL183" s="52"/>
      <c r="AM183" s="52"/>
      <c r="AN183" s="52"/>
      <c r="AO183" s="52"/>
      <c r="AP183" s="53"/>
      <c r="AQ183" s="53"/>
      <c r="AR183" s="54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4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</row>
    <row r="184">
      <c r="K184" s="51"/>
      <c r="Y184" s="52"/>
      <c r="Z184" s="51"/>
      <c r="AA184" s="51"/>
      <c r="AK184" s="52"/>
      <c r="AL184" s="52"/>
      <c r="AM184" s="52"/>
      <c r="AN184" s="52"/>
      <c r="AO184" s="52"/>
      <c r="AP184" s="53"/>
      <c r="AQ184" s="53"/>
      <c r="AR184" s="54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4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</row>
    <row r="185">
      <c r="K185" s="51"/>
      <c r="Y185" s="52"/>
      <c r="Z185" s="51"/>
      <c r="AA185" s="51"/>
      <c r="AK185" s="52"/>
      <c r="AL185" s="52"/>
      <c r="AM185" s="52"/>
      <c r="AN185" s="52"/>
      <c r="AO185" s="52"/>
      <c r="AP185" s="53"/>
      <c r="AQ185" s="53"/>
      <c r="AR185" s="54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4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</row>
    <row r="186">
      <c r="K186" s="51"/>
      <c r="Y186" s="52"/>
      <c r="Z186" s="51"/>
      <c r="AA186" s="51"/>
      <c r="AK186" s="52"/>
      <c r="AL186" s="52"/>
      <c r="AM186" s="52"/>
      <c r="AN186" s="52"/>
      <c r="AO186" s="52"/>
      <c r="AP186" s="53"/>
      <c r="AQ186" s="53"/>
      <c r="AR186" s="54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4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</row>
    <row r="187">
      <c r="K187" s="51"/>
      <c r="Y187" s="52"/>
      <c r="Z187" s="51"/>
      <c r="AA187" s="51"/>
      <c r="AK187" s="52"/>
      <c r="AL187" s="52"/>
      <c r="AM187" s="52"/>
      <c r="AN187" s="52"/>
      <c r="AO187" s="52"/>
      <c r="AP187" s="53"/>
      <c r="AQ187" s="53"/>
      <c r="AR187" s="54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4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</row>
    <row r="188">
      <c r="K188" s="51"/>
      <c r="Y188" s="52"/>
      <c r="Z188" s="51"/>
      <c r="AA188" s="51"/>
      <c r="AK188" s="52"/>
      <c r="AL188" s="52"/>
      <c r="AM188" s="52"/>
      <c r="AN188" s="52"/>
      <c r="AO188" s="52"/>
      <c r="AP188" s="53"/>
      <c r="AQ188" s="53"/>
      <c r="AR188" s="54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4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</row>
    <row r="189">
      <c r="K189" s="51"/>
      <c r="Y189" s="52"/>
      <c r="Z189" s="51"/>
      <c r="AA189" s="51"/>
      <c r="AK189" s="52"/>
      <c r="AL189" s="52"/>
      <c r="AM189" s="52"/>
      <c r="AN189" s="52"/>
      <c r="AO189" s="52"/>
      <c r="AP189" s="53"/>
      <c r="AQ189" s="53"/>
      <c r="AR189" s="54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4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</row>
    <row r="190">
      <c r="K190" s="51"/>
      <c r="Y190" s="52"/>
      <c r="Z190" s="51"/>
      <c r="AA190" s="51"/>
      <c r="AK190" s="52"/>
      <c r="AL190" s="52"/>
      <c r="AM190" s="52"/>
      <c r="AN190" s="52"/>
      <c r="AO190" s="52"/>
      <c r="AP190" s="53"/>
      <c r="AQ190" s="53"/>
      <c r="AR190" s="54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4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</row>
    <row r="191">
      <c r="K191" s="51"/>
      <c r="Y191" s="52"/>
      <c r="Z191" s="51"/>
      <c r="AA191" s="51"/>
      <c r="AK191" s="52"/>
      <c r="AL191" s="52"/>
      <c r="AM191" s="52"/>
      <c r="AN191" s="52"/>
      <c r="AO191" s="52"/>
      <c r="AP191" s="53"/>
      <c r="AQ191" s="53"/>
      <c r="AR191" s="54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4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</row>
    <row r="192">
      <c r="K192" s="51"/>
      <c r="Y192" s="52"/>
      <c r="Z192" s="51"/>
      <c r="AA192" s="51"/>
      <c r="AK192" s="52"/>
      <c r="AL192" s="52"/>
      <c r="AM192" s="52"/>
      <c r="AN192" s="52"/>
      <c r="AO192" s="52"/>
      <c r="AP192" s="53"/>
      <c r="AQ192" s="53"/>
      <c r="AR192" s="54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4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</row>
    <row r="193">
      <c r="K193" s="51"/>
      <c r="Y193" s="52"/>
      <c r="Z193" s="51"/>
      <c r="AA193" s="51"/>
      <c r="AK193" s="52"/>
      <c r="AL193" s="52"/>
      <c r="AM193" s="52"/>
      <c r="AN193" s="52"/>
      <c r="AO193" s="52"/>
      <c r="AP193" s="53"/>
      <c r="AQ193" s="53"/>
      <c r="AR193" s="54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4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</row>
    <row r="194">
      <c r="K194" s="51"/>
      <c r="Y194" s="52"/>
      <c r="Z194" s="51"/>
      <c r="AA194" s="51"/>
      <c r="AK194" s="52"/>
      <c r="AL194" s="52"/>
      <c r="AM194" s="52"/>
      <c r="AN194" s="52"/>
      <c r="AO194" s="52"/>
      <c r="AP194" s="53"/>
      <c r="AQ194" s="53"/>
      <c r="AR194" s="54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4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</row>
    <row r="195">
      <c r="K195" s="51"/>
      <c r="Y195" s="52"/>
      <c r="Z195" s="51"/>
      <c r="AA195" s="51"/>
      <c r="AK195" s="52"/>
      <c r="AL195" s="52"/>
      <c r="AM195" s="52"/>
      <c r="AN195" s="52"/>
      <c r="AO195" s="52"/>
      <c r="AP195" s="53"/>
      <c r="AQ195" s="53"/>
      <c r="AR195" s="54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4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</row>
    <row r="196">
      <c r="K196" s="51"/>
      <c r="Y196" s="52"/>
      <c r="Z196" s="51"/>
      <c r="AA196" s="51"/>
      <c r="AK196" s="52"/>
      <c r="AL196" s="52"/>
      <c r="AM196" s="52"/>
      <c r="AN196" s="52"/>
      <c r="AO196" s="52"/>
      <c r="AP196" s="53"/>
      <c r="AQ196" s="53"/>
      <c r="AR196" s="54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4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</row>
    <row r="197">
      <c r="K197" s="51"/>
      <c r="Y197" s="52"/>
      <c r="Z197" s="51"/>
      <c r="AA197" s="51"/>
      <c r="AK197" s="52"/>
      <c r="AL197" s="52"/>
      <c r="AM197" s="52"/>
      <c r="AN197" s="52"/>
      <c r="AO197" s="52"/>
      <c r="AP197" s="53"/>
      <c r="AQ197" s="53"/>
      <c r="AR197" s="54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4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</row>
    <row r="198">
      <c r="K198" s="51"/>
      <c r="Y198" s="52"/>
      <c r="Z198" s="51"/>
      <c r="AA198" s="51"/>
      <c r="AK198" s="52"/>
      <c r="AL198" s="52"/>
      <c r="AM198" s="52"/>
      <c r="AN198" s="52"/>
      <c r="AO198" s="52"/>
      <c r="AP198" s="53"/>
      <c r="AQ198" s="53"/>
      <c r="AR198" s="54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4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</row>
    <row r="199">
      <c r="K199" s="51"/>
      <c r="Y199" s="52"/>
      <c r="Z199" s="51"/>
      <c r="AA199" s="51"/>
      <c r="AK199" s="52"/>
      <c r="AL199" s="52"/>
      <c r="AM199" s="52"/>
      <c r="AN199" s="52"/>
      <c r="AO199" s="52"/>
      <c r="AP199" s="53"/>
      <c r="AQ199" s="53"/>
      <c r="AR199" s="54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4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</row>
    <row r="200">
      <c r="K200" s="51"/>
      <c r="Y200" s="52"/>
      <c r="Z200" s="51"/>
      <c r="AA200" s="51"/>
      <c r="AK200" s="52"/>
      <c r="AL200" s="52"/>
      <c r="AM200" s="52"/>
      <c r="AN200" s="52"/>
      <c r="AO200" s="52"/>
      <c r="AP200" s="53"/>
      <c r="AQ200" s="53"/>
      <c r="AR200" s="54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4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</row>
    <row r="201">
      <c r="K201" s="51"/>
      <c r="Y201" s="52"/>
      <c r="Z201" s="51"/>
      <c r="AA201" s="51"/>
      <c r="AK201" s="52"/>
      <c r="AL201" s="52"/>
      <c r="AM201" s="52"/>
      <c r="AN201" s="52"/>
      <c r="AO201" s="52"/>
      <c r="AP201" s="53"/>
      <c r="AQ201" s="53"/>
      <c r="AR201" s="54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4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</row>
    <row r="202">
      <c r="K202" s="51"/>
      <c r="Y202" s="52"/>
      <c r="Z202" s="51"/>
      <c r="AA202" s="51"/>
      <c r="AK202" s="52"/>
      <c r="AL202" s="52"/>
      <c r="AM202" s="52"/>
      <c r="AN202" s="52"/>
      <c r="AO202" s="52"/>
      <c r="AP202" s="53"/>
      <c r="AQ202" s="53"/>
      <c r="AR202" s="54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4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</row>
    <row r="203">
      <c r="K203" s="51"/>
      <c r="Y203" s="52"/>
      <c r="Z203" s="51"/>
      <c r="AA203" s="51"/>
      <c r="AK203" s="52"/>
      <c r="AL203" s="52"/>
      <c r="AM203" s="52"/>
      <c r="AN203" s="52"/>
      <c r="AO203" s="52"/>
      <c r="AP203" s="53"/>
      <c r="AQ203" s="53"/>
      <c r="AR203" s="54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4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</row>
    <row r="204">
      <c r="K204" s="51"/>
      <c r="Y204" s="52"/>
      <c r="Z204" s="51"/>
      <c r="AA204" s="51"/>
      <c r="AK204" s="52"/>
      <c r="AL204" s="52"/>
      <c r="AM204" s="52"/>
      <c r="AN204" s="52"/>
      <c r="AO204" s="52"/>
      <c r="AP204" s="53"/>
      <c r="AQ204" s="53"/>
      <c r="AR204" s="54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4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</row>
    <row r="205">
      <c r="K205" s="51"/>
      <c r="Y205" s="52"/>
      <c r="Z205" s="51"/>
      <c r="AA205" s="51"/>
      <c r="AK205" s="52"/>
      <c r="AL205" s="52"/>
      <c r="AM205" s="52"/>
      <c r="AN205" s="52"/>
      <c r="AO205" s="52"/>
      <c r="AP205" s="53"/>
      <c r="AQ205" s="53"/>
      <c r="AR205" s="54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4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</row>
    <row r="206">
      <c r="K206" s="51"/>
      <c r="Y206" s="52"/>
      <c r="Z206" s="51"/>
      <c r="AA206" s="51"/>
      <c r="AK206" s="52"/>
      <c r="AL206" s="52"/>
      <c r="AM206" s="52"/>
      <c r="AN206" s="52"/>
      <c r="AO206" s="52"/>
      <c r="AP206" s="53"/>
      <c r="AQ206" s="53"/>
      <c r="AR206" s="54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4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</row>
    <row r="207">
      <c r="K207" s="51"/>
      <c r="Y207" s="52"/>
      <c r="Z207" s="51"/>
      <c r="AA207" s="51"/>
      <c r="AK207" s="52"/>
      <c r="AL207" s="52"/>
      <c r="AM207" s="52"/>
      <c r="AN207" s="52"/>
      <c r="AO207" s="52"/>
      <c r="AP207" s="53"/>
      <c r="AQ207" s="53"/>
      <c r="AR207" s="54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4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</row>
    <row r="208">
      <c r="K208" s="51"/>
      <c r="Y208" s="52"/>
      <c r="Z208" s="51"/>
      <c r="AA208" s="51"/>
      <c r="AK208" s="52"/>
      <c r="AL208" s="52"/>
      <c r="AM208" s="52"/>
      <c r="AN208" s="52"/>
      <c r="AO208" s="52"/>
      <c r="AP208" s="53"/>
      <c r="AQ208" s="53"/>
      <c r="AR208" s="54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4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</row>
    <row r="209">
      <c r="K209" s="51"/>
      <c r="Y209" s="52"/>
      <c r="Z209" s="51"/>
      <c r="AA209" s="51"/>
      <c r="AK209" s="52"/>
      <c r="AL209" s="52"/>
      <c r="AM209" s="52"/>
      <c r="AN209" s="52"/>
      <c r="AO209" s="52"/>
      <c r="AP209" s="53"/>
      <c r="AQ209" s="53"/>
      <c r="AR209" s="54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4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</row>
    <row r="210">
      <c r="K210" s="51"/>
      <c r="Y210" s="52"/>
      <c r="Z210" s="51"/>
      <c r="AA210" s="51"/>
      <c r="AK210" s="52"/>
      <c r="AL210" s="52"/>
      <c r="AM210" s="52"/>
      <c r="AN210" s="52"/>
      <c r="AO210" s="52"/>
      <c r="AP210" s="53"/>
      <c r="AQ210" s="53"/>
      <c r="AR210" s="54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4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</row>
    <row r="211">
      <c r="K211" s="51"/>
      <c r="Y211" s="52"/>
      <c r="Z211" s="51"/>
      <c r="AA211" s="51"/>
      <c r="AK211" s="52"/>
      <c r="AL211" s="52"/>
      <c r="AM211" s="52"/>
      <c r="AN211" s="52"/>
      <c r="AO211" s="52"/>
      <c r="AP211" s="53"/>
      <c r="AQ211" s="53"/>
      <c r="AR211" s="54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4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</row>
    <row r="212">
      <c r="K212" s="51"/>
      <c r="Y212" s="52"/>
      <c r="Z212" s="51"/>
      <c r="AA212" s="51"/>
      <c r="AK212" s="52"/>
      <c r="AL212" s="52"/>
      <c r="AM212" s="52"/>
      <c r="AN212" s="52"/>
      <c r="AO212" s="52"/>
      <c r="AP212" s="53"/>
      <c r="AQ212" s="53"/>
      <c r="AR212" s="54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4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</row>
    <row r="213">
      <c r="K213" s="51"/>
      <c r="Y213" s="52"/>
      <c r="Z213" s="51"/>
      <c r="AA213" s="51"/>
      <c r="AK213" s="52"/>
      <c r="AL213" s="52"/>
      <c r="AM213" s="52"/>
      <c r="AN213" s="52"/>
      <c r="AO213" s="52"/>
      <c r="AP213" s="53"/>
      <c r="AQ213" s="53"/>
      <c r="AR213" s="54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4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</row>
    <row r="214">
      <c r="K214" s="51"/>
      <c r="Y214" s="52"/>
      <c r="Z214" s="51"/>
      <c r="AA214" s="51"/>
      <c r="AK214" s="52"/>
      <c r="AL214" s="52"/>
      <c r="AM214" s="52"/>
      <c r="AN214" s="52"/>
      <c r="AO214" s="52"/>
      <c r="AP214" s="53"/>
      <c r="AQ214" s="53"/>
      <c r="AR214" s="54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4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</row>
    <row r="215">
      <c r="K215" s="51"/>
      <c r="Y215" s="52"/>
      <c r="Z215" s="51"/>
      <c r="AA215" s="51"/>
      <c r="AK215" s="52"/>
      <c r="AL215" s="52"/>
      <c r="AM215" s="52"/>
      <c r="AN215" s="52"/>
      <c r="AO215" s="52"/>
      <c r="AP215" s="53"/>
      <c r="AQ215" s="53"/>
      <c r="AR215" s="54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4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</row>
    <row r="216">
      <c r="K216" s="51"/>
      <c r="Y216" s="52"/>
      <c r="Z216" s="51"/>
      <c r="AA216" s="51"/>
      <c r="AK216" s="52"/>
      <c r="AL216" s="52"/>
      <c r="AM216" s="52"/>
      <c r="AN216" s="52"/>
      <c r="AO216" s="52"/>
      <c r="AP216" s="53"/>
      <c r="AQ216" s="53"/>
      <c r="AR216" s="54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4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</row>
    <row r="217">
      <c r="K217" s="51"/>
      <c r="Y217" s="52"/>
      <c r="Z217" s="51"/>
      <c r="AA217" s="51"/>
      <c r="AK217" s="52"/>
      <c r="AL217" s="52"/>
      <c r="AM217" s="52"/>
      <c r="AN217" s="52"/>
      <c r="AO217" s="52"/>
      <c r="AP217" s="53"/>
      <c r="AQ217" s="53"/>
      <c r="AR217" s="54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4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</row>
    <row r="218">
      <c r="K218" s="51"/>
      <c r="Y218" s="52"/>
      <c r="Z218" s="51"/>
      <c r="AA218" s="51"/>
      <c r="AK218" s="52"/>
      <c r="AL218" s="52"/>
      <c r="AM218" s="52"/>
      <c r="AN218" s="52"/>
      <c r="AO218" s="52"/>
      <c r="AP218" s="53"/>
      <c r="AQ218" s="53"/>
      <c r="AR218" s="54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4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</row>
    <row r="219">
      <c r="K219" s="51"/>
      <c r="Y219" s="52"/>
      <c r="Z219" s="51"/>
      <c r="AA219" s="51"/>
      <c r="AK219" s="52"/>
      <c r="AL219" s="52"/>
      <c r="AM219" s="52"/>
      <c r="AN219" s="52"/>
      <c r="AO219" s="52"/>
      <c r="AP219" s="53"/>
      <c r="AQ219" s="53"/>
      <c r="AR219" s="54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4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</row>
    <row r="220">
      <c r="K220" s="51"/>
      <c r="Y220" s="52"/>
      <c r="Z220" s="51"/>
      <c r="AA220" s="51"/>
      <c r="AK220" s="52"/>
      <c r="AL220" s="52"/>
      <c r="AM220" s="52"/>
      <c r="AN220" s="52"/>
      <c r="AO220" s="52"/>
      <c r="AP220" s="53"/>
      <c r="AQ220" s="53"/>
      <c r="AR220" s="54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4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</row>
    <row r="221">
      <c r="K221" s="51"/>
      <c r="Y221" s="52"/>
      <c r="Z221" s="51"/>
      <c r="AA221" s="51"/>
      <c r="AK221" s="52"/>
      <c r="AL221" s="52"/>
      <c r="AM221" s="52"/>
      <c r="AN221" s="52"/>
      <c r="AO221" s="52"/>
      <c r="AP221" s="53"/>
      <c r="AQ221" s="53"/>
      <c r="AR221" s="54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4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</row>
    <row r="222">
      <c r="K222" s="51"/>
      <c r="Y222" s="52"/>
      <c r="Z222" s="51"/>
      <c r="AA222" s="51"/>
      <c r="AK222" s="52"/>
      <c r="AL222" s="52"/>
      <c r="AM222" s="52"/>
      <c r="AN222" s="52"/>
      <c r="AO222" s="52"/>
      <c r="AP222" s="53"/>
      <c r="AQ222" s="53"/>
      <c r="AR222" s="54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4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</row>
    <row r="223">
      <c r="K223" s="51"/>
      <c r="Y223" s="52"/>
      <c r="Z223" s="51"/>
      <c r="AA223" s="51"/>
      <c r="AK223" s="52"/>
      <c r="AL223" s="52"/>
      <c r="AM223" s="52"/>
      <c r="AN223" s="52"/>
      <c r="AO223" s="52"/>
      <c r="AP223" s="53"/>
      <c r="AQ223" s="53"/>
      <c r="AR223" s="54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4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</row>
    <row r="224">
      <c r="K224" s="51"/>
      <c r="Y224" s="52"/>
      <c r="Z224" s="51"/>
      <c r="AA224" s="51"/>
      <c r="AK224" s="52"/>
      <c r="AL224" s="52"/>
      <c r="AM224" s="52"/>
      <c r="AN224" s="52"/>
      <c r="AO224" s="52"/>
      <c r="AP224" s="53"/>
      <c r="AQ224" s="53"/>
      <c r="AR224" s="54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4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</row>
    <row r="225">
      <c r="K225" s="51"/>
      <c r="Y225" s="52"/>
      <c r="Z225" s="51"/>
      <c r="AA225" s="51"/>
      <c r="AK225" s="52"/>
      <c r="AL225" s="52"/>
      <c r="AM225" s="52"/>
      <c r="AN225" s="52"/>
      <c r="AO225" s="52"/>
      <c r="AP225" s="53"/>
      <c r="AQ225" s="53"/>
      <c r="AR225" s="54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4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</row>
    <row r="226">
      <c r="K226" s="51"/>
      <c r="Y226" s="52"/>
      <c r="Z226" s="51"/>
      <c r="AA226" s="51"/>
      <c r="AK226" s="52"/>
      <c r="AL226" s="52"/>
      <c r="AM226" s="52"/>
      <c r="AN226" s="52"/>
      <c r="AO226" s="52"/>
      <c r="AP226" s="53"/>
      <c r="AQ226" s="53"/>
      <c r="AR226" s="54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4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</row>
    <row r="227">
      <c r="K227" s="51"/>
      <c r="Y227" s="52"/>
      <c r="Z227" s="51"/>
      <c r="AA227" s="51"/>
      <c r="AK227" s="52"/>
      <c r="AL227" s="52"/>
      <c r="AM227" s="52"/>
      <c r="AN227" s="52"/>
      <c r="AO227" s="52"/>
      <c r="AP227" s="53"/>
      <c r="AQ227" s="53"/>
      <c r="AR227" s="54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4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</row>
    <row r="228">
      <c r="K228" s="51"/>
      <c r="Y228" s="52"/>
      <c r="Z228" s="51"/>
      <c r="AA228" s="51"/>
      <c r="AK228" s="52"/>
      <c r="AL228" s="52"/>
      <c r="AM228" s="52"/>
      <c r="AN228" s="52"/>
      <c r="AO228" s="52"/>
      <c r="AP228" s="53"/>
      <c r="AQ228" s="53"/>
      <c r="AR228" s="54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4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</row>
    <row r="229">
      <c r="K229" s="51"/>
      <c r="Y229" s="52"/>
      <c r="Z229" s="51"/>
      <c r="AA229" s="51"/>
      <c r="AK229" s="52"/>
      <c r="AL229" s="52"/>
      <c r="AM229" s="52"/>
      <c r="AN229" s="52"/>
      <c r="AO229" s="52"/>
      <c r="AP229" s="53"/>
      <c r="AQ229" s="53"/>
      <c r="AR229" s="54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4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</row>
    <row r="230">
      <c r="K230" s="51"/>
      <c r="Y230" s="52"/>
      <c r="Z230" s="51"/>
      <c r="AA230" s="51"/>
      <c r="AK230" s="52"/>
      <c r="AL230" s="52"/>
      <c r="AM230" s="52"/>
      <c r="AN230" s="52"/>
      <c r="AO230" s="52"/>
      <c r="AP230" s="53"/>
      <c r="AQ230" s="53"/>
      <c r="AR230" s="54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4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</row>
    <row r="231">
      <c r="K231" s="51"/>
      <c r="Y231" s="52"/>
      <c r="Z231" s="51"/>
      <c r="AA231" s="51"/>
      <c r="AK231" s="52"/>
      <c r="AL231" s="52"/>
      <c r="AM231" s="52"/>
      <c r="AN231" s="52"/>
      <c r="AO231" s="52"/>
      <c r="AP231" s="53"/>
      <c r="AQ231" s="53"/>
      <c r="AR231" s="54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4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</row>
    <row r="232">
      <c r="K232" s="51"/>
      <c r="Y232" s="52"/>
      <c r="Z232" s="51"/>
      <c r="AA232" s="51"/>
      <c r="AK232" s="52"/>
      <c r="AL232" s="52"/>
      <c r="AM232" s="52"/>
      <c r="AN232" s="52"/>
      <c r="AO232" s="52"/>
      <c r="AP232" s="53"/>
      <c r="AQ232" s="53"/>
      <c r="AR232" s="54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4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</row>
    <row r="233">
      <c r="K233" s="51"/>
      <c r="Y233" s="52"/>
      <c r="Z233" s="51"/>
      <c r="AA233" s="51"/>
      <c r="AK233" s="52"/>
      <c r="AL233" s="52"/>
      <c r="AM233" s="52"/>
      <c r="AN233" s="52"/>
      <c r="AO233" s="52"/>
      <c r="AP233" s="53"/>
      <c r="AQ233" s="53"/>
      <c r="AR233" s="54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4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</row>
    <row r="234">
      <c r="K234" s="51"/>
      <c r="Y234" s="52"/>
      <c r="Z234" s="51"/>
      <c r="AA234" s="51"/>
      <c r="AK234" s="52"/>
      <c r="AL234" s="52"/>
      <c r="AM234" s="52"/>
      <c r="AN234" s="52"/>
      <c r="AO234" s="52"/>
      <c r="AP234" s="53"/>
      <c r="AQ234" s="53"/>
      <c r="AR234" s="54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4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</row>
    <row r="235">
      <c r="K235" s="51"/>
      <c r="Y235" s="52"/>
      <c r="Z235" s="51"/>
      <c r="AA235" s="51"/>
      <c r="AK235" s="52"/>
      <c r="AL235" s="52"/>
      <c r="AM235" s="52"/>
      <c r="AN235" s="52"/>
      <c r="AO235" s="52"/>
      <c r="AP235" s="53"/>
      <c r="AQ235" s="53"/>
      <c r="AR235" s="54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4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</row>
    <row r="236">
      <c r="K236" s="51"/>
      <c r="Y236" s="52"/>
      <c r="Z236" s="51"/>
      <c r="AA236" s="51"/>
      <c r="AK236" s="52"/>
      <c r="AL236" s="52"/>
      <c r="AM236" s="52"/>
      <c r="AN236" s="52"/>
      <c r="AO236" s="52"/>
      <c r="AP236" s="53"/>
      <c r="AQ236" s="53"/>
      <c r="AR236" s="54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4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</row>
    <row r="237">
      <c r="K237" s="51"/>
      <c r="Y237" s="52"/>
      <c r="Z237" s="51"/>
      <c r="AA237" s="51"/>
      <c r="AK237" s="52"/>
      <c r="AL237" s="52"/>
      <c r="AM237" s="52"/>
      <c r="AN237" s="52"/>
      <c r="AO237" s="52"/>
      <c r="AP237" s="53"/>
      <c r="AQ237" s="53"/>
      <c r="AR237" s="54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4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</row>
    <row r="238">
      <c r="K238" s="51"/>
      <c r="Y238" s="52"/>
      <c r="Z238" s="51"/>
      <c r="AA238" s="51"/>
      <c r="AK238" s="52"/>
      <c r="AL238" s="52"/>
      <c r="AM238" s="52"/>
      <c r="AN238" s="52"/>
      <c r="AO238" s="52"/>
      <c r="AP238" s="53"/>
      <c r="AQ238" s="53"/>
      <c r="AR238" s="54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4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</row>
    <row r="239">
      <c r="K239" s="51"/>
      <c r="Y239" s="52"/>
      <c r="Z239" s="51"/>
      <c r="AA239" s="51"/>
      <c r="AK239" s="52"/>
      <c r="AL239" s="52"/>
      <c r="AM239" s="52"/>
      <c r="AN239" s="52"/>
      <c r="AO239" s="52"/>
      <c r="AP239" s="53"/>
      <c r="AQ239" s="53"/>
      <c r="AR239" s="54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4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</row>
    <row r="240">
      <c r="K240" s="51"/>
      <c r="Y240" s="52"/>
      <c r="Z240" s="51"/>
      <c r="AA240" s="51"/>
      <c r="AK240" s="52"/>
      <c r="AL240" s="52"/>
      <c r="AM240" s="52"/>
      <c r="AN240" s="52"/>
      <c r="AO240" s="52"/>
      <c r="AP240" s="53"/>
      <c r="AQ240" s="53"/>
      <c r="AR240" s="54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4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</row>
    <row r="241">
      <c r="K241" s="51"/>
      <c r="Y241" s="52"/>
      <c r="Z241" s="51"/>
      <c r="AA241" s="51"/>
      <c r="AK241" s="52"/>
      <c r="AL241" s="52"/>
      <c r="AM241" s="52"/>
      <c r="AN241" s="52"/>
      <c r="AO241" s="52"/>
      <c r="AP241" s="53"/>
      <c r="AQ241" s="53"/>
      <c r="AR241" s="54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4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</row>
    <row r="242">
      <c r="K242" s="51"/>
      <c r="Y242" s="52"/>
      <c r="Z242" s="51"/>
      <c r="AA242" s="51"/>
      <c r="AK242" s="52"/>
      <c r="AL242" s="52"/>
      <c r="AM242" s="52"/>
      <c r="AN242" s="52"/>
      <c r="AO242" s="52"/>
      <c r="AP242" s="53"/>
      <c r="AQ242" s="53"/>
      <c r="AR242" s="54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4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</row>
    <row r="243">
      <c r="K243" s="51"/>
      <c r="Y243" s="52"/>
      <c r="Z243" s="51"/>
      <c r="AA243" s="51"/>
      <c r="AK243" s="52"/>
      <c r="AL243" s="52"/>
      <c r="AM243" s="52"/>
      <c r="AN243" s="52"/>
      <c r="AO243" s="52"/>
      <c r="AP243" s="53"/>
      <c r="AQ243" s="53"/>
      <c r="AR243" s="54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4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</row>
    <row r="244">
      <c r="K244" s="51"/>
      <c r="Y244" s="52"/>
      <c r="Z244" s="51"/>
      <c r="AA244" s="51"/>
      <c r="AK244" s="52"/>
      <c r="AL244" s="52"/>
      <c r="AM244" s="52"/>
      <c r="AN244" s="52"/>
      <c r="AO244" s="52"/>
      <c r="AP244" s="53"/>
      <c r="AQ244" s="53"/>
      <c r="AR244" s="54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4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</row>
    <row r="245">
      <c r="K245" s="51"/>
      <c r="Y245" s="52"/>
      <c r="Z245" s="51"/>
      <c r="AA245" s="51"/>
      <c r="AK245" s="52"/>
      <c r="AL245" s="52"/>
      <c r="AM245" s="52"/>
      <c r="AN245" s="52"/>
      <c r="AO245" s="52"/>
      <c r="AP245" s="53"/>
      <c r="AQ245" s="53"/>
      <c r="AR245" s="54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4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</row>
    <row r="246">
      <c r="K246" s="51"/>
      <c r="Y246" s="52"/>
      <c r="Z246" s="51"/>
      <c r="AA246" s="51"/>
      <c r="AK246" s="52"/>
      <c r="AL246" s="52"/>
      <c r="AM246" s="52"/>
      <c r="AN246" s="52"/>
      <c r="AO246" s="52"/>
      <c r="AP246" s="53"/>
      <c r="AQ246" s="53"/>
      <c r="AR246" s="54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4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</row>
    <row r="247">
      <c r="K247" s="51"/>
      <c r="Y247" s="52"/>
      <c r="Z247" s="51"/>
      <c r="AA247" s="51"/>
      <c r="AK247" s="52"/>
      <c r="AL247" s="52"/>
      <c r="AM247" s="52"/>
      <c r="AN247" s="52"/>
      <c r="AO247" s="52"/>
      <c r="AP247" s="53"/>
      <c r="AQ247" s="53"/>
      <c r="AR247" s="54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4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</row>
    <row r="248">
      <c r="K248" s="51"/>
      <c r="Y248" s="52"/>
      <c r="Z248" s="51"/>
      <c r="AA248" s="51"/>
      <c r="AK248" s="52"/>
      <c r="AL248" s="52"/>
      <c r="AM248" s="52"/>
      <c r="AN248" s="52"/>
      <c r="AO248" s="52"/>
      <c r="AP248" s="53"/>
      <c r="AQ248" s="53"/>
      <c r="AR248" s="54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4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</row>
    <row r="249">
      <c r="K249" s="51"/>
      <c r="Y249" s="52"/>
      <c r="Z249" s="51"/>
      <c r="AA249" s="51"/>
      <c r="AK249" s="52"/>
      <c r="AL249" s="52"/>
      <c r="AM249" s="52"/>
      <c r="AN249" s="52"/>
      <c r="AO249" s="52"/>
      <c r="AP249" s="53"/>
      <c r="AQ249" s="53"/>
      <c r="AR249" s="54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4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</row>
    <row r="250">
      <c r="K250" s="51"/>
      <c r="Y250" s="52"/>
      <c r="Z250" s="51"/>
      <c r="AA250" s="51"/>
      <c r="AK250" s="52"/>
      <c r="AL250" s="52"/>
      <c r="AM250" s="52"/>
      <c r="AN250" s="52"/>
      <c r="AO250" s="52"/>
      <c r="AP250" s="53"/>
      <c r="AQ250" s="53"/>
      <c r="AR250" s="54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4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</row>
    <row r="251">
      <c r="K251" s="51"/>
      <c r="Y251" s="52"/>
      <c r="Z251" s="51"/>
      <c r="AA251" s="51"/>
      <c r="AK251" s="52"/>
      <c r="AL251" s="52"/>
      <c r="AM251" s="52"/>
      <c r="AN251" s="52"/>
      <c r="AO251" s="52"/>
      <c r="AP251" s="53"/>
      <c r="AQ251" s="53"/>
      <c r="AR251" s="54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4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</row>
    <row r="252">
      <c r="K252" s="51"/>
      <c r="Y252" s="52"/>
      <c r="Z252" s="51"/>
      <c r="AA252" s="51"/>
      <c r="AK252" s="52"/>
      <c r="AL252" s="52"/>
      <c r="AM252" s="52"/>
      <c r="AN252" s="52"/>
      <c r="AO252" s="52"/>
      <c r="AP252" s="53"/>
      <c r="AQ252" s="53"/>
      <c r="AR252" s="54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4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</row>
    <row r="253">
      <c r="K253" s="51"/>
      <c r="Y253" s="52"/>
      <c r="Z253" s="51"/>
      <c r="AA253" s="51"/>
      <c r="AK253" s="52"/>
      <c r="AL253" s="52"/>
      <c r="AM253" s="52"/>
      <c r="AN253" s="52"/>
      <c r="AO253" s="52"/>
      <c r="AP253" s="53"/>
      <c r="AQ253" s="53"/>
      <c r="AR253" s="54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4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</row>
    <row r="254">
      <c r="K254" s="51"/>
      <c r="Y254" s="52"/>
      <c r="Z254" s="51"/>
      <c r="AA254" s="51"/>
      <c r="AK254" s="52"/>
      <c r="AL254" s="52"/>
      <c r="AM254" s="52"/>
      <c r="AN254" s="52"/>
      <c r="AO254" s="52"/>
      <c r="AP254" s="53"/>
      <c r="AQ254" s="53"/>
      <c r="AR254" s="54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4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</row>
    <row r="255">
      <c r="K255" s="51"/>
      <c r="Y255" s="52"/>
      <c r="Z255" s="51"/>
      <c r="AA255" s="51"/>
      <c r="AK255" s="52"/>
      <c r="AL255" s="52"/>
      <c r="AM255" s="52"/>
      <c r="AN255" s="52"/>
      <c r="AO255" s="52"/>
      <c r="AP255" s="53"/>
      <c r="AQ255" s="53"/>
      <c r="AR255" s="54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4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</row>
    <row r="256">
      <c r="K256" s="51"/>
      <c r="Y256" s="52"/>
      <c r="Z256" s="51"/>
      <c r="AA256" s="51"/>
      <c r="AK256" s="52"/>
      <c r="AL256" s="52"/>
      <c r="AM256" s="52"/>
      <c r="AN256" s="52"/>
      <c r="AO256" s="52"/>
      <c r="AP256" s="53"/>
      <c r="AQ256" s="53"/>
      <c r="AR256" s="54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4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</row>
    <row r="257">
      <c r="K257" s="51"/>
      <c r="Y257" s="52"/>
      <c r="Z257" s="51"/>
      <c r="AA257" s="51"/>
      <c r="AK257" s="52"/>
      <c r="AL257" s="52"/>
      <c r="AM257" s="52"/>
      <c r="AN257" s="52"/>
      <c r="AO257" s="52"/>
      <c r="AP257" s="53"/>
      <c r="AQ257" s="53"/>
      <c r="AR257" s="54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4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</row>
    <row r="258">
      <c r="K258" s="51"/>
      <c r="Y258" s="52"/>
      <c r="Z258" s="51"/>
      <c r="AA258" s="51"/>
      <c r="AK258" s="52"/>
      <c r="AL258" s="52"/>
      <c r="AM258" s="52"/>
      <c r="AN258" s="52"/>
      <c r="AO258" s="52"/>
      <c r="AP258" s="53"/>
      <c r="AQ258" s="53"/>
      <c r="AR258" s="54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4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</row>
    <row r="259">
      <c r="K259" s="51"/>
      <c r="Y259" s="52"/>
      <c r="Z259" s="51"/>
      <c r="AA259" s="51"/>
      <c r="AK259" s="52"/>
      <c r="AL259" s="52"/>
      <c r="AM259" s="52"/>
      <c r="AN259" s="52"/>
      <c r="AO259" s="52"/>
      <c r="AP259" s="53"/>
      <c r="AQ259" s="53"/>
      <c r="AR259" s="54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4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</row>
    <row r="260">
      <c r="K260" s="51"/>
      <c r="Y260" s="52"/>
      <c r="Z260" s="51"/>
      <c r="AA260" s="51"/>
      <c r="AK260" s="52"/>
      <c r="AL260" s="52"/>
      <c r="AM260" s="52"/>
      <c r="AN260" s="52"/>
      <c r="AO260" s="52"/>
      <c r="AP260" s="53"/>
      <c r="AQ260" s="53"/>
      <c r="AR260" s="54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4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</row>
    <row r="261">
      <c r="K261" s="51"/>
      <c r="Y261" s="52"/>
      <c r="Z261" s="51"/>
      <c r="AA261" s="51"/>
      <c r="AK261" s="52"/>
      <c r="AL261" s="52"/>
      <c r="AM261" s="52"/>
      <c r="AN261" s="52"/>
      <c r="AO261" s="52"/>
      <c r="AP261" s="53"/>
      <c r="AQ261" s="53"/>
      <c r="AR261" s="54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4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</row>
    <row r="262">
      <c r="K262" s="51"/>
      <c r="Y262" s="52"/>
      <c r="Z262" s="51"/>
      <c r="AA262" s="51"/>
      <c r="AK262" s="52"/>
      <c r="AL262" s="52"/>
      <c r="AM262" s="52"/>
      <c r="AN262" s="52"/>
      <c r="AO262" s="52"/>
      <c r="AP262" s="53"/>
      <c r="AQ262" s="53"/>
      <c r="AR262" s="54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4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</row>
    <row r="263">
      <c r="K263" s="51"/>
      <c r="Y263" s="52"/>
      <c r="Z263" s="51"/>
      <c r="AA263" s="51"/>
      <c r="AK263" s="52"/>
      <c r="AL263" s="52"/>
      <c r="AM263" s="52"/>
      <c r="AN263" s="52"/>
      <c r="AO263" s="52"/>
      <c r="AP263" s="53"/>
      <c r="AQ263" s="53"/>
      <c r="AR263" s="54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4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</row>
    <row r="264">
      <c r="K264" s="51"/>
      <c r="Y264" s="52"/>
      <c r="Z264" s="51"/>
      <c r="AA264" s="51"/>
      <c r="AK264" s="52"/>
      <c r="AL264" s="52"/>
      <c r="AM264" s="52"/>
      <c r="AN264" s="52"/>
      <c r="AO264" s="52"/>
      <c r="AP264" s="53"/>
      <c r="AQ264" s="53"/>
      <c r="AR264" s="54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4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</row>
    <row r="265">
      <c r="K265" s="51"/>
      <c r="Y265" s="52"/>
      <c r="Z265" s="51"/>
      <c r="AA265" s="51"/>
      <c r="AK265" s="52"/>
      <c r="AL265" s="52"/>
      <c r="AM265" s="52"/>
      <c r="AN265" s="52"/>
      <c r="AO265" s="52"/>
      <c r="AP265" s="53"/>
      <c r="AQ265" s="53"/>
      <c r="AR265" s="54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4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</row>
    <row r="266">
      <c r="K266" s="51"/>
      <c r="Y266" s="52"/>
      <c r="Z266" s="51"/>
      <c r="AA266" s="51"/>
      <c r="AK266" s="52"/>
      <c r="AL266" s="52"/>
      <c r="AM266" s="52"/>
      <c r="AN266" s="52"/>
      <c r="AO266" s="52"/>
      <c r="AP266" s="53"/>
      <c r="AQ266" s="53"/>
      <c r="AR266" s="54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4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</row>
    <row r="267">
      <c r="K267" s="51"/>
      <c r="Y267" s="52"/>
      <c r="Z267" s="51"/>
      <c r="AA267" s="51"/>
      <c r="AK267" s="52"/>
      <c r="AL267" s="52"/>
      <c r="AM267" s="52"/>
      <c r="AN267" s="52"/>
      <c r="AO267" s="52"/>
      <c r="AP267" s="53"/>
      <c r="AQ267" s="53"/>
      <c r="AR267" s="54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4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</row>
    <row r="268">
      <c r="K268" s="51"/>
      <c r="Y268" s="52"/>
      <c r="Z268" s="51"/>
      <c r="AA268" s="51"/>
      <c r="AK268" s="52"/>
      <c r="AL268" s="52"/>
      <c r="AM268" s="52"/>
      <c r="AN268" s="52"/>
      <c r="AO268" s="52"/>
      <c r="AP268" s="53"/>
      <c r="AQ268" s="53"/>
      <c r="AR268" s="54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4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</row>
    <row r="269">
      <c r="K269" s="51"/>
      <c r="Y269" s="52"/>
      <c r="Z269" s="51"/>
      <c r="AA269" s="51"/>
      <c r="AK269" s="52"/>
      <c r="AL269" s="52"/>
      <c r="AM269" s="52"/>
      <c r="AN269" s="52"/>
      <c r="AO269" s="52"/>
      <c r="AP269" s="53"/>
      <c r="AQ269" s="53"/>
      <c r="AR269" s="54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4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</row>
    <row r="270">
      <c r="K270" s="51"/>
      <c r="Y270" s="52"/>
      <c r="Z270" s="51"/>
      <c r="AA270" s="51"/>
      <c r="AK270" s="52"/>
      <c r="AL270" s="52"/>
      <c r="AM270" s="52"/>
      <c r="AN270" s="52"/>
      <c r="AO270" s="52"/>
      <c r="AP270" s="53"/>
      <c r="AQ270" s="53"/>
      <c r="AR270" s="54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4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</row>
    <row r="271">
      <c r="K271" s="51"/>
      <c r="Y271" s="52"/>
      <c r="Z271" s="51"/>
      <c r="AA271" s="51"/>
      <c r="AK271" s="52"/>
      <c r="AL271" s="52"/>
      <c r="AM271" s="52"/>
      <c r="AN271" s="52"/>
      <c r="AO271" s="52"/>
      <c r="AP271" s="53"/>
      <c r="AQ271" s="53"/>
      <c r="AR271" s="54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4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</row>
    <row r="272">
      <c r="K272" s="51"/>
      <c r="Y272" s="52"/>
      <c r="Z272" s="51"/>
      <c r="AA272" s="51"/>
      <c r="AK272" s="52"/>
      <c r="AL272" s="52"/>
      <c r="AM272" s="52"/>
      <c r="AN272" s="52"/>
      <c r="AO272" s="52"/>
      <c r="AP272" s="53"/>
      <c r="AQ272" s="53"/>
      <c r="AR272" s="54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4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</row>
    <row r="273">
      <c r="K273" s="51"/>
      <c r="Y273" s="52"/>
      <c r="Z273" s="51"/>
      <c r="AA273" s="51"/>
      <c r="AK273" s="52"/>
      <c r="AL273" s="52"/>
      <c r="AM273" s="52"/>
      <c r="AN273" s="52"/>
      <c r="AO273" s="52"/>
      <c r="AP273" s="53"/>
      <c r="AQ273" s="53"/>
      <c r="AR273" s="54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4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</row>
    <row r="274">
      <c r="K274" s="51"/>
      <c r="Y274" s="52"/>
      <c r="Z274" s="51"/>
      <c r="AA274" s="51"/>
      <c r="AK274" s="52"/>
      <c r="AL274" s="52"/>
      <c r="AM274" s="52"/>
      <c r="AN274" s="52"/>
      <c r="AO274" s="52"/>
      <c r="AP274" s="53"/>
      <c r="AQ274" s="53"/>
      <c r="AR274" s="54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4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</row>
    <row r="275">
      <c r="K275" s="51"/>
      <c r="Y275" s="52"/>
      <c r="Z275" s="51"/>
      <c r="AA275" s="51"/>
      <c r="AK275" s="52"/>
      <c r="AL275" s="52"/>
      <c r="AM275" s="52"/>
      <c r="AN275" s="52"/>
      <c r="AO275" s="52"/>
      <c r="AP275" s="53"/>
      <c r="AQ275" s="53"/>
      <c r="AR275" s="54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4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</row>
    <row r="276">
      <c r="K276" s="51"/>
      <c r="Y276" s="52"/>
      <c r="Z276" s="51"/>
      <c r="AA276" s="51"/>
      <c r="AK276" s="52"/>
      <c r="AL276" s="52"/>
      <c r="AM276" s="52"/>
      <c r="AN276" s="52"/>
      <c r="AO276" s="52"/>
      <c r="AP276" s="53"/>
      <c r="AQ276" s="53"/>
      <c r="AR276" s="54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4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</row>
    <row r="277">
      <c r="K277" s="51"/>
      <c r="Y277" s="52"/>
      <c r="Z277" s="51"/>
      <c r="AA277" s="51"/>
      <c r="AK277" s="52"/>
      <c r="AL277" s="52"/>
      <c r="AM277" s="52"/>
      <c r="AN277" s="52"/>
      <c r="AO277" s="52"/>
      <c r="AP277" s="53"/>
      <c r="AQ277" s="53"/>
      <c r="AR277" s="54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4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</row>
    <row r="278">
      <c r="K278" s="51"/>
      <c r="Y278" s="52"/>
      <c r="Z278" s="51"/>
      <c r="AA278" s="51"/>
      <c r="AK278" s="52"/>
      <c r="AL278" s="52"/>
      <c r="AM278" s="52"/>
      <c r="AN278" s="52"/>
      <c r="AO278" s="52"/>
      <c r="AP278" s="53"/>
      <c r="AQ278" s="53"/>
      <c r="AR278" s="54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4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</row>
    <row r="279">
      <c r="K279" s="51"/>
      <c r="Y279" s="52"/>
      <c r="Z279" s="51"/>
      <c r="AA279" s="51"/>
      <c r="AK279" s="52"/>
      <c r="AL279" s="52"/>
      <c r="AM279" s="52"/>
      <c r="AN279" s="52"/>
      <c r="AO279" s="52"/>
      <c r="AP279" s="53"/>
      <c r="AQ279" s="53"/>
      <c r="AR279" s="54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4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</row>
    <row r="280">
      <c r="K280" s="51"/>
      <c r="Y280" s="52"/>
      <c r="Z280" s="51"/>
      <c r="AA280" s="51"/>
      <c r="AK280" s="52"/>
      <c r="AL280" s="52"/>
      <c r="AM280" s="52"/>
      <c r="AN280" s="52"/>
      <c r="AO280" s="52"/>
      <c r="AP280" s="53"/>
      <c r="AQ280" s="53"/>
      <c r="AR280" s="54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4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</row>
    <row r="281">
      <c r="K281" s="51"/>
      <c r="Y281" s="52"/>
      <c r="Z281" s="51"/>
      <c r="AA281" s="51"/>
      <c r="AK281" s="52"/>
      <c r="AL281" s="52"/>
      <c r="AM281" s="52"/>
      <c r="AN281" s="52"/>
      <c r="AO281" s="52"/>
      <c r="AP281" s="53"/>
      <c r="AQ281" s="53"/>
      <c r="AR281" s="54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4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</row>
    <row r="282">
      <c r="K282" s="51"/>
      <c r="Y282" s="52"/>
      <c r="Z282" s="51"/>
      <c r="AA282" s="51"/>
      <c r="AK282" s="52"/>
      <c r="AL282" s="52"/>
      <c r="AM282" s="52"/>
      <c r="AN282" s="52"/>
      <c r="AO282" s="52"/>
      <c r="AP282" s="53"/>
      <c r="AQ282" s="53"/>
      <c r="AR282" s="54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4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</row>
    <row r="283">
      <c r="K283" s="51"/>
      <c r="Y283" s="52"/>
      <c r="Z283" s="51"/>
      <c r="AA283" s="51"/>
      <c r="AK283" s="52"/>
      <c r="AL283" s="52"/>
      <c r="AM283" s="52"/>
      <c r="AN283" s="52"/>
      <c r="AO283" s="52"/>
      <c r="AP283" s="53"/>
      <c r="AQ283" s="53"/>
      <c r="AR283" s="54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4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</row>
    <row r="284">
      <c r="K284" s="51"/>
      <c r="Y284" s="52"/>
      <c r="Z284" s="51"/>
      <c r="AA284" s="51"/>
      <c r="AK284" s="52"/>
      <c r="AL284" s="52"/>
      <c r="AM284" s="52"/>
      <c r="AN284" s="52"/>
      <c r="AO284" s="52"/>
      <c r="AP284" s="53"/>
      <c r="AQ284" s="53"/>
      <c r="AR284" s="54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4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</row>
    <row r="285">
      <c r="K285" s="51"/>
      <c r="Y285" s="52"/>
      <c r="Z285" s="51"/>
      <c r="AA285" s="51"/>
      <c r="AK285" s="52"/>
      <c r="AL285" s="52"/>
      <c r="AM285" s="52"/>
      <c r="AN285" s="52"/>
      <c r="AO285" s="52"/>
      <c r="AP285" s="53"/>
      <c r="AQ285" s="53"/>
      <c r="AR285" s="54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4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</row>
    <row r="286">
      <c r="K286" s="51"/>
      <c r="Y286" s="52"/>
      <c r="Z286" s="51"/>
      <c r="AA286" s="51"/>
      <c r="AK286" s="52"/>
      <c r="AL286" s="52"/>
      <c r="AM286" s="52"/>
      <c r="AN286" s="52"/>
      <c r="AO286" s="52"/>
      <c r="AP286" s="53"/>
      <c r="AQ286" s="53"/>
      <c r="AR286" s="54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4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</row>
    <row r="287">
      <c r="K287" s="51"/>
      <c r="Y287" s="52"/>
      <c r="Z287" s="51"/>
      <c r="AA287" s="51"/>
      <c r="AK287" s="52"/>
      <c r="AL287" s="52"/>
      <c r="AM287" s="52"/>
      <c r="AN287" s="52"/>
      <c r="AO287" s="52"/>
      <c r="AP287" s="53"/>
      <c r="AQ287" s="53"/>
      <c r="AR287" s="54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4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</row>
    <row r="288">
      <c r="K288" s="51"/>
      <c r="Y288" s="52"/>
      <c r="Z288" s="51"/>
      <c r="AA288" s="51"/>
      <c r="AK288" s="52"/>
      <c r="AL288" s="52"/>
      <c r="AM288" s="52"/>
      <c r="AN288" s="52"/>
      <c r="AO288" s="52"/>
      <c r="AP288" s="53"/>
      <c r="AQ288" s="53"/>
      <c r="AR288" s="54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4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</row>
    <row r="289">
      <c r="K289" s="51"/>
      <c r="Y289" s="52"/>
      <c r="Z289" s="51"/>
      <c r="AA289" s="51"/>
      <c r="AK289" s="52"/>
      <c r="AL289" s="52"/>
      <c r="AM289" s="52"/>
      <c r="AN289" s="52"/>
      <c r="AO289" s="52"/>
      <c r="AP289" s="53"/>
      <c r="AQ289" s="53"/>
      <c r="AR289" s="54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4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</row>
    <row r="290">
      <c r="K290" s="51"/>
      <c r="Y290" s="52"/>
      <c r="Z290" s="51"/>
      <c r="AA290" s="51"/>
      <c r="AK290" s="52"/>
      <c r="AL290" s="52"/>
      <c r="AM290" s="52"/>
      <c r="AN290" s="52"/>
      <c r="AO290" s="52"/>
      <c r="AP290" s="53"/>
      <c r="AQ290" s="53"/>
      <c r="AR290" s="54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4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</row>
    <row r="291">
      <c r="K291" s="51"/>
      <c r="Y291" s="52"/>
      <c r="Z291" s="51"/>
      <c r="AA291" s="51"/>
      <c r="AK291" s="52"/>
      <c r="AL291" s="52"/>
      <c r="AM291" s="52"/>
      <c r="AN291" s="52"/>
      <c r="AO291" s="52"/>
      <c r="AP291" s="53"/>
      <c r="AQ291" s="53"/>
      <c r="AR291" s="54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4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</row>
    <row r="292">
      <c r="K292" s="51"/>
      <c r="Y292" s="52"/>
      <c r="Z292" s="51"/>
      <c r="AA292" s="51"/>
      <c r="AK292" s="52"/>
      <c r="AL292" s="52"/>
      <c r="AM292" s="52"/>
      <c r="AN292" s="52"/>
      <c r="AO292" s="52"/>
      <c r="AP292" s="53"/>
      <c r="AQ292" s="53"/>
      <c r="AR292" s="54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4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</row>
    <row r="293">
      <c r="K293" s="51"/>
      <c r="Y293" s="52"/>
      <c r="Z293" s="51"/>
      <c r="AA293" s="51"/>
      <c r="AK293" s="52"/>
      <c r="AL293" s="52"/>
      <c r="AM293" s="52"/>
      <c r="AN293" s="52"/>
      <c r="AO293" s="52"/>
      <c r="AP293" s="53"/>
      <c r="AQ293" s="53"/>
      <c r="AR293" s="54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4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</row>
    <row r="294">
      <c r="K294" s="51"/>
      <c r="Y294" s="52"/>
      <c r="Z294" s="51"/>
      <c r="AA294" s="51"/>
      <c r="AK294" s="52"/>
      <c r="AL294" s="52"/>
      <c r="AM294" s="52"/>
      <c r="AN294" s="52"/>
      <c r="AO294" s="52"/>
      <c r="AP294" s="53"/>
      <c r="AQ294" s="53"/>
      <c r="AR294" s="54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4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</row>
    <row r="295">
      <c r="K295" s="51"/>
      <c r="Y295" s="52"/>
      <c r="Z295" s="51"/>
      <c r="AA295" s="51"/>
      <c r="AK295" s="52"/>
      <c r="AL295" s="52"/>
      <c r="AM295" s="52"/>
      <c r="AN295" s="52"/>
      <c r="AO295" s="52"/>
      <c r="AP295" s="53"/>
      <c r="AQ295" s="53"/>
      <c r="AR295" s="54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4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</row>
    <row r="296">
      <c r="K296" s="51"/>
      <c r="Y296" s="52"/>
      <c r="Z296" s="51"/>
      <c r="AA296" s="51"/>
      <c r="AK296" s="52"/>
      <c r="AL296" s="52"/>
      <c r="AM296" s="52"/>
      <c r="AN296" s="52"/>
      <c r="AO296" s="52"/>
      <c r="AP296" s="53"/>
      <c r="AQ296" s="53"/>
      <c r="AR296" s="54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4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</row>
    <row r="297">
      <c r="K297" s="51"/>
      <c r="Y297" s="52"/>
      <c r="Z297" s="51"/>
      <c r="AA297" s="51"/>
      <c r="AK297" s="52"/>
      <c r="AL297" s="52"/>
      <c r="AM297" s="52"/>
      <c r="AN297" s="52"/>
      <c r="AO297" s="52"/>
      <c r="AP297" s="53"/>
      <c r="AQ297" s="53"/>
      <c r="AR297" s="54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4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</row>
    <row r="298">
      <c r="K298" s="51"/>
      <c r="Y298" s="52"/>
      <c r="Z298" s="51"/>
      <c r="AA298" s="51"/>
      <c r="AK298" s="52"/>
      <c r="AL298" s="52"/>
      <c r="AM298" s="52"/>
      <c r="AN298" s="52"/>
      <c r="AO298" s="52"/>
      <c r="AP298" s="53"/>
      <c r="AQ298" s="53"/>
      <c r="AR298" s="54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4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</row>
    <row r="299">
      <c r="K299" s="51"/>
      <c r="Y299" s="52"/>
      <c r="Z299" s="51"/>
      <c r="AA299" s="51"/>
      <c r="AK299" s="52"/>
      <c r="AL299" s="52"/>
      <c r="AM299" s="52"/>
      <c r="AN299" s="52"/>
      <c r="AO299" s="52"/>
      <c r="AP299" s="53"/>
      <c r="AQ299" s="53"/>
      <c r="AR299" s="54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4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</row>
    <row r="300">
      <c r="K300" s="51"/>
      <c r="Y300" s="52"/>
      <c r="Z300" s="51"/>
      <c r="AA300" s="51"/>
      <c r="AK300" s="52"/>
      <c r="AL300" s="52"/>
      <c r="AM300" s="52"/>
      <c r="AN300" s="52"/>
      <c r="AO300" s="52"/>
      <c r="AP300" s="53"/>
      <c r="AQ300" s="53"/>
      <c r="AR300" s="54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4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</row>
    <row r="301">
      <c r="K301" s="51"/>
      <c r="Y301" s="52"/>
      <c r="Z301" s="51"/>
      <c r="AA301" s="51"/>
      <c r="AK301" s="52"/>
      <c r="AL301" s="52"/>
      <c r="AM301" s="52"/>
      <c r="AN301" s="52"/>
      <c r="AO301" s="52"/>
      <c r="AP301" s="53"/>
      <c r="AQ301" s="53"/>
      <c r="AR301" s="54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4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</row>
    <row r="302">
      <c r="K302" s="51"/>
      <c r="Y302" s="52"/>
      <c r="Z302" s="51"/>
      <c r="AA302" s="51"/>
      <c r="AK302" s="52"/>
      <c r="AL302" s="52"/>
      <c r="AM302" s="52"/>
      <c r="AN302" s="52"/>
      <c r="AO302" s="52"/>
      <c r="AP302" s="53"/>
      <c r="AQ302" s="53"/>
      <c r="AR302" s="54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4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</row>
    <row r="303">
      <c r="K303" s="51"/>
      <c r="Y303" s="52"/>
      <c r="Z303" s="51"/>
      <c r="AA303" s="51"/>
      <c r="AK303" s="52"/>
      <c r="AL303" s="52"/>
      <c r="AM303" s="52"/>
      <c r="AN303" s="52"/>
      <c r="AO303" s="52"/>
      <c r="AP303" s="53"/>
      <c r="AQ303" s="53"/>
      <c r="AR303" s="54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4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</row>
    <row r="304">
      <c r="K304" s="51"/>
      <c r="Y304" s="52"/>
      <c r="Z304" s="51"/>
      <c r="AA304" s="51"/>
      <c r="AK304" s="52"/>
      <c r="AL304" s="52"/>
      <c r="AM304" s="52"/>
      <c r="AN304" s="52"/>
      <c r="AO304" s="52"/>
      <c r="AP304" s="53"/>
      <c r="AQ304" s="53"/>
      <c r="AR304" s="54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4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</row>
    <row r="305">
      <c r="K305" s="51"/>
      <c r="Y305" s="52"/>
      <c r="Z305" s="51"/>
      <c r="AA305" s="51"/>
      <c r="AK305" s="52"/>
      <c r="AL305" s="52"/>
      <c r="AM305" s="52"/>
      <c r="AN305" s="52"/>
      <c r="AO305" s="52"/>
      <c r="AP305" s="53"/>
      <c r="AQ305" s="53"/>
      <c r="AR305" s="54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4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</row>
    <row r="306">
      <c r="K306" s="51"/>
      <c r="Y306" s="52"/>
      <c r="Z306" s="51"/>
      <c r="AA306" s="51"/>
      <c r="AK306" s="52"/>
      <c r="AL306" s="52"/>
      <c r="AM306" s="52"/>
      <c r="AN306" s="52"/>
      <c r="AO306" s="52"/>
      <c r="AP306" s="53"/>
      <c r="AQ306" s="53"/>
      <c r="AR306" s="54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4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</row>
    <row r="307">
      <c r="K307" s="51"/>
      <c r="Y307" s="52"/>
      <c r="Z307" s="51"/>
      <c r="AA307" s="51"/>
      <c r="AK307" s="52"/>
      <c r="AL307" s="52"/>
      <c r="AM307" s="52"/>
      <c r="AN307" s="52"/>
      <c r="AO307" s="52"/>
      <c r="AP307" s="53"/>
      <c r="AQ307" s="53"/>
      <c r="AR307" s="54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4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</row>
    <row r="308">
      <c r="K308" s="51"/>
      <c r="Y308" s="52"/>
      <c r="Z308" s="51"/>
      <c r="AA308" s="51"/>
      <c r="AK308" s="52"/>
      <c r="AL308" s="52"/>
      <c r="AM308" s="52"/>
      <c r="AN308" s="52"/>
      <c r="AO308" s="52"/>
      <c r="AP308" s="53"/>
      <c r="AQ308" s="53"/>
      <c r="AR308" s="54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4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</row>
    <row r="309">
      <c r="K309" s="51"/>
      <c r="Y309" s="52"/>
      <c r="Z309" s="51"/>
      <c r="AA309" s="51"/>
      <c r="AK309" s="52"/>
      <c r="AL309" s="52"/>
      <c r="AM309" s="52"/>
      <c r="AN309" s="52"/>
      <c r="AO309" s="52"/>
      <c r="AP309" s="53"/>
      <c r="AQ309" s="53"/>
      <c r="AR309" s="54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4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</row>
    <row r="310">
      <c r="K310" s="51"/>
      <c r="Y310" s="52"/>
      <c r="Z310" s="51"/>
      <c r="AA310" s="51"/>
      <c r="AK310" s="52"/>
      <c r="AL310" s="52"/>
      <c r="AM310" s="52"/>
      <c r="AN310" s="52"/>
      <c r="AO310" s="52"/>
      <c r="AP310" s="53"/>
      <c r="AQ310" s="53"/>
      <c r="AR310" s="54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4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</row>
    <row r="311">
      <c r="K311" s="51"/>
      <c r="Y311" s="52"/>
      <c r="Z311" s="51"/>
      <c r="AA311" s="51"/>
      <c r="AK311" s="52"/>
      <c r="AL311" s="52"/>
      <c r="AM311" s="52"/>
      <c r="AN311" s="52"/>
      <c r="AO311" s="52"/>
      <c r="AP311" s="53"/>
      <c r="AQ311" s="53"/>
      <c r="AR311" s="54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4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</row>
    <row r="312">
      <c r="K312" s="51"/>
      <c r="Y312" s="52"/>
      <c r="Z312" s="51"/>
      <c r="AA312" s="51"/>
      <c r="AK312" s="52"/>
      <c r="AL312" s="52"/>
      <c r="AM312" s="52"/>
      <c r="AN312" s="52"/>
      <c r="AO312" s="52"/>
      <c r="AP312" s="53"/>
      <c r="AQ312" s="53"/>
      <c r="AR312" s="54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4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</row>
    <row r="313">
      <c r="K313" s="51"/>
      <c r="Y313" s="52"/>
      <c r="Z313" s="51"/>
      <c r="AA313" s="51"/>
      <c r="AK313" s="52"/>
      <c r="AL313" s="52"/>
      <c r="AM313" s="52"/>
      <c r="AN313" s="52"/>
      <c r="AO313" s="52"/>
      <c r="AP313" s="53"/>
      <c r="AQ313" s="53"/>
      <c r="AR313" s="54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4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</row>
    <row r="314">
      <c r="K314" s="51"/>
      <c r="Y314" s="52"/>
      <c r="Z314" s="51"/>
      <c r="AA314" s="51"/>
      <c r="AK314" s="52"/>
      <c r="AL314" s="52"/>
      <c r="AM314" s="52"/>
      <c r="AN314" s="52"/>
      <c r="AO314" s="52"/>
      <c r="AP314" s="53"/>
      <c r="AQ314" s="53"/>
      <c r="AR314" s="54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4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</row>
    <row r="315">
      <c r="K315" s="51"/>
      <c r="Y315" s="52"/>
      <c r="Z315" s="51"/>
      <c r="AA315" s="51"/>
      <c r="AK315" s="52"/>
      <c r="AL315" s="52"/>
      <c r="AM315" s="52"/>
      <c r="AN315" s="52"/>
      <c r="AO315" s="52"/>
      <c r="AP315" s="53"/>
      <c r="AQ315" s="53"/>
      <c r="AR315" s="54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4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</row>
    <row r="316">
      <c r="K316" s="51"/>
      <c r="Y316" s="52"/>
      <c r="Z316" s="51"/>
      <c r="AA316" s="51"/>
      <c r="AK316" s="52"/>
      <c r="AL316" s="52"/>
      <c r="AM316" s="52"/>
      <c r="AN316" s="52"/>
      <c r="AO316" s="52"/>
      <c r="AP316" s="53"/>
      <c r="AQ316" s="53"/>
      <c r="AR316" s="54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4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</row>
    <row r="317">
      <c r="K317" s="51"/>
      <c r="Y317" s="52"/>
      <c r="Z317" s="51"/>
      <c r="AA317" s="51"/>
      <c r="AK317" s="52"/>
      <c r="AL317" s="52"/>
      <c r="AM317" s="52"/>
      <c r="AN317" s="52"/>
      <c r="AO317" s="52"/>
      <c r="AP317" s="53"/>
      <c r="AQ317" s="53"/>
      <c r="AR317" s="54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4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</row>
    <row r="318">
      <c r="K318" s="51"/>
      <c r="Y318" s="52"/>
      <c r="Z318" s="51"/>
      <c r="AA318" s="51"/>
      <c r="AK318" s="52"/>
      <c r="AL318" s="52"/>
      <c r="AM318" s="52"/>
      <c r="AN318" s="52"/>
      <c r="AO318" s="52"/>
      <c r="AP318" s="53"/>
      <c r="AQ318" s="53"/>
      <c r="AR318" s="54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4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</row>
    <row r="319">
      <c r="K319" s="51"/>
      <c r="Y319" s="52"/>
      <c r="Z319" s="51"/>
      <c r="AA319" s="51"/>
      <c r="AK319" s="52"/>
      <c r="AL319" s="52"/>
      <c r="AM319" s="52"/>
      <c r="AN319" s="52"/>
      <c r="AO319" s="52"/>
      <c r="AP319" s="53"/>
      <c r="AQ319" s="53"/>
      <c r="AR319" s="54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4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</row>
    <row r="320">
      <c r="K320" s="51"/>
      <c r="Y320" s="52"/>
      <c r="Z320" s="51"/>
      <c r="AA320" s="51"/>
      <c r="AK320" s="52"/>
      <c r="AL320" s="52"/>
      <c r="AM320" s="52"/>
      <c r="AN320" s="52"/>
      <c r="AO320" s="52"/>
      <c r="AP320" s="53"/>
      <c r="AQ320" s="53"/>
      <c r="AR320" s="54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4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</row>
    <row r="321">
      <c r="K321" s="51"/>
      <c r="Y321" s="52"/>
      <c r="Z321" s="51"/>
      <c r="AA321" s="51"/>
      <c r="AK321" s="52"/>
      <c r="AL321" s="52"/>
      <c r="AM321" s="52"/>
      <c r="AN321" s="52"/>
      <c r="AO321" s="52"/>
      <c r="AP321" s="53"/>
      <c r="AQ321" s="53"/>
      <c r="AR321" s="54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4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</row>
    <row r="322">
      <c r="K322" s="51"/>
      <c r="Y322" s="52"/>
      <c r="Z322" s="51"/>
      <c r="AA322" s="51"/>
      <c r="AK322" s="52"/>
      <c r="AL322" s="52"/>
      <c r="AM322" s="52"/>
      <c r="AN322" s="52"/>
      <c r="AO322" s="52"/>
      <c r="AP322" s="53"/>
      <c r="AQ322" s="53"/>
      <c r="AR322" s="54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4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</row>
    <row r="323">
      <c r="K323" s="51"/>
      <c r="Y323" s="52"/>
      <c r="Z323" s="51"/>
      <c r="AA323" s="51"/>
      <c r="AK323" s="52"/>
      <c r="AL323" s="52"/>
      <c r="AM323" s="52"/>
      <c r="AN323" s="52"/>
      <c r="AO323" s="52"/>
      <c r="AP323" s="53"/>
      <c r="AQ323" s="53"/>
      <c r="AR323" s="54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4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</row>
    <row r="324">
      <c r="K324" s="51"/>
      <c r="Y324" s="52"/>
      <c r="Z324" s="51"/>
      <c r="AA324" s="51"/>
      <c r="AK324" s="52"/>
      <c r="AL324" s="52"/>
      <c r="AM324" s="52"/>
      <c r="AN324" s="52"/>
      <c r="AO324" s="52"/>
      <c r="AP324" s="53"/>
      <c r="AQ324" s="53"/>
      <c r="AR324" s="54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4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</row>
    <row r="325">
      <c r="K325" s="51"/>
      <c r="Y325" s="52"/>
      <c r="Z325" s="51"/>
      <c r="AA325" s="51"/>
      <c r="AK325" s="52"/>
      <c r="AL325" s="52"/>
      <c r="AM325" s="52"/>
      <c r="AN325" s="52"/>
      <c r="AO325" s="52"/>
      <c r="AP325" s="53"/>
      <c r="AQ325" s="53"/>
      <c r="AR325" s="54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4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</row>
    <row r="326">
      <c r="K326" s="51"/>
      <c r="Y326" s="52"/>
      <c r="Z326" s="51"/>
      <c r="AA326" s="51"/>
      <c r="AK326" s="52"/>
      <c r="AL326" s="52"/>
      <c r="AM326" s="52"/>
      <c r="AN326" s="52"/>
      <c r="AO326" s="52"/>
      <c r="AP326" s="53"/>
      <c r="AQ326" s="53"/>
      <c r="AR326" s="54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4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</row>
    <row r="327">
      <c r="K327" s="51"/>
      <c r="Y327" s="52"/>
      <c r="Z327" s="51"/>
      <c r="AA327" s="51"/>
      <c r="AK327" s="52"/>
      <c r="AL327" s="52"/>
      <c r="AM327" s="52"/>
      <c r="AN327" s="52"/>
      <c r="AO327" s="52"/>
      <c r="AP327" s="53"/>
      <c r="AQ327" s="53"/>
      <c r="AR327" s="54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4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</row>
    <row r="328">
      <c r="K328" s="51"/>
      <c r="Y328" s="52"/>
      <c r="Z328" s="51"/>
      <c r="AA328" s="51"/>
      <c r="AK328" s="52"/>
      <c r="AL328" s="52"/>
      <c r="AM328" s="52"/>
      <c r="AN328" s="52"/>
      <c r="AO328" s="52"/>
      <c r="AP328" s="53"/>
      <c r="AQ328" s="53"/>
      <c r="AR328" s="54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4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</row>
    <row r="329">
      <c r="K329" s="51"/>
      <c r="Y329" s="52"/>
      <c r="Z329" s="51"/>
      <c r="AA329" s="51"/>
      <c r="AK329" s="52"/>
      <c r="AL329" s="52"/>
      <c r="AM329" s="52"/>
      <c r="AN329" s="52"/>
      <c r="AO329" s="52"/>
      <c r="AP329" s="53"/>
      <c r="AQ329" s="53"/>
      <c r="AR329" s="54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4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</row>
    <row r="330">
      <c r="K330" s="51"/>
      <c r="Y330" s="52"/>
      <c r="Z330" s="51"/>
      <c r="AA330" s="51"/>
      <c r="AK330" s="52"/>
      <c r="AL330" s="52"/>
      <c r="AM330" s="52"/>
      <c r="AN330" s="52"/>
      <c r="AO330" s="52"/>
      <c r="AP330" s="53"/>
      <c r="AQ330" s="53"/>
      <c r="AR330" s="54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4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</row>
    <row r="331">
      <c r="K331" s="51"/>
      <c r="Y331" s="52"/>
      <c r="Z331" s="51"/>
      <c r="AA331" s="51"/>
      <c r="AK331" s="52"/>
      <c r="AL331" s="52"/>
      <c r="AM331" s="52"/>
      <c r="AN331" s="52"/>
      <c r="AO331" s="52"/>
      <c r="AP331" s="53"/>
      <c r="AQ331" s="53"/>
      <c r="AR331" s="54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4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</row>
    <row r="332">
      <c r="K332" s="51"/>
      <c r="Y332" s="52"/>
      <c r="Z332" s="51"/>
      <c r="AA332" s="51"/>
      <c r="AK332" s="52"/>
      <c r="AL332" s="52"/>
      <c r="AM332" s="52"/>
      <c r="AN332" s="52"/>
      <c r="AO332" s="52"/>
      <c r="AP332" s="53"/>
      <c r="AQ332" s="53"/>
      <c r="AR332" s="54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4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</row>
    <row r="333">
      <c r="K333" s="51"/>
      <c r="Y333" s="52"/>
      <c r="Z333" s="51"/>
      <c r="AA333" s="51"/>
      <c r="AK333" s="52"/>
      <c r="AL333" s="52"/>
      <c r="AM333" s="52"/>
      <c r="AN333" s="52"/>
      <c r="AO333" s="52"/>
      <c r="AP333" s="53"/>
      <c r="AQ333" s="53"/>
      <c r="AR333" s="54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4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</row>
    <row r="334">
      <c r="K334" s="51"/>
      <c r="Y334" s="52"/>
      <c r="Z334" s="51"/>
      <c r="AA334" s="51"/>
      <c r="AK334" s="52"/>
      <c r="AL334" s="52"/>
      <c r="AM334" s="52"/>
      <c r="AN334" s="52"/>
      <c r="AO334" s="52"/>
      <c r="AP334" s="53"/>
      <c r="AQ334" s="53"/>
      <c r="AR334" s="54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4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</row>
    <row r="335">
      <c r="K335" s="51"/>
      <c r="Y335" s="52"/>
      <c r="Z335" s="51"/>
      <c r="AA335" s="51"/>
      <c r="AK335" s="52"/>
      <c r="AL335" s="52"/>
      <c r="AM335" s="52"/>
      <c r="AN335" s="52"/>
      <c r="AO335" s="52"/>
      <c r="AP335" s="53"/>
      <c r="AQ335" s="53"/>
      <c r="AR335" s="54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4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</row>
    <row r="336">
      <c r="K336" s="51"/>
      <c r="Y336" s="52"/>
      <c r="Z336" s="51"/>
      <c r="AA336" s="51"/>
      <c r="AK336" s="52"/>
      <c r="AL336" s="52"/>
      <c r="AM336" s="52"/>
      <c r="AN336" s="52"/>
      <c r="AO336" s="52"/>
      <c r="AP336" s="53"/>
      <c r="AQ336" s="53"/>
      <c r="AR336" s="54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4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</row>
    <row r="337">
      <c r="K337" s="51"/>
      <c r="Y337" s="52"/>
      <c r="Z337" s="51"/>
      <c r="AA337" s="51"/>
      <c r="AK337" s="52"/>
      <c r="AL337" s="52"/>
      <c r="AM337" s="52"/>
      <c r="AN337" s="52"/>
      <c r="AO337" s="52"/>
      <c r="AP337" s="53"/>
      <c r="AQ337" s="53"/>
      <c r="AR337" s="54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4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</row>
    <row r="338">
      <c r="K338" s="51"/>
      <c r="Y338" s="52"/>
      <c r="Z338" s="51"/>
      <c r="AA338" s="51"/>
      <c r="AK338" s="52"/>
      <c r="AL338" s="52"/>
      <c r="AM338" s="52"/>
      <c r="AN338" s="52"/>
      <c r="AO338" s="52"/>
      <c r="AP338" s="53"/>
      <c r="AQ338" s="53"/>
      <c r="AR338" s="54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4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</row>
    <row r="339">
      <c r="K339" s="51"/>
      <c r="Y339" s="52"/>
      <c r="Z339" s="51"/>
      <c r="AA339" s="51"/>
      <c r="AK339" s="52"/>
      <c r="AL339" s="52"/>
      <c r="AM339" s="52"/>
      <c r="AN339" s="52"/>
      <c r="AO339" s="52"/>
      <c r="AP339" s="53"/>
      <c r="AQ339" s="53"/>
      <c r="AR339" s="54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4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</row>
    <row r="340">
      <c r="K340" s="51"/>
      <c r="Y340" s="52"/>
      <c r="Z340" s="51"/>
      <c r="AA340" s="51"/>
      <c r="AK340" s="52"/>
      <c r="AL340" s="52"/>
      <c r="AM340" s="52"/>
      <c r="AN340" s="52"/>
      <c r="AO340" s="52"/>
      <c r="AP340" s="53"/>
      <c r="AQ340" s="53"/>
      <c r="AR340" s="54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4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</row>
    <row r="341">
      <c r="K341" s="51"/>
      <c r="Y341" s="52"/>
      <c r="Z341" s="51"/>
      <c r="AA341" s="51"/>
      <c r="AK341" s="52"/>
      <c r="AL341" s="52"/>
      <c r="AM341" s="52"/>
      <c r="AN341" s="52"/>
      <c r="AO341" s="52"/>
      <c r="AP341" s="53"/>
      <c r="AQ341" s="53"/>
      <c r="AR341" s="54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4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</row>
    <row r="342">
      <c r="K342" s="51"/>
      <c r="Y342" s="52"/>
      <c r="Z342" s="51"/>
      <c r="AA342" s="51"/>
      <c r="AK342" s="52"/>
      <c r="AL342" s="52"/>
      <c r="AM342" s="52"/>
      <c r="AN342" s="52"/>
      <c r="AO342" s="52"/>
      <c r="AP342" s="53"/>
      <c r="AQ342" s="53"/>
      <c r="AR342" s="54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4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</row>
    <row r="343">
      <c r="K343" s="51"/>
      <c r="Y343" s="52"/>
      <c r="Z343" s="51"/>
      <c r="AA343" s="51"/>
      <c r="AK343" s="52"/>
      <c r="AL343" s="52"/>
      <c r="AM343" s="52"/>
      <c r="AN343" s="52"/>
      <c r="AO343" s="52"/>
      <c r="AP343" s="53"/>
      <c r="AQ343" s="53"/>
      <c r="AR343" s="54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4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</row>
    <row r="344">
      <c r="K344" s="51"/>
      <c r="Y344" s="52"/>
      <c r="Z344" s="51"/>
      <c r="AA344" s="51"/>
      <c r="AK344" s="52"/>
      <c r="AL344" s="52"/>
      <c r="AM344" s="52"/>
      <c r="AN344" s="52"/>
      <c r="AO344" s="52"/>
      <c r="AP344" s="53"/>
      <c r="AQ344" s="53"/>
      <c r="AR344" s="54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4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</row>
    <row r="345">
      <c r="K345" s="51"/>
      <c r="Y345" s="52"/>
      <c r="Z345" s="51"/>
      <c r="AA345" s="51"/>
      <c r="AK345" s="52"/>
      <c r="AL345" s="52"/>
      <c r="AM345" s="52"/>
      <c r="AN345" s="52"/>
      <c r="AO345" s="52"/>
      <c r="AP345" s="53"/>
      <c r="AQ345" s="53"/>
      <c r="AR345" s="54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4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</row>
    <row r="346">
      <c r="K346" s="51"/>
      <c r="Y346" s="52"/>
      <c r="Z346" s="51"/>
      <c r="AA346" s="51"/>
      <c r="AK346" s="52"/>
      <c r="AL346" s="52"/>
      <c r="AM346" s="52"/>
      <c r="AN346" s="52"/>
      <c r="AO346" s="52"/>
      <c r="AP346" s="53"/>
      <c r="AQ346" s="53"/>
      <c r="AR346" s="54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4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</row>
    <row r="347">
      <c r="K347" s="51"/>
      <c r="Y347" s="52"/>
      <c r="Z347" s="51"/>
      <c r="AA347" s="51"/>
      <c r="AK347" s="52"/>
      <c r="AL347" s="52"/>
      <c r="AM347" s="52"/>
      <c r="AN347" s="52"/>
      <c r="AO347" s="52"/>
      <c r="AP347" s="53"/>
      <c r="AQ347" s="53"/>
      <c r="AR347" s="54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4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</row>
    <row r="348">
      <c r="K348" s="51"/>
      <c r="Y348" s="52"/>
      <c r="Z348" s="51"/>
      <c r="AA348" s="51"/>
      <c r="AK348" s="52"/>
      <c r="AL348" s="52"/>
      <c r="AM348" s="52"/>
      <c r="AN348" s="52"/>
      <c r="AO348" s="52"/>
      <c r="AP348" s="53"/>
      <c r="AQ348" s="53"/>
      <c r="AR348" s="54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4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</row>
    <row r="349">
      <c r="K349" s="51"/>
      <c r="Y349" s="52"/>
      <c r="Z349" s="51"/>
      <c r="AA349" s="51"/>
      <c r="AK349" s="52"/>
      <c r="AL349" s="52"/>
      <c r="AM349" s="52"/>
      <c r="AN349" s="52"/>
      <c r="AO349" s="52"/>
      <c r="AP349" s="53"/>
      <c r="AQ349" s="53"/>
      <c r="AR349" s="54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4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</row>
    <row r="350">
      <c r="K350" s="51"/>
      <c r="Y350" s="52"/>
      <c r="Z350" s="51"/>
      <c r="AA350" s="51"/>
      <c r="AK350" s="52"/>
      <c r="AL350" s="52"/>
      <c r="AM350" s="52"/>
      <c r="AN350" s="52"/>
      <c r="AO350" s="52"/>
      <c r="AP350" s="53"/>
      <c r="AQ350" s="53"/>
      <c r="AR350" s="54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4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</row>
    <row r="351">
      <c r="K351" s="51"/>
      <c r="Y351" s="52"/>
      <c r="Z351" s="51"/>
      <c r="AA351" s="51"/>
      <c r="AK351" s="52"/>
      <c r="AL351" s="52"/>
      <c r="AM351" s="52"/>
      <c r="AN351" s="52"/>
      <c r="AO351" s="52"/>
      <c r="AP351" s="53"/>
      <c r="AQ351" s="53"/>
      <c r="AR351" s="54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4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  <c r="CE351" s="52"/>
      <c r="CF351" s="52"/>
      <c r="CG351" s="52"/>
      <c r="CH351" s="52"/>
    </row>
    <row r="352">
      <c r="K352" s="51"/>
      <c r="Y352" s="52"/>
      <c r="Z352" s="51"/>
      <c r="AA352" s="51"/>
      <c r="AK352" s="52"/>
      <c r="AL352" s="52"/>
      <c r="AM352" s="52"/>
      <c r="AN352" s="52"/>
      <c r="AO352" s="52"/>
      <c r="AP352" s="53"/>
      <c r="AQ352" s="53"/>
      <c r="AR352" s="54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4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</row>
    <row r="353">
      <c r="K353" s="51"/>
      <c r="Y353" s="52"/>
      <c r="Z353" s="51"/>
      <c r="AA353" s="51"/>
      <c r="AK353" s="52"/>
      <c r="AL353" s="52"/>
      <c r="AM353" s="52"/>
      <c r="AN353" s="52"/>
      <c r="AO353" s="52"/>
      <c r="AP353" s="53"/>
      <c r="AQ353" s="53"/>
      <c r="AR353" s="54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4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</row>
    <row r="354">
      <c r="K354" s="51"/>
      <c r="Y354" s="52"/>
      <c r="Z354" s="51"/>
      <c r="AA354" s="51"/>
      <c r="AK354" s="52"/>
      <c r="AL354" s="52"/>
      <c r="AM354" s="52"/>
      <c r="AN354" s="52"/>
      <c r="AO354" s="52"/>
      <c r="AP354" s="53"/>
      <c r="AQ354" s="53"/>
      <c r="AR354" s="54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4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52"/>
      <c r="CF354" s="52"/>
      <c r="CG354" s="52"/>
      <c r="CH354" s="52"/>
    </row>
    <row r="355">
      <c r="K355" s="51"/>
      <c r="Y355" s="52"/>
      <c r="Z355" s="51"/>
      <c r="AA355" s="51"/>
      <c r="AK355" s="52"/>
      <c r="AL355" s="52"/>
      <c r="AM355" s="52"/>
      <c r="AN355" s="52"/>
      <c r="AO355" s="52"/>
      <c r="AP355" s="53"/>
      <c r="AQ355" s="53"/>
      <c r="AR355" s="54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4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  <c r="CE355" s="52"/>
      <c r="CF355" s="52"/>
      <c r="CG355" s="52"/>
      <c r="CH355" s="52"/>
    </row>
    <row r="356">
      <c r="K356" s="51"/>
      <c r="Y356" s="52"/>
      <c r="Z356" s="51"/>
      <c r="AA356" s="51"/>
      <c r="AK356" s="52"/>
      <c r="AL356" s="52"/>
      <c r="AM356" s="52"/>
      <c r="AN356" s="52"/>
      <c r="AO356" s="52"/>
      <c r="AP356" s="53"/>
      <c r="AQ356" s="53"/>
      <c r="AR356" s="54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4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</row>
    <row r="357">
      <c r="K357" s="51"/>
      <c r="Y357" s="52"/>
      <c r="Z357" s="51"/>
      <c r="AA357" s="51"/>
      <c r="AK357" s="52"/>
      <c r="AL357" s="52"/>
      <c r="AM357" s="52"/>
      <c r="AN357" s="52"/>
      <c r="AO357" s="52"/>
      <c r="AP357" s="53"/>
      <c r="AQ357" s="53"/>
      <c r="AR357" s="54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4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  <c r="CE357" s="52"/>
      <c r="CF357" s="52"/>
      <c r="CG357" s="52"/>
      <c r="CH357" s="52"/>
    </row>
    <row r="358">
      <c r="K358" s="51"/>
      <c r="Y358" s="52"/>
      <c r="Z358" s="51"/>
      <c r="AA358" s="51"/>
      <c r="AK358" s="52"/>
      <c r="AL358" s="52"/>
      <c r="AM358" s="52"/>
      <c r="AN358" s="52"/>
      <c r="AO358" s="52"/>
      <c r="AP358" s="53"/>
      <c r="AQ358" s="53"/>
      <c r="AR358" s="54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4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</row>
    <row r="359">
      <c r="K359" s="51"/>
      <c r="Y359" s="52"/>
      <c r="Z359" s="51"/>
      <c r="AA359" s="51"/>
      <c r="AK359" s="52"/>
      <c r="AL359" s="52"/>
      <c r="AM359" s="52"/>
      <c r="AN359" s="52"/>
      <c r="AO359" s="52"/>
      <c r="AP359" s="53"/>
      <c r="AQ359" s="53"/>
      <c r="AR359" s="54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4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  <c r="CE359" s="52"/>
      <c r="CF359" s="52"/>
      <c r="CG359" s="52"/>
      <c r="CH359" s="52"/>
    </row>
    <row r="360">
      <c r="K360" s="51"/>
      <c r="Y360" s="52"/>
      <c r="Z360" s="51"/>
      <c r="AA360" s="51"/>
      <c r="AK360" s="52"/>
      <c r="AL360" s="52"/>
      <c r="AM360" s="52"/>
      <c r="AN360" s="52"/>
      <c r="AO360" s="52"/>
      <c r="AP360" s="53"/>
      <c r="AQ360" s="53"/>
      <c r="AR360" s="54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4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52"/>
      <c r="CF360" s="52"/>
      <c r="CG360" s="52"/>
      <c r="CH360" s="52"/>
    </row>
    <row r="361">
      <c r="K361" s="51"/>
      <c r="Y361" s="52"/>
      <c r="Z361" s="51"/>
      <c r="AA361" s="51"/>
      <c r="AK361" s="52"/>
      <c r="AL361" s="52"/>
      <c r="AM361" s="52"/>
      <c r="AN361" s="52"/>
      <c r="AO361" s="52"/>
      <c r="AP361" s="53"/>
      <c r="AQ361" s="53"/>
      <c r="AR361" s="54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4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  <c r="CE361" s="52"/>
      <c r="CF361" s="52"/>
      <c r="CG361" s="52"/>
      <c r="CH361" s="52"/>
    </row>
    <row r="362">
      <c r="K362" s="51"/>
      <c r="Y362" s="52"/>
      <c r="Z362" s="51"/>
      <c r="AA362" s="51"/>
      <c r="AK362" s="52"/>
      <c r="AL362" s="52"/>
      <c r="AM362" s="52"/>
      <c r="AN362" s="52"/>
      <c r="AO362" s="52"/>
      <c r="AP362" s="53"/>
      <c r="AQ362" s="53"/>
      <c r="AR362" s="54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4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</row>
    <row r="363">
      <c r="K363" s="51"/>
      <c r="Y363" s="52"/>
      <c r="Z363" s="51"/>
      <c r="AA363" s="51"/>
      <c r="AK363" s="52"/>
      <c r="AL363" s="52"/>
      <c r="AM363" s="52"/>
      <c r="AN363" s="52"/>
      <c r="AO363" s="52"/>
      <c r="AP363" s="53"/>
      <c r="AQ363" s="53"/>
      <c r="AR363" s="54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4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  <c r="CE363" s="52"/>
      <c r="CF363" s="52"/>
      <c r="CG363" s="52"/>
      <c r="CH363" s="52"/>
    </row>
    <row r="364">
      <c r="K364" s="51"/>
      <c r="Y364" s="52"/>
      <c r="Z364" s="51"/>
      <c r="AA364" s="51"/>
      <c r="AK364" s="52"/>
      <c r="AL364" s="52"/>
      <c r="AM364" s="52"/>
      <c r="AN364" s="52"/>
      <c r="AO364" s="52"/>
      <c r="AP364" s="53"/>
      <c r="AQ364" s="53"/>
      <c r="AR364" s="54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4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52"/>
      <c r="CF364" s="52"/>
      <c r="CG364" s="52"/>
      <c r="CH364" s="52"/>
    </row>
    <row r="365">
      <c r="K365" s="51"/>
      <c r="Y365" s="52"/>
      <c r="Z365" s="51"/>
      <c r="AA365" s="51"/>
      <c r="AK365" s="52"/>
      <c r="AL365" s="52"/>
      <c r="AM365" s="52"/>
      <c r="AN365" s="52"/>
      <c r="AO365" s="52"/>
      <c r="AP365" s="53"/>
      <c r="AQ365" s="53"/>
      <c r="AR365" s="54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4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52"/>
      <c r="CF365" s="52"/>
      <c r="CG365" s="52"/>
      <c r="CH365" s="52"/>
    </row>
    <row r="366">
      <c r="K366" s="51"/>
      <c r="Y366" s="52"/>
      <c r="Z366" s="51"/>
      <c r="AA366" s="51"/>
      <c r="AK366" s="52"/>
      <c r="AL366" s="52"/>
      <c r="AM366" s="52"/>
      <c r="AN366" s="52"/>
      <c r="AO366" s="52"/>
      <c r="AP366" s="53"/>
      <c r="AQ366" s="53"/>
      <c r="AR366" s="54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4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</row>
    <row r="367">
      <c r="K367" s="51"/>
      <c r="Y367" s="52"/>
      <c r="Z367" s="51"/>
      <c r="AA367" s="51"/>
      <c r="AK367" s="52"/>
      <c r="AL367" s="52"/>
      <c r="AM367" s="52"/>
      <c r="AN367" s="52"/>
      <c r="AO367" s="52"/>
      <c r="AP367" s="53"/>
      <c r="AQ367" s="53"/>
      <c r="AR367" s="54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4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</row>
    <row r="368">
      <c r="K368" s="51"/>
      <c r="Y368" s="52"/>
      <c r="Z368" s="51"/>
      <c r="AA368" s="51"/>
      <c r="AK368" s="52"/>
      <c r="AL368" s="52"/>
      <c r="AM368" s="52"/>
      <c r="AN368" s="52"/>
      <c r="AO368" s="52"/>
      <c r="AP368" s="53"/>
      <c r="AQ368" s="53"/>
      <c r="AR368" s="54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4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</row>
    <row r="369">
      <c r="K369" s="51"/>
      <c r="Y369" s="52"/>
      <c r="Z369" s="51"/>
      <c r="AA369" s="51"/>
      <c r="AK369" s="52"/>
      <c r="AL369" s="52"/>
      <c r="AM369" s="52"/>
      <c r="AN369" s="52"/>
      <c r="AO369" s="52"/>
      <c r="AP369" s="53"/>
      <c r="AQ369" s="53"/>
      <c r="AR369" s="54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4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</row>
    <row r="370">
      <c r="K370" s="51"/>
      <c r="Y370" s="52"/>
      <c r="Z370" s="51"/>
      <c r="AA370" s="51"/>
      <c r="AK370" s="52"/>
      <c r="AL370" s="52"/>
      <c r="AM370" s="52"/>
      <c r="AN370" s="52"/>
      <c r="AO370" s="52"/>
      <c r="AP370" s="53"/>
      <c r="AQ370" s="53"/>
      <c r="AR370" s="54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4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</row>
    <row r="371">
      <c r="K371" s="51"/>
      <c r="Y371" s="52"/>
      <c r="Z371" s="51"/>
      <c r="AA371" s="51"/>
      <c r="AK371" s="52"/>
      <c r="AL371" s="52"/>
      <c r="AM371" s="52"/>
      <c r="AN371" s="52"/>
      <c r="AO371" s="52"/>
      <c r="AP371" s="53"/>
      <c r="AQ371" s="53"/>
      <c r="AR371" s="54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4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</row>
    <row r="372">
      <c r="K372" s="51"/>
      <c r="Y372" s="52"/>
      <c r="Z372" s="51"/>
      <c r="AA372" s="51"/>
      <c r="AK372" s="52"/>
      <c r="AL372" s="52"/>
      <c r="AM372" s="52"/>
      <c r="AN372" s="52"/>
      <c r="AO372" s="52"/>
      <c r="AP372" s="53"/>
      <c r="AQ372" s="53"/>
      <c r="AR372" s="54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4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</row>
    <row r="373">
      <c r="K373" s="51"/>
      <c r="Y373" s="52"/>
      <c r="Z373" s="51"/>
      <c r="AA373" s="51"/>
      <c r="AK373" s="52"/>
      <c r="AL373" s="52"/>
      <c r="AM373" s="52"/>
      <c r="AN373" s="52"/>
      <c r="AO373" s="52"/>
      <c r="AP373" s="53"/>
      <c r="AQ373" s="53"/>
      <c r="AR373" s="54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4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</row>
    <row r="374">
      <c r="K374" s="51"/>
      <c r="Y374" s="52"/>
      <c r="Z374" s="51"/>
      <c r="AA374" s="51"/>
      <c r="AK374" s="52"/>
      <c r="AL374" s="52"/>
      <c r="AM374" s="52"/>
      <c r="AN374" s="52"/>
      <c r="AO374" s="52"/>
      <c r="AP374" s="53"/>
      <c r="AQ374" s="53"/>
      <c r="AR374" s="54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4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</row>
    <row r="375">
      <c r="K375" s="51"/>
      <c r="Y375" s="52"/>
      <c r="Z375" s="51"/>
      <c r="AA375" s="51"/>
      <c r="AK375" s="52"/>
      <c r="AL375" s="52"/>
      <c r="AM375" s="52"/>
      <c r="AN375" s="52"/>
      <c r="AO375" s="52"/>
      <c r="AP375" s="53"/>
      <c r="AQ375" s="53"/>
      <c r="AR375" s="54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4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</row>
    <row r="376">
      <c r="K376" s="51"/>
      <c r="Y376" s="52"/>
      <c r="Z376" s="51"/>
      <c r="AA376" s="51"/>
      <c r="AK376" s="52"/>
      <c r="AL376" s="52"/>
      <c r="AM376" s="52"/>
      <c r="AN376" s="52"/>
      <c r="AO376" s="52"/>
      <c r="AP376" s="53"/>
      <c r="AQ376" s="53"/>
      <c r="AR376" s="54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4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</row>
    <row r="377">
      <c r="K377" s="51"/>
      <c r="Y377" s="52"/>
      <c r="Z377" s="51"/>
      <c r="AA377" s="51"/>
      <c r="AK377" s="52"/>
      <c r="AL377" s="52"/>
      <c r="AM377" s="52"/>
      <c r="AN377" s="52"/>
      <c r="AO377" s="52"/>
      <c r="AP377" s="53"/>
      <c r="AQ377" s="53"/>
      <c r="AR377" s="54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4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</row>
    <row r="378">
      <c r="K378" s="51"/>
      <c r="Y378" s="52"/>
      <c r="Z378" s="51"/>
      <c r="AA378" s="51"/>
      <c r="AK378" s="52"/>
      <c r="AL378" s="52"/>
      <c r="AM378" s="52"/>
      <c r="AN378" s="52"/>
      <c r="AO378" s="52"/>
      <c r="AP378" s="53"/>
      <c r="AQ378" s="53"/>
      <c r="AR378" s="54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4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</row>
    <row r="379">
      <c r="K379" s="51"/>
      <c r="Y379" s="52"/>
      <c r="Z379" s="51"/>
      <c r="AA379" s="51"/>
      <c r="AK379" s="52"/>
      <c r="AL379" s="52"/>
      <c r="AM379" s="52"/>
      <c r="AN379" s="52"/>
      <c r="AO379" s="52"/>
      <c r="AP379" s="53"/>
      <c r="AQ379" s="53"/>
      <c r="AR379" s="54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4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</row>
    <row r="380">
      <c r="K380" s="51"/>
      <c r="Y380" s="52"/>
      <c r="Z380" s="51"/>
      <c r="AA380" s="51"/>
      <c r="AK380" s="52"/>
      <c r="AL380" s="52"/>
      <c r="AM380" s="52"/>
      <c r="AN380" s="52"/>
      <c r="AO380" s="52"/>
      <c r="AP380" s="53"/>
      <c r="AQ380" s="53"/>
      <c r="AR380" s="54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4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</row>
    <row r="381">
      <c r="K381" s="51"/>
      <c r="Y381" s="52"/>
      <c r="Z381" s="51"/>
      <c r="AA381" s="51"/>
      <c r="AK381" s="52"/>
      <c r="AL381" s="52"/>
      <c r="AM381" s="52"/>
      <c r="AN381" s="52"/>
      <c r="AO381" s="52"/>
      <c r="AP381" s="53"/>
      <c r="AQ381" s="53"/>
      <c r="AR381" s="54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4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  <c r="CE381" s="52"/>
      <c r="CF381" s="52"/>
      <c r="CG381" s="52"/>
      <c r="CH381" s="52"/>
    </row>
    <row r="382">
      <c r="K382" s="51"/>
      <c r="Y382" s="52"/>
      <c r="Z382" s="51"/>
      <c r="AA382" s="51"/>
      <c r="AK382" s="52"/>
      <c r="AL382" s="52"/>
      <c r="AM382" s="52"/>
      <c r="AN382" s="52"/>
      <c r="AO382" s="52"/>
      <c r="AP382" s="53"/>
      <c r="AQ382" s="53"/>
      <c r="AR382" s="54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4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  <c r="CE382" s="52"/>
      <c r="CF382" s="52"/>
      <c r="CG382" s="52"/>
      <c r="CH382" s="52"/>
    </row>
    <row r="383">
      <c r="K383" s="51"/>
      <c r="Y383" s="52"/>
      <c r="Z383" s="51"/>
      <c r="AA383" s="51"/>
      <c r="AK383" s="52"/>
      <c r="AL383" s="52"/>
      <c r="AM383" s="52"/>
      <c r="AN383" s="52"/>
      <c r="AO383" s="52"/>
      <c r="AP383" s="53"/>
      <c r="AQ383" s="53"/>
      <c r="AR383" s="54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4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  <c r="CE383" s="52"/>
      <c r="CF383" s="52"/>
      <c r="CG383" s="52"/>
      <c r="CH383" s="52"/>
    </row>
    <row r="384">
      <c r="K384" s="51"/>
      <c r="Y384" s="52"/>
      <c r="Z384" s="51"/>
      <c r="AA384" s="51"/>
      <c r="AK384" s="52"/>
      <c r="AL384" s="52"/>
      <c r="AM384" s="52"/>
      <c r="AN384" s="52"/>
      <c r="AO384" s="52"/>
      <c r="AP384" s="53"/>
      <c r="AQ384" s="53"/>
      <c r="AR384" s="54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4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  <c r="CE384" s="52"/>
      <c r="CF384" s="52"/>
      <c r="CG384" s="52"/>
      <c r="CH384" s="52"/>
    </row>
    <row r="385">
      <c r="K385" s="51"/>
      <c r="Y385" s="52"/>
      <c r="Z385" s="51"/>
      <c r="AA385" s="51"/>
      <c r="AK385" s="52"/>
      <c r="AL385" s="52"/>
      <c r="AM385" s="52"/>
      <c r="AN385" s="52"/>
      <c r="AO385" s="52"/>
      <c r="AP385" s="53"/>
      <c r="AQ385" s="53"/>
      <c r="AR385" s="54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4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  <c r="CE385" s="52"/>
      <c r="CF385" s="52"/>
      <c r="CG385" s="52"/>
      <c r="CH385" s="52"/>
    </row>
    <row r="386">
      <c r="K386" s="51"/>
      <c r="Y386" s="52"/>
      <c r="Z386" s="51"/>
      <c r="AA386" s="51"/>
      <c r="AK386" s="52"/>
      <c r="AL386" s="52"/>
      <c r="AM386" s="52"/>
      <c r="AN386" s="52"/>
      <c r="AO386" s="52"/>
      <c r="AP386" s="53"/>
      <c r="AQ386" s="53"/>
      <c r="AR386" s="54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4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</row>
    <row r="387">
      <c r="K387" s="51"/>
      <c r="Y387" s="52"/>
      <c r="Z387" s="51"/>
      <c r="AA387" s="51"/>
      <c r="AK387" s="52"/>
      <c r="AL387" s="52"/>
      <c r="AM387" s="52"/>
      <c r="AN387" s="52"/>
      <c r="AO387" s="52"/>
      <c r="AP387" s="53"/>
      <c r="AQ387" s="53"/>
      <c r="AR387" s="54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4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  <c r="CE387" s="52"/>
      <c r="CF387" s="52"/>
      <c r="CG387" s="52"/>
      <c r="CH387" s="52"/>
    </row>
    <row r="388">
      <c r="K388" s="51"/>
      <c r="Y388" s="52"/>
      <c r="Z388" s="51"/>
      <c r="AA388" s="51"/>
      <c r="AK388" s="52"/>
      <c r="AL388" s="52"/>
      <c r="AM388" s="52"/>
      <c r="AN388" s="52"/>
      <c r="AO388" s="52"/>
      <c r="AP388" s="53"/>
      <c r="AQ388" s="53"/>
      <c r="AR388" s="54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4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</row>
    <row r="389">
      <c r="K389" s="51"/>
      <c r="Y389" s="52"/>
      <c r="Z389" s="51"/>
      <c r="AA389" s="51"/>
      <c r="AK389" s="52"/>
      <c r="AL389" s="52"/>
      <c r="AM389" s="52"/>
      <c r="AN389" s="52"/>
      <c r="AO389" s="52"/>
      <c r="AP389" s="53"/>
      <c r="AQ389" s="53"/>
      <c r="AR389" s="54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4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  <c r="CE389" s="52"/>
      <c r="CF389" s="52"/>
      <c r="CG389" s="52"/>
      <c r="CH389" s="52"/>
    </row>
    <row r="390">
      <c r="K390" s="51"/>
      <c r="Y390" s="52"/>
      <c r="Z390" s="51"/>
      <c r="AA390" s="51"/>
      <c r="AK390" s="52"/>
      <c r="AL390" s="52"/>
      <c r="AM390" s="52"/>
      <c r="AN390" s="52"/>
      <c r="AO390" s="52"/>
      <c r="AP390" s="53"/>
      <c r="AQ390" s="53"/>
      <c r="AR390" s="54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4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</row>
    <row r="391">
      <c r="K391" s="51"/>
      <c r="Y391" s="52"/>
      <c r="Z391" s="51"/>
      <c r="AA391" s="51"/>
      <c r="AK391" s="52"/>
      <c r="AL391" s="52"/>
      <c r="AM391" s="52"/>
      <c r="AN391" s="52"/>
      <c r="AO391" s="52"/>
      <c r="AP391" s="53"/>
      <c r="AQ391" s="53"/>
      <c r="AR391" s="54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4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  <c r="CE391" s="52"/>
      <c r="CF391" s="52"/>
      <c r="CG391" s="52"/>
      <c r="CH391" s="52"/>
    </row>
    <row r="392">
      <c r="K392" s="51"/>
      <c r="Y392" s="52"/>
      <c r="Z392" s="51"/>
      <c r="AA392" s="51"/>
      <c r="AK392" s="52"/>
      <c r="AL392" s="52"/>
      <c r="AM392" s="52"/>
      <c r="AN392" s="52"/>
      <c r="AO392" s="52"/>
      <c r="AP392" s="53"/>
      <c r="AQ392" s="53"/>
      <c r="AR392" s="54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4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</row>
    <row r="393">
      <c r="K393" s="51"/>
      <c r="Y393" s="52"/>
      <c r="Z393" s="51"/>
      <c r="AA393" s="51"/>
      <c r="AK393" s="52"/>
      <c r="AL393" s="52"/>
      <c r="AM393" s="52"/>
      <c r="AN393" s="52"/>
      <c r="AO393" s="52"/>
      <c r="AP393" s="53"/>
      <c r="AQ393" s="53"/>
      <c r="AR393" s="54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4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  <c r="CE393" s="52"/>
      <c r="CF393" s="52"/>
      <c r="CG393" s="52"/>
      <c r="CH393" s="52"/>
    </row>
    <row r="394">
      <c r="K394" s="51"/>
      <c r="Y394" s="52"/>
      <c r="Z394" s="51"/>
      <c r="AA394" s="51"/>
      <c r="AK394" s="52"/>
      <c r="AL394" s="52"/>
      <c r="AM394" s="52"/>
      <c r="AN394" s="52"/>
      <c r="AO394" s="52"/>
      <c r="AP394" s="53"/>
      <c r="AQ394" s="53"/>
      <c r="AR394" s="54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4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</row>
    <row r="395">
      <c r="K395" s="51"/>
      <c r="Y395" s="52"/>
      <c r="Z395" s="51"/>
      <c r="AA395" s="51"/>
      <c r="AK395" s="52"/>
      <c r="AL395" s="52"/>
      <c r="AM395" s="52"/>
      <c r="AN395" s="52"/>
      <c r="AO395" s="52"/>
      <c r="AP395" s="53"/>
      <c r="AQ395" s="53"/>
      <c r="AR395" s="54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4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</row>
    <row r="396">
      <c r="K396" s="51"/>
      <c r="Y396" s="52"/>
      <c r="Z396" s="51"/>
      <c r="AA396" s="51"/>
      <c r="AK396" s="52"/>
      <c r="AL396" s="52"/>
      <c r="AM396" s="52"/>
      <c r="AN396" s="52"/>
      <c r="AO396" s="52"/>
      <c r="AP396" s="53"/>
      <c r="AQ396" s="53"/>
      <c r="AR396" s="54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4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52"/>
      <c r="CF396" s="52"/>
      <c r="CG396" s="52"/>
      <c r="CH396" s="52"/>
    </row>
    <row r="397">
      <c r="K397" s="51"/>
      <c r="Y397" s="52"/>
      <c r="Z397" s="51"/>
      <c r="AA397" s="51"/>
      <c r="AK397" s="52"/>
      <c r="AL397" s="52"/>
      <c r="AM397" s="52"/>
      <c r="AN397" s="52"/>
      <c r="AO397" s="52"/>
      <c r="AP397" s="53"/>
      <c r="AQ397" s="53"/>
      <c r="AR397" s="54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4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  <c r="CE397" s="52"/>
      <c r="CF397" s="52"/>
      <c r="CG397" s="52"/>
      <c r="CH397" s="52"/>
    </row>
    <row r="398">
      <c r="K398" s="51"/>
      <c r="Y398" s="52"/>
      <c r="Z398" s="51"/>
      <c r="AA398" s="51"/>
      <c r="AK398" s="52"/>
      <c r="AL398" s="52"/>
      <c r="AM398" s="52"/>
      <c r="AN398" s="52"/>
      <c r="AO398" s="52"/>
      <c r="AP398" s="53"/>
      <c r="AQ398" s="53"/>
      <c r="AR398" s="54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4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</row>
    <row r="399">
      <c r="K399" s="51"/>
      <c r="Y399" s="52"/>
      <c r="Z399" s="51"/>
      <c r="AA399" s="51"/>
      <c r="AK399" s="52"/>
      <c r="AL399" s="52"/>
      <c r="AM399" s="52"/>
      <c r="AN399" s="52"/>
      <c r="AO399" s="52"/>
      <c r="AP399" s="53"/>
      <c r="AQ399" s="53"/>
      <c r="AR399" s="54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4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52"/>
      <c r="CF399" s="52"/>
      <c r="CG399" s="52"/>
      <c r="CH399" s="52"/>
    </row>
    <row r="400">
      <c r="K400" s="51"/>
      <c r="Y400" s="52"/>
      <c r="Z400" s="51"/>
      <c r="AA400" s="51"/>
      <c r="AK400" s="52"/>
      <c r="AL400" s="52"/>
      <c r="AM400" s="52"/>
      <c r="AN400" s="52"/>
      <c r="AO400" s="52"/>
      <c r="AP400" s="53"/>
      <c r="AQ400" s="53"/>
      <c r="AR400" s="54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4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52"/>
      <c r="CF400" s="52"/>
      <c r="CG400" s="52"/>
      <c r="CH400" s="52"/>
    </row>
    <row r="401">
      <c r="K401" s="51"/>
      <c r="Y401" s="52"/>
      <c r="Z401" s="51"/>
      <c r="AA401" s="51"/>
      <c r="AK401" s="52"/>
      <c r="AL401" s="52"/>
      <c r="AM401" s="52"/>
      <c r="AN401" s="52"/>
      <c r="AO401" s="52"/>
      <c r="AP401" s="53"/>
      <c r="AQ401" s="53"/>
      <c r="AR401" s="54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4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</row>
    <row r="402">
      <c r="K402" s="51"/>
      <c r="Y402" s="52"/>
      <c r="Z402" s="51"/>
      <c r="AA402" s="51"/>
      <c r="AK402" s="52"/>
      <c r="AL402" s="52"/>
      <c r="AM402" s="52"/>
      <c r="AN402" s="52"/>
      <c r="AO402" s="52"/>
      <c r="AP402" s="53"/>
      <c r="AQ402" s="53"/>
      <c r="AR402" s="54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4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52"/>
      <c r="CF402" s="52"/>
      <c r="CG402" s="52"/>
      <c r="CH402" s="52"/>
    </row>
    <row r="403">
      <c r="K403" s="51"/>
      <c r="Y403" s="52"/>
      <c r="Z403" s="51"/>
      <c r="AA403" s="51"/>
      <c r="AK403" s="52"/>
      <c r="AL403" s="52"/>
      <c r="AM403" s="52"/>
      <c r="AN403" s="52"/>
      <c r="AO403" s="52"/>
      <c r="AP403" s="53"/>
      <c r="AQ403" s="53"/>
      <c r="AR403" s="54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4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  <c r="CE403" s="52"/>
      <c r="CF403" s="52"/>
      <c r="CG403" s="52"/>
      <c r="CH403" s="52"/>
    </row>
    <row r="404">
      <c r="K404" s="51"/>
      <c r="Y404" s="52"/>
      <c r="Z404" s="51"/>
      <c r="AA404" s="51"/>
      <c r="AK404" s="52"/>
      <c r="AL404" s="52"/>
      <c r="AM404" s="52"/>
      <c r="AN404" s="52"/>
      <c r="AO404" s="52"/>
      <c r="AP404" s="53"/>
      <c r="AQ404" s="53"/>
      <c r="AR404" s="54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4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</row>
    <row r="405">
      <c r="K405" s="51"/>
      <c r="Y405" s="52"/>
      <c r="Z405" s="51"/>
      <c r="AA405" s="51"/>
      <c r="AK405" s="52"/>
      <c r="AL405" s="52"/>
      <c r="AM405" s="52"/>
      <c r="AN405" s="52"/>
      <c r="AO405" s="52"/>
      <c r="AP405" s="53"/>
      <c r="AQ405" s="53"/>
      <c r="AR405" s="54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4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</row>
    <row r="406">
      <c r="K406" s="51"/>
      <c r="Y406" s="52"/>
      <c r="Z406" s="51"/>
      <c r="AA406" s="51"/>
      <c r="AK406" s="52"/>
      <c r="AL406" s="52"/>
      <c r="AM406" s="52"/>
      <c r="AN406" s="52"/>
      <c r="AO406" s="52"/>
      <c r="AP406" s="53"/>
      <c r="AQ406" s="53"/>
      <c r="AR406" s="54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4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</row>
    <row r="407">
      <c r="K407" s="51"/>
      <c r="Y407" s="52"/>
      <c r="Z407" s="51"/>
      <c r="AA407" s="51"/>
      <c r="AK407" s="52"/>
      <c r="AL407" s="52"/>
      <c r="AM407" s="52"/>
      <c r="AN407" s="52"/>
      <c r="AO407" s="52"/>
      <c r="AP407" s="53"/>
      <c r="AQ407" s="53"/>
      <c r="AR407" s="54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4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</row>
    <row r="408">
      <c r="K408" s="51"/>
      <c r="Y408" s="52"/>
      <c r="Z408" s="51"/>
      <c r="AA408" s="51"/>
      <c r="AK408" s="52"/>
      <c r="AL408" s="52"/>
      <c r="AM408" s="52"/>
      <c r="AN408" s="52"/>
      <c r="AO408" s="52"/>
      <c r="AP408" s="53"/>
      <c r="AQ408" s="53"/>
      <c r="AR408" s="54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4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</row>
    <row r="409">
      <c r="K409" s="51"/>
      <c r="Y409" s="52"/>
      <c r="Z409" s="51"/>
      <c r="AA409" s="51"/>
      <c r="AK409" s="52"/>
      <c r="AL409" s="52"/>
      <c r="AM409" s="52"/>
      <c r="AN409" s="52"/>
      <c r="AO409" s="52"/>
      <c r="AP409" s="53"/>
      <c r="AQ409" s="53"/>
      <c r="AR409" s="54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4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</row>
    <row r="410">
      <c r="K410" s="51"/>
      <c r="Y410" s="52"/>
      <c r="Z410" s="51"/>
      <c r="AA410" s="51"/>
      <c r="AK410" s="52"/>
      <c r="AL410" s="52"/>
      <c r="AM410" s="52"/>
      <c r="AN410" s="52"/>
      <c r="AO410" s="52"/>
      <c r="AP410" s="53"/>
      <c r="AQ410" s="53"/>
      <c r="AR410" s="54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4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</row>
    <row r="411">
      <c r="K411" s="51"/>
      <c r="Y411" s="52"/>
      <c r="Z411" s="51"/>
      <c r="AA411" s="51"/>
      <c r="AK411" s="52"/>
      <c r="AL411" s="52"/>
      <c r="AM411" s="52"/>
      <c r="AN411" s="52"/>
      <c r="AO411" s="52"/>
      <c r="AP411" s="53"/>
      <c r="AQ411" s="53"/>
      <c r="AR411" s="54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4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</row>
    <row r="412">
      <c r="K412" s="51"/>
      <c r="Y412" s="52"/>
      <c r="Z412" s="51"/>
      <c r="AA412" s="51"/>
      <c r="AK412" s="52"/>
      <c r="AL412" s="52"/>
      <c r="AM412" s="52"/>
      <c r="AN412" s="52"/>
      <c r="AO412" s="52"/>
      <c r="AP412" s="53"/>
      <c r="AQ412" s="53"/>
      <c r="AR412" s="54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4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</row>
    <row r="413">
      <c r="K413" s="51"/>
      <c r="Y413" s="52"/>
      <c r="Z413" s="51"/>
      <c r="AA413" s="51"/>
      <c r="AK413" s="52"/>
      <c r="AL413" s="52"/>
      <c r="AM413" s="52"/>
      <c r="AN413" s="52"/>
      <c r="AO413" s="52"/>
      <c r="AP413" s="53"/>
      <c r="AQ413" s="53"/>
      <c r="AR413" s="54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4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</row>
    <row r="414">
      <c r="K414" s="51"/>
      <c r="Y414" s="52"/>
      <c r="Z414" s="51"/>
      <c r="AA414" s="51"/>
      <c r="AK414" s="52"/>
      <c r="AL414" s="52"/>
      <c r="AM414" s="52"/>
      <c r="AN414" s="52"/>
      <c r="AO414" s="52"/>
      <c r="AP414" s="53"/>
      <c r="AQ414" s="53"/>
      <c r="AR414" s="54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4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</row>
    <row r="415">
      <c r="K415" s="51"/>
      <c r="Y415" s="52"/>
      <c r="Z415" s="51"/>
      <c r="AA415" s="51"/>
      <c r="AK415" s="52"/>
      <c r="AL415" s="52"/>
      <c r="AM415" s="52"/>
      <c r="AN415" s="52"/>
      <c r="AO415" s="52"/>
      <c r="AP415" s="53"/>
      <c r="AQ415" s="53"/>
      <c r="AR415" s="54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4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</row>
    <row r="416">
      <c r="K416" s="51"/>
      <c r="Y416" s="52"/>
      <c r="Z416" s="51"/>
      <c r="AA416" s="51"/>
      <c r="AK416" s="52"/>
      <c r="AL416" s="52"/>
      <c r="AM416" s="52"/>
      <c r="AN416" s="52"/>
      <c r="AO416" s="52"/>
      <c r="AP416" s="53"/>
      <c r="AQ416" s="53"/>
      <c r="AR416" s="54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4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</row>
    <row r="417">
      <c r="K417" s="51"/>
      <c r="Y417" s="52"/>
      <c r="Z417" s="51"/>
      <c r="AA417" s="51"/>
      <c r="AK417" s="52"/>
      <c r="AL417" s="52"/>
      <c r="AM417" s="52"/>
      <c r="AN417" s="52"/>
      <c r="AO417" s="52"/>
      <c r="AP417" s="53"/>
      <c r="AQ417" s="53"/>
      <c r="AR417" s="54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4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</row>
    <row r="418">
      <c r="K418" s="51"/>
      <c r="Y418" s="52"/>
      <c r="Z418" s="51"/>
      <c r="AA418" s="51"/>
      <c r="AK418" s="52"/>
      <c r="AL418" s="52"/>
      <c r="AM418" s="52"/>
      <c r="AN418" s="52"/>
      <c r="AO418" s="52"/>
      <c r="AP418" s="53"/>
      <c r="AQ418" s="53"/>
      <c r="AR418" s="54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4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</row>
    <row r="419">
      <c r="K419" s="51"/>
      <c r="Y419" s="52"/>
      <c r="Z419" s="51"/>
      <c r="AA419" s="51"/>
      <c r="AK419" s="52"/>
      <c r="AL419" s="52"/>
      <c r="AM419" s="52"/>
      <c r="AN419" s="52"/>
      <c r="AO419" s="52"/>
      <c r="AP419" s="53"/>
      <c r="AQ419" s="53"/>
      <c r="AR419" s="54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4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</row>
    <row r="420">
      <c r="K420" s="51"/>
      <c r="Y420" s="52"/>
      <c r="Z420" s="51"/>
      <c r="AA420" s="51"/>
      <c r="AK420" s="52"/>
      <c r="AL420" s="52"/>
      <c r="AM420" s="52"/>
      <c r="AN420" s="52"/>
      <c r="AO420" s="52"/>
      <c r="AP420" s="53"/>
      <c r="AQ420" s="53"/>
      <c r="AR420" s="54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4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</row>
    <row r="421">
      <c r="K421" s="51"/>
      <c r="Y421" s="52"/>
      <c r="Z421" s="51"/>
      <c r="AA421" s="51"/>
      <c r="AK421" s="52"/>
      <c r="AL421" s="52"/>
      <c r="AM421" s="52"/>
      <c r="AN421" s="52"/>
      <c r="AO421" s="52"/>
      <c r="AP421" s="53"/>
      <c r="AQ421" s="53"/>
      <c r="AR421" s="54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4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52"/>
      <c r="CF421" s="52"/>
      <c r="CG421" s="52"/>
      <c r="CH421" s="52"/>
    </row>
    <row r="422">
      <c r="K422" s="51"/>
      <c r="Y422" s="52"/>
      <c r="Z422" s="51"/>
      <c r="AA422" s="51"/>
      <c r="AK422" s="52"/>
      <c r="AL422" s="52"/>
      <c r="AM422" s="52"/>
      <c r="AN422" s="52"/>
      <c r="AO422" s="52"/>
      <c r="AP422" s="53"/>
      <c r="AQ422" s="53"/>
      <c r="AR422" s="54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4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</row>
    <row r="423">
      <c r="K423" s="51"/>
      <c r="Y423" s="52"/>
      <c r="Z423" s="51"/>
      <c r="AA423" s="51"/>
      <c r="AK423" s="52"/>
      <c r="AL423" s="52"/>
      <c r="AM423" s="52"/>
      <c r="AN423" s="52"/>
      <c r="AO423" s="52"/>
      <c r="AP423" s="53"/>
      <c r="AQ423" s="53"/>
      <c r="AR423" s="54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4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</row>
    <row r="424">
      <c r="K424" s="51"/>
      <c r="Y424" s="52"/>
      <c r="Z424" s="51"/>
      <c r="AA424" s="51"/>
      <c r="AK424" s="52"/>
      <c r="AL424" s="52"/>
      <c r="AM424" s="52"/>
      <c r="AN424" s="52"/>
      <c r="AO424" s="52"/>
      <c r="AP424" s="53"/>
      <c r="AQ424" s="53"/>
      <c r="AR424" s="54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4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</row>
    <row r="425">
      <c r="K425" s="51"/>
      <c r="Y425" s="52"/>
      <c r="Z425" s="51"/>
      <c r="AA425" s="51"/>
      <c r="AK425" s="52"/>
      <c r="AL425" s="52"/>
      <c r="AM425" s="52"/>
      <c r="AN425" s="52"/>
      <c r="AO425" s="52"/>
      <c r="AP425" s="53"/>
      <c r="AQ425" s="53"/>
      <c r="AR425" s="54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4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52"/>
      <c r="CF425" s="52"/>
      <c r="CG425" s="52"/>
      <c r="CH425" s="52"/>
    </row>
    <row r="426">
      <c r="K426" s="51"/>
      <c r="Y426" s="52"/>
      <c r="Z426" s="51"/>
      <c r="AA426" s="51"/>
      <c r="AK426" s="52"/>
      <c r="AL426" s="52"/>
      <c r="AM426" s="52"/>
      <c r="AN426" s="52"/>
      <c r="AO426" s="52"/>
      <c r="AP426" s="53"/>
      <c r="AQ426" s="53"/>
      <c r="AR426" s="54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4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52"/>
      <c r="CF426" s="52"/>
      <c r="CG426" s="52"/>
      <c r="CH426" s="52"/>
    </row>
    <row r="427">
      <c r="K427" s="51"/>
      <c r="Y427" s="52"/>
      <c r="Z427" s="51"/>
      <c r="AA427" s="51"/>
      <c r="AK427" s="52"/>
      <c r="AL427" s="52"/>
      <c r="AM427" s="52"/>
      <c r="AN427" s="52"/>
      <c r="AO427" s="52"/>
      <c r="AP427" s="53"/>
      <c r="AQ427" s="53"/>
      <c r="AR427" s="54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4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  <c r="CE427" s="52"/>
      <c r="CF427" s="52"/>
      <c r="CG427" s="52"/>
      <c r="CH427" s="52"/>
    </row>
    <row r="428">
      <c r="K428" s="51"/>
      <c r="Y428" s="52"/>
      <c r="Z428" s="51"/>
      <c r="AA428" s="51"/>
      <c r="AK428" s="52"/>
      <c r="AL428" s="52"/>
      <c r="AM428" s="52"/>
      <c r="AN428" s="52"/>
      <c r="AO428" s="52"/>
      <c r="AP428" s="53"/>
      <c r="AQ428" s="53"/>
      <c r="AR428" s="54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4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</row>
    <row r="429">
      <c r="K429" s="51"/>
      <c r="Y429" s="52"/>
      <c r="Z429" s="51"/>
      <c r="AA429" s="51"/>
      <c r="AK429" s="52"/>
      <c r="AL429" s="52"/>
      <c r="AM429" s="52"/>
      <c r="AN429" s="52"/>
      <c r="AO429" s="52"/>
      <c r="AP429" s="53"/>
      <c r="AQ429" s="53"/>
      <c r="AR429" s="54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4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  <c r="CE429" s="52"/>
      <c r="CF429" s="52"/>
      <c r="CG429" s="52"/>
      <c r="CH429" s="52"/>
    </row>
    <row r="430">
      <c r="K430" s="51"/>
      <c r="Y430" s="52"/>
      <c r="Z430" s="51"/>
      <c r="AA430" s="51"/>
      <c r="AK430" s="52"/>
      <c r="AL430" s="52"/>
      <c r="AM430" s="52"/>
      <c r="AN430" s="52"/>
      <c r="AO430" s="52"/>
      <c r="AP430" s="53"/>
      <c r="AQ430" s="53"/>
      <c r="AR430" s="54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4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</row>
    <row r="431">
      <c r="K431" s="51"/>
      <c r="Y431" s="52"/>
      <c r="Z431" s="51"/>
      <c r="AA431" s="51"/>
      <c r="AK431" s="52"/>
      <c r="AL431" s="52"/>
      <c r="AM431" s="52"/>
      <c r="AN431" s="52"/>
      <c r="AO431" s="52"/>
      <c r="AP431" s="53"/>
      <c r="AQ431" s="53"/>
      <c r="AR431" s="54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4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  <c r="CE431" s="52"/>
      <c r="CF431" s="52"/>
      <c r="CG431" s="52"/>
      <c r="CH431" s="52"/>
    </row>
    <row r="432">
      <c r="K432" s="51"/>
      <c r="Y432" s="52"/>
      <c r="Z432" s="51"/>
      <c r="AA432" s="51"/>
      <c r="AK432" s="52"/>
      <c r="AL432" s="52"/>
      <c r="AM432" s="52"/>
      <c r="AN432" s="52"/>
      <c r="AO432" s="52"/>
      <c r="AP432" s="53"/>
      <c r="AQ432" s="53"/>
      <c r="AR432" s="54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4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</row>
    <row r="433">
      <c r="K433" s="51"/>
      <c r="Y433" s="52"/>
      <c r="Z433" s="51"/>
      <c r="AA433" s="51"/>
      <c r="AK433" s="52"/>
      <c r="AL433" s="52"/>
      <c r="AM433" s="52"/>
      <c r="AN433" s="52"/>
      <c r="AO433" s="52"/>
      <c r="AP433" s="53"/>
      <c r="AQ433" s="53"/>
      <c r="AR433" s="54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4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  <c r="CE433" s="52"/>
      <c r="CF433" s="52"/>
      <c r="CG433" s="52"/>
      <c r="CH433" s="52"/>
    </row>
    <row r="434">
      <c r="K434" s="51"/>
      <c r="Y434" s="52"/>
      <c r="Z434" s="51"/>
      <c r="AA434" s="51"/>
      <c r="AK434" s="52"/>
      <c r="AL434" s="52"/>
      <c r="AM434" s="52"/>
      <c r="AN434" s="52"/>
      <c r="AO434" s="52"/>
      <c r="AP434" s="53"/>
      <c r="AQ434" s="53"/>
      <c r="AR434" s="54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4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</row>
    <row r="435">
      <c r="K435" s="51"/>
      <c r="Y435" s="52"/>
      <c r="Z435" s="51"/>
      <c r="AA435" s="51"/>
      <c r="AK435" s="52"/>
      <c r="AL435" s="52"/>
      <c r="AM435" s="52"/>
      <c r="AN435" s="52"/>
      <c r="AO435" s="52"/>
      <c r="AP435" s="53"/>
      <c r="AQ435" s="53"/>
      <c r="AR435" s="54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4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  <c r="CE435" s="52"/>
      <c r="CF435" s="52"/>
      <c r="CG435" s="52"/>
      <c r="CH435" s="52"/>
    </row>
    <row r="436">
      <c r="K436" s="51"/>
      <c r="Y436" s="52"/>
      <c r="Z436" s="51"/>
      <c r="AA436" s="51"/>
      <c r="AK436" s="52"/>
      <c r="AL436" s="52"/>
      <c r="AM436" s="52"/>
      <c r="AN436" s="52"/>
      <c r="AO436" s="52"/>
      <c r="AP436" s="53"/>
      <c r="AQ436" s="53"/>
      <c r="AR436" s="54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4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</row>
    <row r="437">
      <c r="K437" s="51"/>
      <c r="Y437" s="52"/>
      <c r="Z437" s="51"/>
      <c r="AA437" s="51"/>
      <c r="AK437" s="52"/>
      <c r="AL437" s="52"/>
      <c r="AM437" s="52"/>
      <c r="AN437" s="52"/>
      <c r="AO437" s="52"/>
      <c r="AP437" s="53"/>
      <c r="AQ437" s="53"/>
      <c r="AR437" s="54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4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  <c r="CE437" s="52"/>
      <c r="CF437" s="52"/>
      <c r="CG437" s="52"/>
      <c r="CH437" s="52"/>
    </row>
    <row r="438">
      <c r="K438" s="51"/>
      <c r="Y438" s="52"/>
      <c r="Z438" s="51"/>
      <c r="AA438" s="51"/>
      <c r="AK438" s="52"/>
      <c r="AL438" s="52"/>
      <c r="AM438" s="52"/>
      <c r="AN438" s="52"/>
      <c r="AO438" s="52"/>
      <c r="AP438" s="53"/>
      <c r="AQ438" s="53"/>
      <c r="AR438" s="54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4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  <c r="CE438" s="52"/>
      <c r="CF438" s="52"/>
      <c r="CG438" s="52"/>
      <c r="CH438" s="52"/>
    </row>
    <row r="439">
      <c r="K439" s="51"/>
      <c r="Y439" s="52"/>
      <c r="Z439" s="51"/>
      <c r="AA439" s="51"/>
      <c r="AK439" s="52"/>
      <c r="AL439" s="52"/>
      <c r="AM439" s="52"/>
      <c r="AN439" s="52"/>
      <c r="AO439" s="52"/>
      <c r="AP439" s="53"/>
      <c r="AQ439" s="53"/>
      <c r="AR439" s="54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4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  <c r="CE439" s="52"/>
      <c r="CF439" s="52"/>
      <c r="CG439" s="52"/>
      <c r="CH439" s="52"/>
    </row>
    <row r="440">
      <c r="K440" s="51"/>
      <c r="Y440" s="52"/>
      <c r="Z440" s="51"/>
      <c r="AA440" s="51"/>
      <c r="AK440" s="52"/>
      <c r="AL440" s="52"/>
      <c r="AM440" s="52"/>
      <c r="AN440" s="52"/>
      <c r="AO440" s="52"/>
      <c r="AP440" s="53"/>
      <c r="AQ440" s="53"/>
      <c r="AR440" s="54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4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</row>
    <row r="441">
      <c r="K441" s="51"/>
      <c r="Y441" s="52"/>
      <c r="Z441" s="51"/>
      <c r="AA441" s="51"/>
      <c r="AK441" s="52"/>
      <c r="AL441" s="52"/>
      <c r="AM441" s="52"/>
      <c r="AN441" s="52"/>
      <c r="AO441" s="52"/>
      <c r="AP441" s="53"/>
      <c r="AQ441" s="53"/>
      <c r="AR441" s="54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4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  <c r="CE441" s="52"/>
      <c r="CF441" s="52"/>
      <c r="CG441" s="52"/>
      <c r="CH441" s="52"/>
    </row>
    <row r="442">
      <c r="K442" s="51"/>
      <c r="Y442" s="52"/>
      <c r="Z442" s="51"/>
      <c r="AA442" s="51"/>
      <c r="AK442" s="52"/>
      <c r="AL442" s="52"/>
      <c r="AM442" s="52"/>
      <c r="AN442" s="52"/>
      <c r="AO442" s="52"/>
      <c r="AP442" s="53"/>
      <c r="AQ442" s="53"/>
      <c r="AR442" s="54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4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  <c r="CE442" s="52"/>
      <c r="CF442" s="52"/>
      <c r="CG442" s="52"/>
      <c r="CH442" s="52"/>
    </row>
    <row r="443">
      <c r="K443" s="51"/>
      <c r="Y443" s="52"/>
      <c r="Z443" s="51"/>
      <c r="AA443" s="51"/>
      <c r="AK443" s="52"/>
      <c r="AL443" s="52"/>
      <c r="AM443" s="52"/>
      <c r="AN443" s="52"/>
      <c r="AO443" s="52"/>
      <c r="AP443" s="53"/>
      <c r="AQ443" s="53"/>
      <c r="AR443" s="54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4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  <c r="CE443" s="52"/>
      <c r="CF443" s="52"/>
      <c r="CG443" s="52"/>
      <c r="CH443" s="52"/>
    </row>
    <row r="444">
      <c r="K444" s="51"/>
      <c r="Y444" s="52"/>
      <c r="Z444" s="51"/>
      <c r="AA444" s="51"/>
      <c r="AK444" s="52"/>
      <c r="AL444" s="52"/>
      <c r="AM444" s="52"/>
      <c r="AN444" s="52"/>
      <c r="AO444" s="52"/>
      <c r="AP444" s="53"/>
      <c r="AQ444" s="53"/>
      <c r="AR444" s="54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4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  <c r="CE444" s="52"/>
      <c r="CF444" s="52"/>
      <c r="CG444" s="52"/>
      <c r="CH444" s="52"/>
    </row>
    <row r="445">
      <c r="K445" s="51"/>
      <c r="Y445" s="52"/>
      <c r="Z445" s="51"/>
      <c r="AA445" s="51"/>
      <c r="AK445" s="52"/>
      <c r="AL445" s="52"/>
      <c r="AM445" s="52"/>
      <c r="AN445" s="52"/>
      <c r="AO445" s="52"/>
      <c r="AP445" s="53"/>
      <c r="AQ445" s="53"/>
      <c r="AR445" s="54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4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  <c r="CE445" s="52"/>
      <c r="CF445" s="52"/>
      <c r="CG445" s="52"/>
      <c r="CH445" s="52"/>
    </row>
    <row r="446">
      <c r="K446" s="51"/>
      <c r="Y446" s="52"/>
      <c r="Z446" s="51"/>
      <c r="AA446" s="51"/>
      <c r="AK446" s="52"/>
      <c r="AL446" s="52"/>
      <c r="AM446" s="52"/>
      <c r="AN446" s="52"/>
      <c r="AO446" s="52"/>
      <c r="AP446" s="53"/>
      <c r="AQ446" s="53"/>
      <c r="AR446" s="54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4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</row>
    <row r="447">
      <c r="K447" s="51"/>
      <c r="Y447" s="52"/>
      <c r="Z447" s="51"/>
      <c r="AA447" s="51"/>
      <c r="AK447" s="52"/>
      <c r="AL447" s="52"/>
      <c r="AM447" s="52"/>
      <c r="AN447" s="52"/>
      <c r="AO447" s="52"/>
      <c r="AP447" s="53"/>
      <c r="AQ447" s="53"/>
      <c r="AR447" s="54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4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</row>
    <row r="448">
      <c r="K448" s="51"/>
      <c r="Y448" s="52"/>
      <c r="Z448" s="51"/>
      <c r="AA448" s="51"/>
      <c r="AK448" s="52"/>
      <c r="AL448" s="52"/>
      <c r="AM448" s="52"/>
      <c r="AN448" s="52"/>
      <c r="AO448" s="52"/>
      <c r="AP448" s="53"/>
      <c r="AQ448" s="53"/>
      <c r="AR448" s="54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4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52"/>
      <c r="CF448" s="52"/>
      <c r="CG448" s="52"/>
      <c r="CH448" s="52"/>
    </row>
    <row r="449">
      <c r="K449" s="51"/>
      <c r="Y449" s="52"/>
      <c r="Z449" s="51"/>
      <c r="AA449" s="51"/>
      <c r="AK449" s="52"/>
      <c r="AL449" s="52"/>
      <c r="AM449" s="52"/>
      <c r="AN449" s="52"/>
      <c r="AO449" s="52"/>
      <c r="AP449" s="53"/>
      <c r="AQ449" s="53"/>
      <c r="AR449" s="54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4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</row>
    <row r="450">
      <c r="K450" s="51"/>
      <c r="Y450" s="52"/>
      <c r="Z450" s="51"/>
      <c r="AA450" s="51"/>
      <c r="AK450" s="52"/>
      <c r="AL450" s="52"/>
      <c r="AM450" s="52"/>
      <c r="AN450" s="52"/>
      <c r="AO450" s="52"/>
      <c r="AP450" s="53"/>
      <c r="AQ450" s="53"/>
      <c r="AR450" s="54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4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</row>
    <row r="451">
      <c r="K451" s="51"/>
      <c r="Y451" s="52"/>
      <c r="Z451" s="51"/>
      <c r="AA451" s="51"/>
      <c r="AK451" s="52"/>
      <c r="AL451" s="52"/>
      <c r="AM451" s="52"/>
      <c r="AN451" s="52"/>
      <c r="AO451" s="52"/>
      <c r="AP451" s="53"/>
      <c r="AQ451" s="53"/>
      <c r="AR451" s="54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4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</row>
    <row r="452">
      <c r="K452" s="51"/>
      <c r="Y452" s="52"/>
      <c r="Z452" s="51"/>
      <c r="AA452" s="51"/>
      <c r="AK452" s="52"/>
      <c r="AL452" s="52"/>
      <c r="AM452" s="52"/>
      <c r="AN452" s="52"/>
      <c r="AO452" s="52"/>
      <c r="AP452" s="53"/>
      <c r="AQ452" s="53"/>
      <c r="AR452" s="54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4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</row>
    <row r="453">
      <c r="K453" s="51"/>
      <c r="Y453" s="52"/>
      <c r="Z453" s="51"/>
      <c r="AA453" s="51"/>
      <c r="AK453" s="52"/>
      <c r="AL453" s="52"/>
      <c r="AM453" s="52"/>
      <c r="AN453" s="52"/>
      <c r="AO453" s="52"/>
      <c r="AP453" s="53"/>
      <c r="AQ453" s="53"/>
      <c r="AR453" s="54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4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</row>
    <row r="454">
      <c r="K454" s="51"/>
      <c r="Y454" s="52"/>
      <c r="Z454" s="51"/>
      <c r="AA454" s="51"/>
      <c r="AK454" s="52"/>
      <c r="AL454" s="52"/>
      <c r="AM454" s="52"/>
      <c r="AN454" s="52"/>
      <c r="AO454" s="52"/>
      <c r="AP454" s="53"/>
      <c r="AQ454" s="53"/>
      <c r="AR454" s="54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4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</row>
    <row r="455">
      <c r="K455" s="51"/>
      <c r="Y455" s="52"/>
      <c r="Z455" s="51"/>
      <c r="AA455" s="51"/>
      <c r="AK455" s="52"/>
      <c r="AL455" s="52"/>
      <c r="AM455" s="52"/>
      <c r="AN455" s="52"/>
      <c r="AO455" s="52"/>
      <c r="AP455" s="53"/>
      <c r="AQ455" s="53"/>
      <c r="AR455" s="54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4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</row>
    <row r="456">
      <c r="K456" s="51"/>
      <c r="Y456" s="52"/>
      <c r="Z456" s="51"/>
      <c r="AA456" s="51"/>
      <c r="AK456" s="52"/>
      <c r="AL456" s="52"/>
      <c r="AM456" s="52"/>
      <c r="AN456" s="52"/>
      <c r="AO456" s="52"/>
      <c r="AP456" s="53"/>
      <c r="AQ456" s="53"/>
      <c r="AR456" s="54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4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</row>
    <row r="457">
      <c r="K457" s="51"/>
      <c r="Y457" s="52"/>
      <c r="Z457" s="51"/>
      <c r="AA457" s="51"/>
      <c r="AK457" s="52"/>
      <c r="AL457" s="52"/>
      <c r="AM457" s="52"/>
      <c r="AN457" s="52"/>
      <c r="AO457" s="52"/>
      <c r="AP457" s="53"/>
      <c r="AQ457" s="53"/>
      <c r="AR457" s="54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4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</row>
    <row r="458">
      <c r="K458" s="51"/>
      <c r="Y458" s="52"/>
      <c r="Z458" s="51"/>
      <c r="AA458" s="51"/>
      <c r="AK458" s="52"/>
      <c r="AL458" s="52"/>
      <c r="AM458" s="52"/>
      <c r="AN458" s="52"/>
      <c r="AO458" s="52"/>
      <c r="AP458" s="53"/>
      <c r="AQ458" s="53"/>
      <c r="AR458" s="54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4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</row>
    <row r="459">
      <c r="K459" s="51"/>
      <c r="Y459" s="52"/>
      <c r="Z459" s="51"/>
      <c r="AA459" s="51"/>
      <c r="AK459" s="52"/>
      <c r="AL459" s="52"/>
      <c r="AM459" s="52"/>
      <c r="AN459" s="52"/>
      <c r="AO459" s="52"/>
      <c r="AP459" s="53"/>
      <c r="AQ459" s="53"/>
      <c r="AR459" s="54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4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</row>
    <row r="460">
      <c r="K460" s="51"/>
      <c r="Y460" s="52"/>
      <c r="Z460" s="51"/>
      <c r="AA460" s="51"/>
      <c r="AK460" s="52"/>
      <c r="AL460" s="52"/>
      <c r="AM460" s="52"/>
      <c r="AN460" s="52"/>
      <c r="AO460" s="52"/>
      <c r="AP460" s="53"/>
      <c r="AQ460" s="53"/>
      <c r="AR460" s="54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4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52"/>
      <c r="CF460" s="52"/>
      <c r="CG460" s="52"/>
      <c r="CH460" s="52"/>
    </row>
    <row r="461">
      <c r="K461" s="51"/>
      <c r="Y461" s="52"/>
      <c r="Z461" s="51"/>
      <c r="AA461" s="51"/>
      <c r="AK461" s="52"/>
      <c r="AL461" s="52"/>
      <c r="AM461" s="52"/>
      <c r="AN461" s="52"/>
      <c r="AO461" s="52"/>
      <c r="AP461" s="53"/>
      <c r="AQ461" s="53"/>
      <c r="AR461" s="54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4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  <c r="CE461" s="52"/>
      <c r="CF461" s="52"/>
      <c r="CG461" s="52"/>
      <c r="CH461" s="52"/>
    </row>
    <row r="462">
      <c r="K462" s="51"/>
      <c r="Y462" s="52"/>
      <c r="Z462" s="51"/>
      <c r="AA462" s="51"/>
      <c r="AK462" s="52"/>
      <c r="AL462" s="52"/>
      <c r="AM462" s="52"/>
      <c r="AN462" s="52"/>
      <c r="AO462" s="52"/>
      <c r="AP462" s="53"/>
      <c r="AQ462" s="53"/>
      <c r="AR462" s="54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4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52"/>
      <c r="CF462" s="52"/>
      <c r="CG462" s="52"/>
      <c r="CH462" s="52"/>
    </row>
    <row r="463">
      <c r="K463" s="51"/>
      <c r="Y463" s="52"/>
      <c r="Z463" s="51"/>
      <c r="AA463" s="51"/>
      <c r="AK463" s="52"/>
      <c r="AL463" s="52"/>
      <c r="AM463" s="52"/>
      <c r="AN463" s="52"/>
      <c r="AO463" s="52"/>
      <c r="AP463" s="53"/>
      <c r="AQ463" s="53"/>
      <c r="AR463" s="54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4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52"/>
      <c r="CF463" s="52"/>
      <c r="CG463" s="52"/>
      <c r="CH463" s="52"/>
    </row>
    <row r="464">
      <c r="K464" s="51"/>
      <c r="Y464" s="52"/>
      <c r="Z464" s="51"/>
      <c r="AA464" s="51"/>
      <c r="AK464" s="52"/>
      <c r="AL464" s="52"/>
      <c r="AM464" s="52"/>
      <c r="AN464" s="52"/>
      <c r="AO464" s="52"/>
      <c r="AP464" s="53"/>
      <c r="AQ464" s="53"/>
      <c r="AR464" s="54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4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</row>
    <row r="465">
      <c r="K465" s="51"/>
      <c r="Y465" s="52"/>
      <c r="Z465" s="51"/>
      <c r="AA465" s="51"/>
      <c r="AK465" s="52"/>
      <c r="AL465" s="52"/>
      <c r="AM465" s="52"/>
      <c r="AN465" s="52"/>
      <c r="AO465" s="52"/>
      <c r="AP465" s="53"/>
      <c r="AQ465" s="53"/>
      <c r="AR465" s="54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4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52"/>
      <c r="CF465" s="52"/>
      <c r="CG465" s="52"/>
      <c r="CH465" s="52"/>
    </row>
    <row r="466">
      <c r="K466" s="51"/>
      <c r="Y466" s="52"/>
      <c r="Z466" s="51"/>
      <c r="AA466" s="51"/>
      <c r="AK466" s="52"/>
      <c r="AL466" s="52"/>
      <c r="AM466" s="52"/>
      <c r="AN466" s="52"/>
      <c r="AO466" s="52"/>
      <c r="AP466" s="53"/>
      <c r="AQ466" s="53"/>
      <c r="AR466" s="54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4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</row>
    <row r="467">
      <c r="K467" s="51"/>
      <c r="Y467" s="52"/>
      <c r="Z467" s="51"/>
      <c r="AA467" s="51"/>
      <c r="AK467" s="52"/>
      <c r="AL467" s="52"/>
      <c r="AM467" s="52"/>
      <c r="AN467" s="52"/>
      <c r="AO467" s="52"/>
      <c r="AP467" s="53"/>
      <c r="AQ467" s="53"/>
      <c r="AR467" s="54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4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52"/>
      <c r="CF467" s="52"/>
      <c r="CG467" s="52"/>
      <c r="CH467" s="52"/>
    </row>
    <row r="468">
      <c r="K468" s="51"/>
      <c r="Y468" s="52"/>
      <c r="Z468" s="51"/>
      <c r="AA468" s="51"/>
      <c r="AK468" s="52"/>
      <c r="AL468" s="52"/>
      <c r="AM468" s="52"/>
      <c r="AN468" s="52"/>
      <c r="AO468" s="52"/>
      <c r="AP468" s="53"/>
      <c r="AQ468" s="53"/>
      <c r="AR468" s="54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4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52"/>
      <c r="CF468" s="52"/>
      <c r="CG468" s="52"/>
      <c r="CH468" s="52"/>
    </row>
    <row r="469">
      <c r="K469" s="51"/>
      <c r="Y469" s="52"/>
      <c r="Z469" s="51"/>
      <c r="AA469" s="51"/>
      <c r="AK469" s="52"/>
      <c r="AL469" s="52"/>
      <c r="AM469" s="52"/>
      <c r="AN469" s="52"/>
      <c r="AO469" s="52"/>
      <c r="AP469" s="53"/>
      <c r="AQ469" s="53"/>
      <c r="AR469" s="54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4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52"/>
      <c r="CF469" s="52"/>
      <c r="CG469" s="52"/>
      <c r="CH469" s="52"/>
    </row>
    <row r="470">
      <c r="K470" s="51"/>
      <c r="Y470" s="52"/>
      <c r="Z470" s="51"/>
      <c r="AA470" s="51"/>
      <c r="AK470" s="52"/>
      <c r="AL470" s="52"/>
      <c r="AM470" s="52"/>
      <c r="AN470" s="52"/>
      <c r="AO470" s="52"/>
      <c r="AP470" s="53"/>
      <c r="AQ470" s="53"/>
      <c r="AR470" s="54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4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</row>
    <row r="471">
      <c r="K471" s="51"/>
      <c r="Y471" s="52"/>
      <c r="Z471" s="51"/>
      <c r="AA471" s="51"/>
      <c r="AK471" s="52"/>
      <c r="AL471" s="52"/>
      <c r="AM471" s="52"/>
      <c r="AN471" s="52"/>
      <c r="AO471" s="52"/>
      <c r="AP471" s="53"/>
      <c r="AQ471" s="53"/>
      <c r="AR471" s="54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4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52"/>
      <c r="CF471" s="52"/>
      <c r="CG471" s="52"/>
      <c r="CH471" s="52"/>
    </row>
    <row r="472">
      <c r="K472" s="51"/>
      <c r="Y472" s="52"/>
      <c r="Z472" s="51"/>
      <c r="AA472" s="51"/>
      <c r="AK472" s="52"/>
      <c r="AL472" s="52"/>
      <c r="AM472" s="52"/>
      <c r="AN472" s="52"/>
      <c r="AO472" s="52"/>
      <c r="AP472" s="53"/>
      <c r="AQ472" s="53"/>
      <c r="AR472" s="54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4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</row>
    <row r="473">
      <c r="K473" s="51"/>
      <c r="Y473" s="52"/>
      <c r="Z473" s="51"/>
      <c r="AA473" s="51"/>
      <c r="AK473" s="52"/>
      <c r="AL473" s="52"/>
      <c r="AM473" s="52"/>
      <c r="AN473" s="52"/>
      <c r="AO473" s="52"/>
      <c r="AP473" s="53"/>
      <c r="AQ473" s="53"/>
      <c r="AR473" s="54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4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52"/>
      <c r="CF473" s="52"/>
      <c r="CG473" s="52"/>
      <c r="CH473" s="52"/>
    </row>
    <row r="474">
      <c r="K474" s="51"/>
      <c r="Y474" s="52"/>
      <c r="Z474" s="51"/>
      <c r="AA474" s="51"/>
      <c r="AK474" s="52"/>
      <c r="AL474" s="52"/>
      <c r="AM474" s="52"/>
      <c r="AN474" s="52"/>
      <c r="AO474" s="52"/>
      <c r="AP474" s="53"/>
      <c r="AQ474" s="53"/>
      <c r="AR474" s="54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4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</row>
    <row r="475">
      <c r="K475" s="51"/>
      <c r="Y475" s="52"/>
      <c r="Z475" s="51"/>
      <c r="AA475" s="51"/>
      <c r="AK475" s="52"/>
      <c r="AL475" s="52"/>
      <c r="AM475" s="52"/>
      <c r="AN475" s="52"/>
      <c r="AO475" s="52"/>
      <c r="AP475" s="53"/>
      <c r="AQ475" s="53"/>
      <c r="AR475" s="54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4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  <c r="CE475" s="52"/>
      <c r="CF475" s="52"/>
      <c r="CG475" s="52"/>
      <c r="CH475" s="52"/>
    </row>
    <row r="476">
      <c r="K476" s="51"/>
      <c r="Y476" s="52"/>
      <c r="Z476" s="51"/>
      <c r="AA476" s="51"/>
      <c r="AK476" s="52"/>
      <c r="AL476" s="52"/>
      <c r="AM476" s="52"/>
      <c r="AN476" s="52"/>
      <c r="AO476" s="52"/>
      <c r="AP476" s="53"/>
      <c r="AQ476" s="53"/>
      <c r="AR476" s="54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4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</row>
    <row r="477">
      <c r="K477" s="51"/>
      <c r="Y477" s="52"/>
      <c r="Z477" s="51"/>
      <c r="AA477" s="51"/>
      <c r="AK477" s="52"/>
      <c r="AL477" s="52"/>
      <c r="AM477" s="52"/>
      <c r="AN477" s="52"/>
      <c r="AO477" s="52"/>
      <c r="AP477" s="53"/>
      <c r="AQ477" s="53"/>
      <c r="AR477" s="54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4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  <c r="CE477" s="52"/>
      <c r="CF477" s="52"/>
      <c r="CG477" s="52"/>
      <c r="CH477" s="52"/>
    </row>
    <row r="478">
      <c r="K478" s="51"/>
      <c r="Y478" s="52"/>
      <c r="Z478" s="51"/>
      <c r="AA478" s="51"/>
      <c r="AK478" s="52"/>
      <c r="AL478" s="52"/>
      <c r="AM478" s="52"/>
      <c r="AN478" s="52"/>
      <c r="AO478" s="52"/>
      <c r="AP478" s="53"/>
      <c r="AQ478" s="53"/>
      <c r="AR478" s="54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4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52"/>
      <c r="CF478" s="52"/>
      <c r="CG478" s="52"/>
      <c r="CH478" s="52"/>
    </row>
    <row r="479">
      <c r="K479" s="51"/>
      <c r="Y479" s="52"/>
      <c r="Z479" s="51"/>
      <c r="AA479" s="51"/>
      <c r="AK479" s="52"/>
      <c r="AL479" s="52"/>
      <c r="AM479" s="52"/>
      <c r="AN479" s="52"/>
      <c r="AO479" s="52"/>
      <c r="AP479" s="53"/>
      <c r="AQ479" s="53"/>
      <c r="AR479" s="54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4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  <c r="CE479" s="52"/>
      <c r="CF479" s="52"/>
      <c r="CG479" s="52"/>
      <c r="CH479" s="52"/>
    </row>
    <row r="480">
      <c r="K480" s="51"/>
      <c r="Y480" s="52"/>
      <c r="Z480" s="51"/>
      <c r="AA480" s="51"/>
      <c r="AK480" s="52"/>
      <c r="AL480" s="52"/>
      <c r="AM480" s="52"/>
      <c r="AN480" s="52"/>
      <c r="AO480" s="52"/>
      <c r="AP480" s="53"/>
      <c r="AQ480" s="53"/>
      <c r="AR480" s="54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4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  <c r="CE480" s="52"/>
      <c r="CF480" s="52"/>
      <c r="CG480" s="52"/>
      <c r="CH480" s="52"/>
    </row>
    <row r="481">
      <c r="K481" s="51"/>
      <c r="Y481" s="52"/>
      <c r="Z481" s="51"/>
      <c r="AA481" s="51"/>
      <c r="AK481" s="52"/>
      <c r="AL481" s="52"/>
      <c r="AM481" s="52"/>
      <c r="AN481" s="52"/>
      <c r="AO481" s="52"/>
      <c r="AP481" s="53"/>
      <c r="AQ481" s="53"/>
      <c r="AR481" s="54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4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  <c r="CE481" s="52"/>
      <c r="CF481" s="52"/>
      <c r="CG481" s="52"/>
      <c r="CH481" s="52"/>
    </row>
    <row r="482">
      <c r="K482" s="51"/>
      <c r="Y482" s="52"/>
      <c r="Z482" s="51"/>
      <c r="AA482" s="51"/>
      <c r="AK482" s="52"/>
      <c r="AL482" s="52"/>
      <c r="AM482" s="52"/>
      <c r="AN482" s="52"/>
      <c r="AO482" s="52"/>
      <c r="AP482" s="53"/>
      <c r="AQ482" s="53"/>
      <c r="AR482" s="54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4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</row>
    <row r="483">
      <c r="K483" s="51"/>
      <c r="Y483" s="52"/>
      <c r="Z483" s="51"/>
      <c r="AA483" s="51"/>
      <c r="AK483" s="52"/>
      <c r="AL483" s="52"/>
      <c r="AM483" s="52"/>
      <c r="AN483" s="52"/>
      <c r="AO483" s="52"/>
      <c r="AP483" s="53"/>
      <c r="AQ483" s="53"/>
      <c r="AR483" s="54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4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  <c r="CE483" s="52"/>
      <c r="CF483" s="52"/>
      <c r="CG483" s="52"/>
      <c r="CH483" s="52"/>
    </row>
    <row r="484">
      <c r="K484" s="51"/>
      <c r="Y484" s="52"/>
      <c r="Z484" s="51"/>
      <c r="AA484" s="51"/>
      <c r="AK484" s="52"/>
      <c r="AL484" s="52"/>
      <c r="AM484" s="52"/>
      <c r="AN484" s="52"/>
      <c r="AO484" s="52"/>
      <c r="AP484" s="53"/>
      <c r="AQ484" s="53"/>
      <c r="AR484" s="54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4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  <c r="CE484" s="52"/>
      <c r="CF484" s="52"/>
      <c r="CG484" s="52"/>
      <c r="CH484" s="52"/>
    </row>
    <row r="485">
      <c r="K485" s="51"/>
      <c r="Y485" s="52"/>
      <c r="Z485" s="51"/>
      <c r="AA485" s="51"/>
      <c r="AK485" s="52"/>
      <c r="AL485" s="52"/>
      <c r="AM485" s="52"/>
      <c r="AN485" s="52"/>
      <c r="AO485" s="52"/>
      <c r="AP485" s="53"/>
      <c r="AQ485" s="53"/>
      <c r="AR485" s="54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4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  <c r="CE485" s="52"/>
      <c r="CF485" s="52"/>
      <c r="CG485" s="52"/>
      <c r="CH485" s="52"/>
    </row>
    <row r="486">
      <c r="K486" s="51"/>
      <c r="Y486" s="52"/>
      <c r="Z486" s="51"/>
      <c r="AA486" s="51"/>
      <c r="AK486" s="52"/>
      <c r="AL486" s="52"/>
      <c r="AM486" s="52"/>
      <c r="AN486" s="52"/>
      <c r="AO486" s="52"/>
      <c r="AP486" s="53"/>
      <c r="AQ486" s="53"/>
      <c r="AR486" s="54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4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</row>
    <row r="487">
      <c r="K487" s="51"/>
      <c r="Y487" s="52"/>
      <c r="Z487" s="51"/>
      <c r="AA487" s="51"/>
      <c r="AK487" s="52"/>
      <c r="AL487" s="52"/>
      <c r="AM487" s="52"/>
      <c r="AN487" s="52"/>
      <c r="AO487" s="52"/>
      <c r="AP487" s="53"/>
      <c r="AQ487" s="53"/>
      <c r="AR487" s="54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4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</row>
    <row r="488">
      <c r="K488" s="51"/>
      <c r="Y488" s="52"/>
      <c r="Z488" s="51"/>
      <c r="AA488" s="51"/>
      <c r="AK488" s="52"/>
      <c r="AL488" s="52"/>
      <c r="AM488" s="52"/>
      <c r="AN488" s="52"/>
      <c r="AO488" s="52"/>
      <c r="AP488" s="53"/>
      <c r="AQ488" s="53"/>
      <c r="AR488" s="54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4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</row>
    <row r="489">
      <c r="K489" s="51"/>
      <c r="Y489" s="52"/>
      <c r="Z489" s="51"/>
      <c r="AA489" s="51"/>
      <c r="AK489" s="52"/>
      <c r="AL489" s="52"/>
      <c r="AM489" s="52"/>
      <c r="AN489" s="52"/>
      <c r="AO489" s="52"/>
      <c r="AP489" s="53"/>
      <c r="AQ489" s="53"/>
      <c r="AR489" s="54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4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</row>
    <row r="490">
      <c r="K490" s="51"/>
      <c r="Y490" s="52"/>
      <c r="Z490" s="51"/>
      <c r="AA490" s="51"/>
      <c r="AK490" s="52"/>
      <c r="AL490" s="52"/>
      <c r="AM490" s="52"/>
      <c r="AN490" s="52"/>
      <c r="AO490" s="52"/>
      <c r="AP490" s="53"/>
      <c r="AQ490" s="53"/>
      <c r="AR490" s="54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4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</row>
    <row r="491">
      <c r="K491" s="51"/>
      <c r="Y491" s="52"/>
      <c r="Z491" s="51"/>
      <c r="AA491" s="51"/>
      <c r="AK491" s="52"/>
      <c r="AL491" s="52"/>
      <c r="AM491" s="52"/>
      <c r="AN491" s="52"/>
      <c r="AO491" s="52"/>
      <c r="AP491" s="53"/>
      <c r="AQ491" s="53"/>
      <c r="AR491" s="54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4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</row>
    <row r="492">
      <c r="K492" s="51"/>
      <c r="Y492" s="52"/>
      <c r="Z492" s="51"/>
      <c r="AA492" s="51"/>
      <c r="AK492" s="52"/>
      <c r="AL492" s="52"/>
      <c r="AM492" s="52"/>
      <c r="AN492" s="52"/>
      <c r="AO492" s="52"/>
      <c r="AP492" s="53"/>
      <c r="AQ492" s="53"/>
      <c r="AR492" s="54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4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</row>
    <row r="493">
      <c r="K493" s="51"/>
      <c r="Y493" s="52"/>
      <c r="Z493" s="51"/>
      <c r="AA493" s="51"/>
      <c r="AK493" s="52"/>
      <c r="AL493" s="52"/>
      <c r="AM493" s="52"/>
      <c r="AN493" s="52"/>
      <c r="AO493" s="52"/>
      <c r="AP493" s="53"/>
      <c r="AQ493" s="53"/>
      <c r="AR493" s="54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4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</row>
    <row r="494">
      <c r="K494" s="51"/>
      <c r="Y494" s="52"/>
      <c r="Z494" s="51"/>
      <c r="AA494" s="51"/>
      <c r="AK494" s="52"/>
      <c r="AL494" s="52"/>
      <c r="AM494" s="52"/>
      <c r="AN494" s="52"/>
      <c r="AO494" s="52"/>
      <c r="AP494" s="53"/>
      <c r="AQ494" s="53"/>
      <c r="AR494" s="54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4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</row>
    <row r="495">
      <c r="K495" s="51"/>
      <c r="Y495" s="52"/>
      <c r="Z495" s="51"/>
      <c r="AA495" s="51"/>
      <c r="AK495" s="52"/>
      <c r="AL495" s="52"/>
      <c r="AM495" s="52"/>
      <c r="AN495" s="52"/>
      <c r="AO495" s="52"/>
      <c r="AP495" s="53"/>
      <c r="AQ495" s="53"/>
      <c r="AR495" s="54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4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</row>
    <row r="496">
      <c r="K496" s="51"/>
      <c r="Y496" s="52"/>
      <c r="Z496" s="51"/>
      <c r="AA496" s="51"/>
      <c r="AK496" s="52"/>
      <c r="AL496" s="52"/>
      <c r="AM496" s="52"/>
      <c r="AN496" s="52"/>
      <c r="AO496" s="52"/>
      <c r="AP496" s="53"/>
      <c r="AQ496" s="53"/>
      <c r="AR496" s="54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4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</row>
    <row r="497">
      <c r="K497" s="51"/>
      <c r="Y497" s="52"/>
      <c r="Z497" s="51"/>
      <c r="AA497" s="51"/>
      <c r="AK497" s="52"/>
      <c r="AL497" s="52"/>
      <c r="AM497" s="52"/>
      <c r="AN497" s="52"/>
      <c r="AO497" s="52"/>
      <c r="AP497" s="53"/>
      <c r="AQ497" s="53"/>
      <c r="AR497" s="54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4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</row>
    <row r="498">
      <c r="K498" s="51"/>
      <c r="Y498" s="52"/>
      <c r="Z498" s="51"/>
      <c r="AA498" s="51"/>
      <c r="AK498" s="52"/>
      <c r="AL498" s="52"/>
      <c r="AM498" s="52"/>
      <c r="AN498" s="52"/>
      <c r="AO498" s="52"/>
      <c r="AP498" s="53"/>
      <c r="AQ498" s="53"/>
      <c r="AR498" s="54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4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</row>
    <row r="499">
      <c r="K499" s="51"/>
      <c r="Y499" s="52"/>
      <c r="Z499" s="51"/>
      <c r="AA499" s="51"/>
      <c r="AK499" s="52"/>
      <c r="AL499" s="52"/>
      <c r="AM499" s="52"/>
      <c r="AN499" s="52"/>
      <c r="AO499" s="52"/>
      <c r="AP499" s="53"/>
      <c r="AQ499" s="53"/>
      <c r="AR499" s="54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4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</row>
    <row r="500">
      <c r="K500" s="51"/>
      <c r="Y500" s="52"/>
      <c r="Z500" s="51"/>
      <c r="AA500" s="51"/>
      <c r="AK500" s="52"/>
      <c r="AL500" s="52"/>
      <c r="AM500" s="52"/>
      <c r="AN500" s="52"/>
      <c r="AO500" s="52"/>
      <c r="AP500" s="53"/>
      <c r="AQ500" s="53"/>
      <c r="AR500" s="54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4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</row>
    <row r="501">
      <c r="K501" s="51"/>
      <c r="Y501" s="52"/>
      <c r="Z501" s="51"/>
      <c r="AA501" s="51"/>
      <c r="AK501" s="52"/>
      <c r="AL501" s="52"/>
      <c r="AM501" s="52"/>
      <c r="AN501" s="52"/>
      <c r="AO501" s="52"/>
      <c r="AP501" s="53"/>
      <c r="AQ501" s="53"/>
      <c r="AR501" s="54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4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  <c r="CE501" s="52"/>
      <c r="CF501" s="52"/>
      <c r="CG501" s="52"/>
      <c r="CH501" s="52"/>
    </row>
    <row r="502">
      <c r="K502" s="51"/>
      <c r="Y502" s="52"/>
      <c r="Z502" s="51"/>
      <c r="AA502" s="51"/>
      <c r="AK502" s="52"/>
      <c r="AL502" s="52"/>
      <c r="AM502" s="52"/>
      <c r="AN502" s="52"/>
      <c r="AO502" s="52"/>
      <c r="AP502" s="53"/>
      <c r="AQ502" s="53"/>
      <c r="AR502" s="54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4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52"/>
      <c r="CF502" s="52"/>
      <c r="CG502" s="52"/>
      <c r="CH502" s="52"/>
    </row>
    <row r="503">
      <c r="K503" s="51"/>
      <c r="Y503" s="52"/>
      <c r="Z503" s="51"/>
      <c r="AA503" s="51"/>
      <c r="AK503" s="52"/>
      <c r="AL503" s="52"/>
      <c r="AM503" s="52"/>
      <c r="AN503" s="52"/>
      <c r="AO503" s="52"/>
      <c r="AP503" s="53"/>
      <c r="AQ503" s="53"/>
      <c r="AR503" s="54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4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</row>
    <row r="504">
      <c r="K504" s="51"/>
      <c r="Y504" s="52"/>
      <c r="Z504" s="51"/>
      <c r="AA504" s="51"/>
      <c r="AK504" s="52"/>
      <c r="AL504" s="52"/>
      <c r="AM504" s="52"/>
      <c r="AN504" s="52"/>
      <c r="AO504" s="52"/>
      <c r="AP504" s="53"/>
      <c r="AQ504" s="53"/>
      <c r="AR504" s="54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4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</row>
    <row r="505">
      <c r="K505" s="51"/>
      <c r="Y505" s="52"/>
      <c r="Z505" s="51"/>
      <c r="AA505" s="51"/>
      <c r="AK505" s="52"/>
      <c r="AL505" s="52"/>
      <c r="AM505" s="52"/>
      <c r="AN505" s="52"/>
      <c r="AO505" s="52"/>
      <c r="AP505" s="53"/>
      <c r="AQ505" s="53"/>
      <c r="AR505" s="54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4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52"/>
      <c r="CF505" s="52"/>
      <c r="CG505" s="52"/>
      <c r="CH505" s="52"/>
    </row>
    <row r="506">
      <c r="K506" s="51"/>
      <c r="Y506" s="52"/>
      <c r="Z506" s="51"/>
      <c r="AA506" s="51"/>
      <c r="AK506" s="52"/>
      <c r="AL506" s="52"/>
      <c r="AM506" s="52"/>
      <c r="AN506" s="52"/>
      <c r="AO506" s="52"/>
      <c r="AP506" s="53"/>
      <c r="AQ506" s="53"/>
      <c r="AR506" s="54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4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</row>
    <row r="507">
      <c r="K507" s="51"/>
      <c r="Y507" s="52"/>
      <c r="Z507" s="51"/>
      <c r="AA507" s="51"/>
      <c r="AK507" s="52"/>
      <c r="AL507" s="52"/>
      <c r="AM507" s="52"/>
      <c r="AN507" s="52"/>
      <c r="AO507" s="52"/>
      <c r="AP507" s="53"/>
      <c r="AQ507" s="53"/>
      <c r="AR507" s="54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4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  <c r="CE507" s="52"/>
      <c r="CF507" s="52"/>
      <c r="CG507" s="52"/>
      <c r="CH507" s="52"/>
    </row>
    <row r="508">
      <c r="K508" s="51"/>
      <c r="Y508" s="52"/>
      <c r="Z508" s="51"/>
      <c r="AA508" s="51"/>
      <c r="AK508" s="52"/>
      <c r="AL508" s="52"/>
      <c r="AM508" s="52"/>
      <c r="AN508" s="52"/>
      <c r="AO508" s="52"/>
      <c r="AP508" s="53"/>
      <c r="AQ508" s="53"/>
      <c r="AR508" s="54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4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  <c r="CE508" s="52"/>
      <c r="CF508" s="52"/>
      <c r="CG508" s="52"/>
      <c r="CH508" s="52"/>
    </row>
    <row r="509">
      <c r="K509" s="51"/>
      <c r="Y509" s="52"/>
      <c r="Z509" s="51"/>
      <c r="AA509" s="51"/>
      <c r="AK509" s="52"/>
      <c r="AL509" s="52"/>
      <c r="AM509" s="52"/>
      <c r="AN509" s="52"/>
      <c r="AO509" s="52"/>
      <c r="AP509" s="53"/>
      <c r="AQ509" s="53"/>
      <c r="AR509" s="54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4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52"/>
      <c r="CF509" s="52"/>
      <c r="CG509" s="52"/>
      <c r="CH509" s="52"/>
    </row>
    <row r="510">
      <c r="K510" s="51"/>
      <c r="Y510" s="52"/>
      <c r="Z510" s="51"/>
      <c r="AA510" s="51"/>
      <c r="AK510" s="52"/>
      <c r="AL510" s="52"/>
      <c r="AM510" s="52"/>
      <c r="AN510" s="52"/>
      <c r="AO510" s="52"/>
      <c r="AP510" s="53"/>
      <c r="AQ510" s="53"/>
      <c r="AR510" s="54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4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52"/>
      <c r="CF510" s="52"/>
      <c r="CG510" s="52"/>
      <c r="CH510" s="52"/>
    </row>
    <row r="511">
      <c r="K511" s="51"/>
      <c r="Y511" s="52"/>
      <c r="Z511" s="51"/>
      <c r="AA511" s="51"/>
      <c r="AK511" s="52"/>
      <c r="AL511" s="52"/>
      <c r="AM511" s="52"/>
      <c r="AN511" s="52"/>
      <c r="AO511" s="52"/>
      <c r="AP511" s="53"/>
      <c r="AQ511" s="53"/>
      <c r="AR511" s="54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4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  <c r="CE511" s="52"/>
      <c r="CF511" s="52"/>
      <c r="CG511" s="52"/>
      <c r="CH511" s="52"/>
    </row>
    <row r="512">
      <c r="K512" s="51"/>
      <c r="Y512" s="52"/>
      <c r="Z512" s="51"/>
      <c r="AA512" s="51"/>
      <c r="AK512" s="52"/>
      <c r="AL512" s="52"/>
      <c r="AM512" s="52"/>
      <c r="AN512" s="52"/>
      <c r="AO512" s="52"/>
      <c r="AP512" s="53"/>
      <c r="AQ512" s="53"/>
      <c r="AR512" s="54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4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</row>
    <row r="513">
      <c r="K513" s="51"/>
      <c r="Y513" s="52"/>
      <c r="Z513" s="51"/>
      <c r="AA513" s="51"/>
      <c r="AK513" s="52"/>
      <c r="AL513" s="52"/>
      <c r="AM513" s="52"/>
      <c r="AN513" s="52"/>
      <c r="AO513" s="52"/>
      <c r="AP513" s="53"/>
      <c r="AQ513" s="53"/>
      <c r="AR513" s="54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4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52"/>
      <c r="CF513" s="52"/>
      <c r="CG513" s="52"/>
      <c r="CH513" s="52"/>
    </row>
    <row r="514">
      <c r="K514" s="51"/>
      <c r="Y514" s="52"/>
      <c r="Z514" s="51"/>
      <c r="AA514" s="51"/>
      <c r="AK514" s="52"/>
      <c r="AL514" s="52"/>
      <c r="AM514" s="52"/>
      <c r="AN514" s="52"/>
      <c r="AO514" s="52"/>
      <c r="AP514" s="53"/>
      <c r="AQ514" s="53"/>
      <c r="AR514" s="54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4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  <c r="CE514" s="52"/>
      <c r="CF514" s="52"/>
      <c r="CG514" s="52"/>
      <c r="CH514" s="52"/>
    </row>
    <row r="515">
      <c r="K515" s="51"/>
      <c r="Y515" s="52"/>
      <c r="Z515" s="51"/>
      <c r="AA515" s="51"/>
      <c r="AK515" s="52"/>
      <c r="AL515" s="52"/>
      <c r="AM515" s="52"/>
      <c r="AN515" s="52"/>
      <c r="AO515" s="52"/>
      <c r="AP515" s="53"/>
      <c r="AQ515" s="53"/>
      <c r="AR515" s="54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4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52"/>
      <c r="CF515" s="52"/>
      <c r="CG515" s="52"/>
      <c r="CH515" s="52"/>
    </row>
    <row r="516">
      <c r="K516" s="51"/>
      <c r="Y516" s="52"/>
      <c r="Z516" s="51"/>
      <c r="AA516" s="51"/>
      <c r="AK516" s="52"/>
      <c r="AL516" s="52"/>
      <c r="AM516" s="52"/>
      <c r="AN516" s="52"/>
      <c r="AO516" s="52"/>
      <c r="AP516" s="53"/>
      <c r="AQ516" s="53"/>
      <c r="AR516" s="54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4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  <c r="CE516" s="52"/>
      <c r="CF516" s="52"/>
      <c r="CG516" s="52"/>
      <c r="CH516" s="52"/>
    </row>
    <row r="517">
      <c r="K517" s="51"/>
      <c r="Y517" s="52"/>
      <c r="Z517" s="51"/>
      <c r="AA517" s="51"/>
      <c r="AK517" s="52"/>
      <c r="AL517" s="52"/>
      <c r="AM517" s="52"/>
      <c r="AN517" s="52"/>
      <c r="AO517" s="52"/>
      <c r="AP517" s="53"/>
      <c r="AQ517" s="53"/>
      <c r="AR517" s="54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4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  <c r="CE517" s="52"/>
      <c r="CF517" s="52"/>
      <c r="CG517" s="52"/>
      <c r="CH517" s="52"/>
    </row>
    <row r="518">
      <c r="K518" s="51"/>
      <c r="Y518" s="52"/>
      <c r="Z518" s="51"/>
      <c r="AA518" s="51"/>
      <c r="AK518" s="52"/>
      <c r="AL518" s="52"/>
      <c r="AM518" s="52"/>
      <c r="AN518" s="52"/>
      <c r="AO518" s="52"/>
      <c r="AP518" s="53"/>
      <c r="AQ518" s="53"/>
      <c r="AR518" s="54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4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52"/>
      <c r="CF518" s="52"/>
      <c r="CG518" s="52"/>
      <c r="CH518" s="52"/>
    </row>
    <row r="519">
      <c r="K519" s="51"/>
      <c r="Y519" s="52"/>
      <c r="Z519" s="51"/>
      <c r="AA519" s="51"/>
      <c r="AK519" s="52"/>
      <c r="AL519" s="52"/>
      <c r="AM519" s="52"/>
      <c r="AN519" s="52"/>
      <c r="AO519" s="52"/>
      <c r="AP519" s="53"/>
      <c r="AQ519" s="53"/>
      <c r="AR519" s="54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4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  <c r="CE519" s="52"/>
      <c r="CF519" s="52"/>
      <c r="CG519" s="52"/>
      <c r="CH519" s="52"/>
    </row>
    <row r="520">
      <c r="K520" s="51"/>
      <c r="Y520" s="52"/>
      <c r="Z520" s="51"/>
      <c r="AA520" s="51"/>
      <c r="AK520" s="52"/>
      <c r="AL520" s="52"/>
      <c r="AM520" s="52"/>
      <c r="AN520" s="52"/>
      <c r="AO520" s="52"/>
      <c r="AP520" s="53"/>
      <c r="AQ520" s="53"/>
      <c r="AR520" s="54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4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  <c r="CE520" s="52"/>
      <c r="CF520" s="52"/>
      <c r="CG520" s="52"/>
      <c r="CH520" s="52"/>
    </row>
    <row r="521">
      <c r="K521" s="51"/>
      <c r="Y521" s="52"/>
      <c r="Z521" s="51"/>
      <c r="AA521" s="51"/>
      <c r="AK521" s="52"/>
      <c r="AL521" s="52"/>
      <c r="AM521" s="52"/>
      <c r="AN521" s="52"/>
      <c r="AO521" s="52"/>
      <c r="AP521" s="53"/>
      <c r="AQ521" s="53"/>
      <c r="AR521" s="54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4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52"/>
      <c r="CF521" s="52"/>
      <c r="CG521" s="52"/>
      <c r="CH521" s="52"/>
    </row>
    <row r="522">
      <c r="K522" s="51"/>
      <c r="Y522" s="52"/>
      <c r="Z522" s="51"/>
      <c r="AA522" s="51"/>
      <c r="AK522" s="52"/>
      <c r="AL522" s="52"/>
      <c r="AM522" s="52"/>
      <c r="AN522" s="52"/>
      <c r="AO522" s="52"/>
      <c r="AP522" s="53"/>
      <c r="AQ522" s="53"/>
      <c r="AR522" s="54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4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  <c r="CE522" s="52"/>
      <c r="CF522" s="52"/>
      <c r="CG522" s="52"/>
      <c r="CH522" s="52"/>
    </row>
    <row r="523">
      <c r="K523" s="51"/>
      <c r="Y523" s="52"/>
      <c r="Z523" s="51"/>
      <c r="AA523" s="51"/>
      <c r="AK523" s="52"/>
      <c r="AL523" s="52"/>
      <c r="AM523" s="52"/>
      <c r="AN523" s="52"/>
      <c r="AO523" s="52"/>
      <c r="AP523" s="53"/>
      <c r="AQ523" s="53"/>
      <c r="AR523" s="54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4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  <c r="CE523" s="52"/>
      <c r="CF523" s="52"/>
      <c r="CG523" s="52"/>
      <c r="CH523" s="52"/>
    </row>
    <row r="524">
      <c r="K524" s="51"/>
      <c r="Y524" s="52"/>
      <c r="Z524" s="51"/>
      <c r="AA524" s="51"/>
      <c r="AK524" s="52"/>
      <c r="AL524" s="52"/>
      <c r="AM524" s="52"/>
      <c r="AN524" s="52"/>
      <c r="AO524" s="52"/>
      <c r="AP524" s="53"/>
      <c r="AQ524" s="53"/>
      <c r="AR524" s="54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4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52"/>
      <c r="CF524" s="52"/>
      <c r="CG524" s="52"/>
      <c r="CH524" s="52"/>
    </row>
    <row r="525">
      <c r="K525" s="51"/>
      <c r="Y525" s="52"/>
      <c r="Z525" s="51"/>
      <c r="AA525" s="51"/>
      <c r="AK525" s="52"/>
      <c r="AL525" s="52"/>
      <c r="AM525" s="52"/>
      <c r="AN525" s="52"/>
      <c r="AO525" s="52"/>
      <c r="AP525" s="53"/>
      <c r="AQ525" s="53"/>
      <c r="AR525" s="54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4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  <c r="CE525" s="52"/>
      <c r="CF525" s="52"/>
      <c r="CG525" s="52"/>
      <c r="CH525" s="52"/>
    </row>
    <row r="526">
      <c r="K526" s="51"/>
      <c r="Y526" s="52"/>
      <c r="Z526" s="51"/>
      <c r="AA526" s="51"/>
      <c r="AK526" s="52"/>
      <c r="AL526" s="52"/>
      <c r="AM526" s="52"/>
      <c r="AN526" s="52"/>
      <c r="AO526" s="52"/>
      <c r="AP526" s="53"/>
      <c r="AQ526" s="53"/>
      <c r="AR526" s="54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4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</row>
    <row r="527">
      <c r="K527" s="51"/>
      <c r="Y527" s="52"/>
      <c r="Z527" s="51"/>
      <c r="AA527" s="51"/>
      <c r="AK527" s="52"/>
      <c r="AL527" s="52"/>
      <c r="AM527" s="52"/>
      <c r="AN527" s="52"/>
      <c r="AO527" s="52"/>
      <c r="AP527" s="53"/>
      <c r="AQ527" s="53"/>
      <c r="AR527" s="54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4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</row>
    <row r="528">
      <c r="K528" s="51"/>
      <c r="Y528" s="52"/>
      <c r="Z528" s="51"/>
      <c r="AA528" s="51"/>
      <c r="AK528" s="52"/>
      <c r="AL528" s="52"/>
      <c r="AM528" s="52"/>
      <c r="AN528" s="52"/>
      <c r="AO528" s="52"/>
      <c r="AP528" s="53"/>
      <c r="AQ528" s="53"/>
      <c r="AR528" s="54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4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  <c r="CE528" s="52"/>
      <c r="CF528" s="52"/>
      <c r="CG528" s="52"/>
      <c r="CH528" s="52"/>
    </row>
    <row r="529">
      <c r="K529" s="51"/>
      <c r="Y529" s="52"/>
      <c r="Z529" s="51"/>
      <c r="AA529" s="51"/>
      <c r="AK529" s="52"/>
      <c r="AL529" s="52"/>
      <c r="AM529" s="52"/>
      <c r="AN529" s="52"/>
      <c r="AO529" s="52"/>
      <c r="AP529" s="53"/>
      <c r="AQ529" s="53"/>
      <c r="AR529" s="54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4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</row>
    <row r="530">
      <c r="K530" s="51"/>
      <c r="Y530" s="52"/>
      <c r="Z530" s="51"/>
      <c r="AA530" s="51"/>
      <c r="AK530" s="52"/>
      <c r="AL530" s="52"/>
      <c r="AM530" s="52"/>
      <c r="AN530" s="52"/>
      <c r="AO530" s="52"/>
      <c r="AP530" s="53"/>
      <c r="AQ530" s="53"/>
      <c r="AR530" s="54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4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</row>
    <row r="531">
      <c r="K531" s="51"/>
      <c r="Y531" s="52"/>
      <c r="Z531" s="51"/>
      <c r="AA531" s="51"/>
      <c r="AK531" s="52"/>
      <c r="AL531" s="52"/>
      <c r="AM531" s="52"/>
      <c r="AN531" s="52"/>
      <c r="AO531" s="52"/>
      <c r="AP531" s="53"/>
      <c r="AQ531" s="53"/>
      <c r="AR531" s="54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4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</row>
    <row r="532">
      <c r="K532" s="51"/>
      <c r="Y532" s="52"/>
      <c r="Z532" s="51"/>
      <c r="AA532" s="51"/>
      <c r="AK532" s="52"/>
      <c r="AL532" s="52"/>
      <c r="AM532" s="52"/>
      <c r="AN532" s="52"/>
      <c r="AO532" s="52"/>
      <c r="AP532" s="53"/>
      <c r="AQ532" s="53"/>
      <c r="AR532" s="54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4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</row>
    <row r="533">
      <c r="K533" s="51"/>
      <c r="Y533" s="52"/>
      <c r="Z533" s="51"/>
      <c r="AA533" s="51"/>
      <c r="AK533" s="52"/>
      <c r="AL533" s="52"/>
      <c r="AM533" s="52"/>
      <c r="AN533" s="52"/>
      <c r="AO533" s="52"/>
      <c r="AP533" s="53"/>
      <c r="AQ533" s="53"/>
      <c r="AR533" s="54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4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</row>
    <row r="534">
      <c r="K534" s="51"/>
      <c r="Y534" s="52"/>
      <c r="Z534" s="51"/>
      <c r="AA534" s="51"/>
      <c r="AK534" s="52"/>
      <c r="AL534" s="52"/>
      <c r="AM534" s="52"/>
      <c r="AN534" s="52"/>
      <c r="AO534" s="52"/>
      <c r="AP534" s="53"/>
      <c r="AQ534" s="53"/>
      <c r="AR534" s="54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4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</row>
    <row r="535">
      <c r="K535" s="51"/>
      <c r="Y535" s="52"/>
      <c r="Z535" s="51"/>
      <c r="AA535" s="51"/>
      <c r="AK535" s="52"/>
      <c r="AL535" s="52"/>
      <c r="AM535" s="52"/>
      <c r="AN535" s="52"/>
      <c r="AO535" s="52"/>
      <c r="AP535" s="53"/>
      <c r="AQ535" s="53"/>
      <c r="AR535" s="54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4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</row>
    <row r="536">
      <c r="K536" s="51"/>
      <c r="Y536" s="52"/>
      <c r="Z536" s="51"/>
      <c r="AA536" s="51"/>
      <c r="AK536" s="52"/>
      <c r="AL536" s="52"/>
      <c r="AM536" s="52"/>
      <c r="AN536" s="52"/>
      <c r="AO536" s="52"/>
      <c r="AP536" s="53"/>
      <c r="AQ536" s="53"/>
      <c r="AR536" s="54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4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</row>
    <row r="537">
      <c r="K537" s="51"/>
      <c r="Y537" s="52"/>
      <c r="Z537" s="51"/>
      <c r="AA537" s="51"/>
      <c r="AK537" s="52"/>
      <c r="AL537" s="52"/>
      <c r="AM537" s="52"/>
      <c r="AN537" s="52"/>
      <c r="AO537" s="52"/>
      <c r="AP537" s="53"/>
      <c r="AQ537" s="53"/>
      <c r="AR537" s="54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4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</row>
    <row r="538">
      <c r="K538" s="51"/>
      <c r="Y538" s="52"/>
      <c r="Z538" s="51"/>
      <c r="AA538" s="51"/>
      <c r="AK538" s="52"/>
      <c r="AL538" s="52"/>
      <c r="AM538" s="52"/>
      <c r="AN538" s="52"/>
      <c r="AO538" s="52"/>
      <c r="AP538" s="53"/>
      <c r="AQ538" s="53"/>
      <c r="AR538" s="54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4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</row>
    <row r="539">
      <c r="K539" s="51"/>
      <c r="Y539" s="52"/>
      <c r="Z539" s="51"/>
      <c r="AA539" s="51"/>
      <c r="AK539" s="52"/>
      <c r="AL539" s="52"/>
      <c r="AM539" s="52"/>
      <c r="AN539" s="52"/>
      <c r="AO539" s="52"/>
      <c r="AP539" s="53"/>
      <c r="AQ539" s="53"/>
      <c r="AR539" s="54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4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</row>
    <row r="540">
      <c r="K540" s="51"/>
      <c r="Y540" s="52"/>
      <c r="Z540" s="51"/>
      <c r="AA540" s="51"/>
      <c r="AK540" s="52"/>
      <c r="AL540" s="52"/>
      <c r="AM540" s="52"/>
      <c r="AN540" s="52"/>
      <c r="AO540" s="52"/>
      <c r="AP540" s="53"/>
      <c r="AQ540" s="53"/>
      <c r="AR540" s="54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4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  <c r="CE540" s="52"/>
      <c r="CF540" s="52"/>
      <c r="CG540" s="52"/>
      <c r="CH540" s="52"/>
    </row>
    <row r="541">
      <c r="K541" s="51"/>
      <c r="Y541" s="52"/>
      <c r="Z541" s="51"/>
      <c r="AA541" s="51"/>
      <c r="AK541" s="52"/>
      <c r="AL541" s="52"/>
      <c r="AM541" s="52"/>
      <c r="AN541" s="52"/>
      <c r="AO541" s="52"/>
      <c r="AP541" s="53"/>
      <c r="AQ541" s="53"/>
      <c r="AR541" s="54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4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  <c r="CE541" s="52"/>
      <c r="CF541" s="52"/>
      <c r="CG541" s="52"/>
      <c r="CH541" s="52"/>
    </row>
    <row r="542">
      <c r="K542" s="51"/>
      <c r="Y542" s="52"/>
      <c r="Z542" s="51"/>
      <c r="AA542" s="51"/>
      <c r="AK542" s="52"/>
      <c r="AL542" s="52"/>
      <c r="AM542" s="52"/>
      <c r="AN542" s="52"/>
      <c r="AO542" s="52"/>
      <c r="AP542" s="53"/>
      <c r="AQ542" s="53"/>
      <c r="AR542" s="54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4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</row>
    <row r="543">
      <c r="K543" s="51"/>
      <c r="Y543" s="52"/>
      <c r="Z543" s="51"/>
      <c r="AA543" s="51"/>
      <c r="AK543" s="52"/>
      <c r="AL543" s="52"/>
      <c r="AM543" s="52"/>
      <c r="AN543" s="52"/>
      <c r="AO543" s="52"/>
      <c r="AP543" s="53"/>
      <c r="AQ543" s="53"/>
      <c r="AR543" s="54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4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  <c r="CE543" s="52"/>
      <c r="CF543" s="52"/>
      <c r="CG543" s="52"/>
      <c r="CH543" s="52"/>
    </row>
    <row r="544">
      <c r="K544" s="51"/>
      <c r="Y544" s="52"/>
      <c r="Z544" s="51"/>
      <c r="AA544" s="51"/>
      <c r="AK544" s="52"/>
      <c r="AL544" s="52"/>
      <c r="AM544" s="52"/>
      <c r="AN544" s="52"/>
      <c r="AO544" s="52"/>
      <c r="AP544" s="53"/>
      <c r="AQ544" s="53"/>
      <c r="AR544" s="54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4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  <c r="CE544" s="52"/>
      <c r="CF544" s="52"/>
      <c r="CG544" s="52"/>
      <c r="CH544" s="52"/>
    </row>
    <row r="545">
      <c r="K545" s="51"/>
      <c r="Y545" s="52"/>
      <c r="Z545" s="51"/>
      <c r="AA545" s="51"/>
      <c r="AK545" s="52"/>
      <c r="AL545" s="52"/>
      <c r="AM545" s="52"/>
      <c r="AN545" s="52"/>
      <c r="AO545" s="52"/>
      <c r="AP545" s="53"/>
      <c r="AQ545" s="53"/>
      <c r="AR545" s="54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4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  <c r="CE545" s="52"/>
      <c r="CF545" s="52"/>
      <c r="CG545" s="52"/>
      <c r="CH545" s="52"/>
    </row>
    <row r="546">
      <c r="K546" s="51"/>
      <c r="Y546" s="52"/>
      <c r="Z546" s="51"/>
      <c r="AA546" s="51"/>
      <c r="AK546" s="52"/>
      <c r="AL546" s="52"/>
      <c r="AM546" s="52"/>
      <c r="AN546" s="52"/>
      <c r="AO546" s="52"/>
      <c r="AP546" s="53"/>
      <c r="AQ546" s="53"/>
      <c r="AR546" s="54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4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  <c r="CE546" s="52"/>
      <c r="CF546" s="52"/>
      <c r="CG546" s="52"/>
      <c r="CH546" s="52"/>
    </row>
    <row r="547">
      <c r="K547" s="51"/>
      <c r="Y547" s="52"/>
      <c r="Z547" s="51"/>
      <c r="AA547" s="51"/>
      <c r="AK547" s="52"/>
      <c r="AL547" s="52"/>
      <c r="AM547" s="52"/>
      <c r="AN547" s="52"/>
      <c r="AO547" s="52"/>
      <c r="AP547" s="53"/>
      <c r="AQ547" s="53"/>
      <c r="AR547" s="54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4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  <c r="CE547" s="52"/>
      <c r="CF547" s="52"/>
      <c r="CG547" s="52"/>
      <c r="CH547" s="52"/>
    </row>
    <row r="548">
      <c r="K548" s="51"/>
      <c r="Y548" s="52"/>
      <c r="Z548" s="51"/>
      <c r="AA548" s="51"/>
      <c r="AK548" s="52"/>
      <c r="AL548" s="52"/>
      <c r="AM548" s="52"/>
      <c r="AN548" s="52"/>
      <c r="AO548" s="52"/>
      <c r="AP548" s="53"/>
      <c r="AQ548" s="53"/>
      <c r="AR548" s="54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4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52"/>
      <c r="CF548" s="52"/>
      <c r="CG548" s="52"/>
      <c r="CH548" s="52"/>
    </row>
    <row r="549">
      <c r="K549" s="51"/>
      <c r="Y549" s="52"/>
      <c r="Z549" s="51"/>
      <c r="AA549" s="51"/>
      <c r="AK549" s="52"/>
      <c r="AL549" s="52"/>
      <c r="AM549" s="52"/>
      <c r="AN549" s="52"/>
      <c r="AO549" s="52"/>
      <c r="AP549" s="53"/>
      <c r="AQ549" s="53"/>
      <c r="AR549" s="54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4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  <c r="CE549" s="52"/>
      <c r="CF549" s="52"/>
      <c r="CG549" s="52"/>
      <c r="CH549" s="52"/>
    </row>
    <row r="550">
      <c r="K550" s="51"/>
      <c r="Y550" s="52"/>
      <c r="Z550" s="51"/>
      <c r="AA550" s="51"/>
      <c r="AK550" s="52"/>
      <c r="AL550" s="52"/>
      <c r="AM550" s="52"/>
      <c r="AN550" s="52"/>
      <c r="AO550" s="52"/>
      <c r="AP550" s="53"/>
      <c r="AQ550" s="53"/>
      <c r="AR550" s="54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4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  <c r="CE550" s="52"/>
      <c r="CF550" s="52"/>
      <c r="CG550" s="52"/>
      <c r="CH550" s="52"/>
    </row>
    <row r="551">
      <c r="K551" s="51"/>
      <c r="Y551" s="52"/>
      <c r="Z551" s="51"/>
      <c r="AA551" s="51"/>
      <c r="AK551" s="52"/>
      <c r="AL551" s="52"/>
      <c r="AM551" s="52"/>
      <c r="AN551" s="52"/>
      <c r="AO551" s="52"/>
      <c r="AP551" s="53"/>
      <c r="AQ551" s="53"/>
      <c r="AR551" s="54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4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52"/>
      <c r="CF551" s="52"/>
      <c r="CG551" s="52"/>
      <c r="CH551" s="52"/>
    </row>
    <row r="552">
      <c r="K552" s="51"/>
      <c r="Y552" s="52"/>
      <c r="Z552" s="51"/>
      <c r="AA552" s="51"/>
      <c r="AK552" s="52"/>
      <c r="AL552" s="52"/>
      <c r="AM552" s="52"/>
      <c r="AN552" s="52"/>
      <c r="AO552" s="52"/>
      <c r="AP552" s="53"/>
      <c r="AQ552" s="53"/>
      <c r="AR552" s="54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4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  <c r="CE552" s="52"/>
      <c r="CF552" s="52"/>
      <c r="CG552" s="52"/>
      <c r="CH552" s="52"/>
    </row>
    <row r="553">
      <c r="K553" s="51"/>
      <c r="Y553" s="52"/>
      <c r="Z553" s="51"/>
      <c r="AA553" s="51"/>
      <c r="AK553" s="52"/>
      <c r="AL553" s="52"/>
      <c r="AM553" s="52"/>
      <c r="AN553" s="52"/>
      <c r="AO553" s="52"/>
      <c r="AP553" s="53"/>
      <c r="AQ553" s="53"/>
      <c r="AR553" s="54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4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52"/>
      <c r="CF553" s="52"/>
      <c r="CG553" s="52"/>
      <c r="CH553" s="52"/>
    </row>
    <row r="554">
      <c r="K554" s="51"/>
      <c r="Y554" s="52"/>
      <c r="Z554" s="51"/>
      <c r="AA554" s="51"/>
      <c r="AK554" s="52"/>
      <c r="AL554" s="52"/>
      <c r="AM554" s="52"/>
      <c r="AN554" s="52"/>
      <c r="AO554" s="52"/>
      <c r="AP554" s="53"/>
      <c r="AQ554" s="53"/>
      <c r="AR554" s="54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4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52"/>
      <c r="CF554" s="52"/>
      <c r="CG554" s="52"/>
      <c r="CH554" s="52"/>
    </row>
    <row r="555">
      <c r="K555" s="51"/>
      <c r="Y555" s="52"/>
      <c r="Z555" s="51"/>
      <c r="AA555" s="51"/>
      <c r="AK555" s="52"/>
      <c r="AL555" s="52"/>
      <c r="AM555" s="52"/>
      <c r="AN555" s="52"/>
      <c r="AO555" s="52"/>
      <c r="AP555" s="53"/>
      <c r="AQ555" s="53"/>
      <c r="AR555" s="54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4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52"/>
      <c r="CF555" s="52"/>
      <c r="CG555" s="52"/>
      <c r="CH555" s="52"/>
    </row>
    <row r="556">
      <c r="K556" s="51"/>
      <c r="Y556" s="52"/>
      <c r="Z556" s="51"/>
      <c r="AA556" s="51"/>
      <c r="AK556" s="52"/>
      <c r="AL556" s="52"/>
      <c r="AM556" s="52"/>
      <c r="AN556" s="52"/>
      <c r="AO556" s="52"/>
      <c r="AP556" s="53"/>
      <c r="AQ556" s="53"/>
      <c r="AR556" s="54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4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  <c r="CE556" s="52"/>
      <c r="CF556" s="52"/>
      <c r="CG556" s="52"/>
      <c r="CH556" s="52"/>
    </row>
    <row r="557">
      <c r="K557" s="51"/>
      <c r="Y557" s="52"/>
      <c r="Z557" s="51"/>
      <c r="AA557" s="51"/>
      <c r="AK557" s="52"/>
      <c r="AL557" s="52"/>
      <c r="AM557" s="52"/>
      <c r="AN557" s="52"/>
      <c r="AO557" s="52"/>
      <c r="AP557" s="53"/>
      <c r="AQ557" s="53"/>
      <c r="AR557" s="54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4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52"/>
      <c r="CF557" s="52"/>
      <c r="CG557" s="52"/>
      <c r="CH557" s="52"/>
    </row>
    <row r="558">
      <c r="K558" s="51"/>
      <c r="Y558" s="52"/>
      <c r="Z558" s="51"/>
      <c r="AA558" s="51"/>
      <c r="AK558" s="52"/>
      <c r="AL558" s="52"/>
      <c r="AM558" s="52"/>
      <c r="AN558" s="52"/>
      <c r="AO558" s="52"/>
      <c r="AP558" s="53"/>
      <c r="AQ558" s="53"/>
      <c r="AR558" s="54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4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  <c r="CE558" s="52"/>
      <c r="CF558" s="52"/>
      <c r="CG558" s="52"/>
      <c r="CH558" s="52"/>
    </row>
    <row r="559">
      <c r="K559" s="51"/>
      <c r="Y559" s="52"/>
      <c r="Z559" s="51"/>
      <c r="AA559" s="51"/>
      <c r="AK559" s="52"/>
      <c r="AL559" s="52"/>
      <c r="AM559" s="52"/>
      <c r="AN559" s="52"/>
      <c r="AO559" s="52"/>
      <c r="AP559" s="53"/>
      <c r="AQ559" s="53"/>
      <c r="AR559" s="54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4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52"/>
      <c r="CF559" s="52"/>
      <c r="CG559" s="52"/>
      <c r="CH559" s="52"/>
    </row>
    <row r="560">
      <c r="K560" s="51"/>
      <c r="Y560" s="52"/>
      <c r="Z560" s="51"/>
      <c r="AA560" s="51"/>
      <c r="AK560" s="52"/>
      <c r="AL560" s="52"/>
      <c r="AM560" s="52"/>
      <c r="AN560" s="52"/>
      <c r="AO560" s="52"/>
      <c r="AP560" s="53"/>
      <c r="AQ560" s="53"/>
      <c r="AR560" s="54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4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52"/>
      <c r="CF560" s="52"/>
      <c r="CG560" s="52"/>
      <c r="CH560" s="52"/>
    </row>
    <row r="561">
      <c r="K561" s="51"/>
      <c r="Y561" s="52"/>
      <c r="Z561" s="51"/>
      <c r="AA561" s="51"/>
      <c r="AK561" s="52"/>
      <c r="AL561" s="52"/>
      <c r="AM561" s="52"/>
      <c r="AN561" s="52"/>
      <c r="AO561" s="52"/>
      <c r="AP561" s="53"/>
      <c r="AQ561" s="53"/>
      <c r="AR561" s="54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4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  <c r="CE561" s="52"/>
      <c r="CF561" s="52"/>
      <c r="CG561" s="52"/>
      <c r="CH561" s="52"/>
    </row>
    <row r="562">
      <c r="K562" s="51"/>
      <c r="Y562" s="52"/>
      <c r="Z562" s="51"/>
      <c r="AA562" s="51"/>
      <c r="AK562" s="52"/>
      <c r="AL562" s="52"/>
      <c r="AM562" s="52"/>
      <c r="AN562" s="52"/>
      <c r="AO562" s="52"/>
      <c r="AP562" s="53"/>
      <c r="AQ562" s="53"/>
      <c r="AR562" s="54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4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52"/>
      <c r="CF562" s="52"/>
      <c r="CG562" s="52"/>
      <c r="CH562" s="52"/>
    </row>
    <row r="563">
      <c r="K563" s="51"/>
      <c r="Y563" s="52"/>
      <c r="Z563" s="51"/>
      <c r="AA563" s="51"/>
      <c r="AK563" s="52"/>
      <c r="AL563" s="52"/>
      <c r="AM563" s="52"/>
      <c r="AN563" s="52"/>
      <c r="AO563" s="52"/>
      <c r="AP563" s="53"/>
      <c r="AQ563" s="53"/>
      <c r="AR563" s="54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4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  <c r="CE563" s="52"/>
      <c r="CF563" s="52"/>
      <c r="CG563" s="52"/>
      <c r="CH563" s="52"/>
    </row>
    <row r="564">
      <c r="K564" s="51"/>
      <c r="Y564" s="52"/>
      <c r="Z564" s="51"/>
      <c r="AA564" s="51"/>
      <c r="AK564" s="52"/>
      <c r="AL564" s="52"/>
      <c r="AM564" s="52"/>
      <c r="AN564" s="52"/>
      <c r="AO564" s="52"/>
      <c r="AP564" s="53"/>
      <c r="AQ564" s="53"/>
      <c r="AR564" s="54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4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52"/>
      <c r="CF564" s="52"/>
      <c r="CG564" s="52"/>
      <c r="CH564" s="52"/>
    </row>
    <row r="565">
      <c r="K565" s="51"/>
      <c r="Y565" s="52"/>
      <c r="Z565" s="51"/>
      <c r="AA565" s="51"/>
      <c r="AK565" s="52"/>
      <c r="AL565" s="52"/>
      <c r="AM565" s="52"/>
      <c r="AN565" s="52"/>
      <c r="AO565" s="52"/>
      <c r="AP565" s="53"/>
      <c r="AQ565" s="53"/>
      <c r="AR565" s="54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4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52"/>
      <c r="CF565" s="52"/>
      <c r="CG565" s="52"/>
      <c r="CH565" s="52"/>
    </row>
    <row r="566">
      <c r="K566" s="51"/>
      <c r="Y566" s="52"/>
      <c r="Z566" s="51"/>
      <c r="AA566" s="51"/>
      <c r="AK566" s="52"/>
      <c r="AL566" s="52"/>
      <c r="AM566" s="52"/>
      <c r="AN566" s="52"/>
      <c r="AO566" s="52"/>
      <c r="AP566" s="53"/>
      <c r="AQ566" s="53"/>
      <c r="AR566" s="54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4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</row>
    <row r="567">
      <c r="K567" s="51"/>
      <c r="Y567" s="52"/>
      <c r="Z567" s="51"/>
      <c r="AA567" s="51"/>
      <c r="AK567" s="52"/>
      <c r="AL567" s="52"/>
      <c r="AM567" s="52"/>
      <c r="AN567" s="52"/>
      <c r="AO567" s="52"/>
      <c r="AP567" s="53"/>
      <c r="AQ567" s="53"/>
      <c r="AR567" s="54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4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</row>
    <row r="568">
      <c r="K568" s="51"/>
      <c r="Y568" s="52"/>
      <c r="Z568" s="51"/>
      <c r="AA568" s="51"/>
      <c r="AK568" s="52"/>
      <c r="AL568" s="52"/>
      <c r="AM568" s="52"/>
      <c r="AN568" s="52"/>
      <c r="AO568" s="52"/>
      <c r="AP568" s="53"/>
      <c r="AQ568" s="53"/>
      <c r="AR568" s="54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4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52"/>
      <c r="CF568" s="52"/>
      <c r="CG568" s="52"/>
      <c r="CH568" s="52"/>
    </row>
    <row r="569">
      <c r="K569" s="51"/>
      <c r="Y569" s="52"/>
      <c r="Z569" s="51"/>
      <c r="AA569" s="51"/>
      <c r="AK569" s="52"/>
      <c r="AL569" s="52"/>
      <c r="AM569" s="52"/>
      <c r="AN569" s="52"/>
      <c r="AO569" s="52"/>
      <c r="AP569" s="53"/>
      <c r="AQ569" s="53"/>
      <c r="AR569" s="54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4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</row>
    <row r="570">
      <c r="K570" s="51"/>
      <c r="Y570" s="52"/>
      <c r="Z570" s="51"/>
      <c r="AA570" s="51"/>
      <c r="AK570" s="52"/>
      <c r="AL570" s="52"/>
      <c r="AM570" s="52"/>
      <c r="AN570" s="52"/>
      <c r="AO570" s="52"/>
      <c r="AP570" s="53"/>
      <c r="AQ570" s="53"/>
      <c r="AR570" s="54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4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</row>
    <row r="571">
      <c r="K571" s="51"/>
      <c r="Y571" s="52"/>
      <c r="Z571" s="51"/>
      <c r="AA571" s="51"/>
      <c r="AK571" s="52"/>
      <c r="AL571" s="52"/>
      <c r="AM571" s="52"/>
      <c r="AN571" s="52"/>
      <c r="AO571" s="52"/>
      <c r="AP571" s="53"/>
      <c r="AQ571" s="53"/>
      <c r="AR571" s="54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4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</row>
    <row r="572">
      <c r="K572" s="51"/>
      <c r="Y572" s="52"/>
      <c r="Z572" s="51"/>
      <c r="AA572" s="51"/>
      <c r="AK572" s="52"/>
      <c r="AL572" s="52"/>
      <c r="AM572" s="52"/>
      <c r="AN572" s="52"/>
      <c r="AO572" s="52"/>
      <c r="AP572" s="53"/>
      <c r="AQ572" s="53"/>
      <c r="AR572" s="54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4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</row>
    <row r="573">
      <c r="K573" s="51"/>
      <c r="Y573" s="52"/>
      <c r="Z573" s="51"/>
      <c r="AA573" s="51"/>
      <c r="AK573" s="52"/>
      <c r="AL573" s="52"/>
      <c r="AM573" s="52"/>
      <c r="AN573" s="52"/>
      <c r="AO573" s="52"/>
      <c r="AP573" s="53"/>
      <c r="AQ573" s="53"/>
      <c r="AR573" s="54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4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</row>
    <row r="574">
      <c r="K574" s="51"/>
      <c r="Y574" s="52"/>
      <c r="Z574" s="51"/>
      <c r="AA574" s="51"/>
      <c r="AK574" s="52"/>
      <c r="AL574" s="52"/>
      <c r="AM574" s="52"/>
      <c r="AN574" s="52"/>
      <c r="AO574" s="52"/>
      <c r="AP574" s="53"/>
      <c r="AQ574" s="53"/>
      <c r="AR574" s="54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4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</row>
    <row r="575">
      <c r="K575" s="51"/>
      <c r="Y575" s="52"/>
      <c r="Z575" s="51"/>
      <c r="AA575" s="51"/>
      <c r="AK575" s="52"/>
      <c r="AL575" s="52"/>
      <c r="AM575" s="52"/>
      <c r="AN575" s="52"/>
      <c r="AO575" s="52"/>
      <c r="AP575" s="53"/>
      <c r="AQ575" s="53"/>
      <c r="AR575" s="54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4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</row>
    <row r="576">
      <c r="K576" s="51"/>
      <c r="Y576" s="52"/>
      <c r="Z576" s="51"/>
      <c r="AA576" s="51"/>
      <c r="AK576" s="52"/>
      <c r="AL576" s="52"/>
      <c r="AM576" s="52"/>
      <c r="AN576" s="52"/>
      <c r="AO576" s="52"/>
      <c r="AP576" s="53"/>
      <c r="AQ576" s="53"/>
      <c r="AR576" s="54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4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</row>
    <row r="577">
      <c r="K577" s="51"/>
      <c r="Y577" s="52"/>
      <c r="Z577" s="51"/>
      <c r="AA577" s="51"/>
      <c r="AK577" s="52"/>
      <c r="AL577" s="52"/>
      <c r="AM577" s="52"/>
      <c r="AN577" s="52"/>
      <c r="AO577" s="52"/>
      <c r="AP577" s="53"/>
      <c r="AQ577" s="53"/>
      <c r="AR577" s="54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4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</row>
    <row r="578">
      <c r="K578" s="51"/>
      <c r="Y578" s="52"/>
      <c r="Z578" s="51"/>
      <c r="AA578" s="51"/>
      <c r="AK578" s="52"/>
      <c r="AL578" s="52"/>
      <c r="AM578" s="52"/>
      <c r="AN578" s="52"/>
      <c r="AO578" s="52"/>
      <c r="AP578" s="53"/>
      <c r="AQ578" s="53"/>
      <c r="AR578" s="54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4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</row>
    <row r="579">
      <c r="K579" s="51"/>
      <c r="Y579" s="52"/>
      <c r="Z579" s="51"/>
      <c r="AA579" s="51"/>
      <c r="AK579" s="52"/>
      <c r="AL579" s="52"/>
      <c r="AM579" s="52"/>
      <c r="AN579" s="52"/>
      <c r="AO579" s="52"/>
      <c r="AP579" s="53"/>
      <c r="AQ579" s="53"/>
      <c r="AR579" s="54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4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</row>
    <row r="580">
      <c r="K580" s="51"/>
      <c r="Y580" s="52"/>
      <c r="Z580" s="51"/>
      <c r="AA580" s="51"/>
      <c r="AK580" s="52"/>
      <c r="AL580" s="52"/>
      <c r="AM580" s="52"/>
      <c r="AN580" s="52"/>
      <c r="AO580" s="52"/>
      <c r="AP580" s="53"/>
      <c r="AQ580" s="53"/>
      <c r="AR580" s="54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4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  <c r="CE580" s="52"/>
      <c r="CF580" s="52"/>
      <c r="CG580" s="52"/>
      <c r="CH580" s="52"/>
    </row>
    <row r="581">
      <c r="K581" s="51"/>
      <c r="Y581" s="52"/>
      <c r="Z581" s="51"/>
      <c r="AA581" s="51"/>
      <c r="AK581" s="52"/>
      <c r="AL581" s="52"/>
      <c r="AM581" s="52"/>
      <c r="AN581" s="52"/>
      <c r="AO581" s="52"/>
      <c r="AP581" s="53"/>
      <c r="AQ581" s="53"/>
      <c r="AR581" s="54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4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  <c r="CE581" s="52"/>
      <c r="CF581" s="52"/>
      <c r="CG581" s="52"/>
      <c r="CH581" s="52"/>
    </row>
    <row r="582">
      <c r="K582" s="51"/>
      <c r="Y582" s="52"/>
      <c r="Z582" s="51"/>
      <c r="AA582" s="51"/>
      <c r="AK582" s="52"/>
      <c r="AL582" s="52"/>
      <c r="AM582" s="52"/>
      <c r="AN582" s="52"/>
      <c r="AO582" s="52"/>
      <c r="AP582" s="53"/>
      <c r="AQ582" s="53"/>
      <c r="AR582" s="54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4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52"/>
      <c r="BY582" s="52"/>
      <c r="BZ582" s="52"/>
      <c r="CA582" s="52"/>
      <c r="CB582" s="52"/>
      <c r="CC582" s="52"/>
      <c r="CD582" s="52"/>
      <c r="CE582" s="52"/>
      <c r="CF582" s="52"/>
      <c r="CG582" s="52"/>
      <c r="CH582" s="52"/>
    </row>
    <row r="583">
      <c r="K583" s="51"/>
      <c r="Y583" s="52"/>
      <c r="Z583" s="51"/>
      <c r="AA583" s="51"/>
      <c r="AK583" s="52"/>
      <c r="AL583" s="52"/>
      <c r="AM583" s="52"/>
      <c r="AN583" s="52"/>
      <c r="AO583" s="52"/>
      <c r="AP583" s="53"/>
      <c r="AQ583" s="53"/>
      <c r="AR583" s="54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4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52"/>
      <c r="BY583" s="52"/>
      <c r="BZ583" s="52"/>
      <c r="CA583" s="52"/>
      <c r="CB583" s="52"/>
      <c r="CC583" s="52"/>
      <c r="CD583" s="52"/>
      <c r="CE583" s="52"/>
      <c r="CF583" s="52"/>
      <c r="CG583" s="52"/>
      <c r="CH583" s="52"/>
    </row>
    <row r="584">
      <c r="K584" s="51"/>
      <c r="Y584" s="52"/>
      <c r="Z584" s="51"/>
      <c r="AA584" s="51"/>
      <c r="AK584" s="52"/>
      <c r="AL584" s="52"/>
      <c r="AM584" s="52"/>
      <c r="AN584" s="52"/>
      <c r="AO584" s="52"/>
      <c r="AP584" s="53"/>
      <c r="AQ584" s="53"/>
      <c r="AR584" s="54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4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</row>
    <row r="585">
      <c r="K585" s="51"/>
      <c r="Y585" s="52"/>
      <c r="Z585" s="51"/>
      <c r="AA585" s="51"/>
      <c r="AK585" s="52"/>
      <c r="AL585" s="52"/>
      <c r="AM585" s="52"/>
      <c r="AN585" s="52"/>
      <c r="AO585" s="52"/>
      <c r="AP585" s="53"/>
      <c r="AQ585" s="53"/>
      <c r="AR585" s="54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4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  <c r="CE585" s="52"/>
      <c r="CF585" s="52"/>
      <c r="CG585" s="52"/>
      <c r="CH585" s="52"/>
    </row>
    <row r="586">
      <c r="K586" s="51"/>
      <c r="Y586" s="52"/>
      <c r="Z586" s="51"/>
      <c r="AA586" s="51"/>
      <c r="AK586" s="52"/>
      <c r="AL586" s="52"/>
      <c r="AM586" s="52"/>
      <c r="AN586" s="52"/>
      <c r="AO586" s="52"/>
      <c r="AP586" s="53"/>
      <c r="AQ586" s="53"/>
      <c r="AR586" s="54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4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52"/>
      <c r="BY586" s="52"/>
      <c r="BZ586" s="52"/>
      <c r="CA586" s="52"/>
      <c r="CB586" s="52"/>
      <c r="CC586" s="52"/>
      <c r="CD586" s="52"/>
      <c r="CE586" s="52"/>
      <c r="CF586" s="52"/>
      <c r="CG586" s="52"/>
      <c r="CH586" s="52"/>
    </row>
    <row r="587">
      <c r="K587" s="51"/>
      <c r="Y587" s="52"/>
      <c r="Z587" s="51"/>
      <c r="AA587" s="51"/>
      <c r="AK587" s="52"/>
      <c r="AL587" s="52"/>
      <c r="AM587" s="52"/>
      <c r="AN587" s="52"/>
      <c r="AO587" s="52"/>
      <c r="AP587" s="53"/>
      <c r="AQ587" s="53"/>
      <c r="AR587" s="54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4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  <c r="CE587" s="52"/>
      <c r="CF587" s="52"/>
      <c r="CG587" s="52"/>
      <c r="CH587" s="52"/>
    </row>
    <row r="588">
      <c r="K588" s="51"/>
      <c r="Y588" s="52"/>
      <c r="Z588" s="51"/>
      <c r="AA588" s="51"/>
      <c r="AK588" s="52"/>
      <c r="AL588" s="52"/>
      <c r="AM588" s="52"/>
      <c r="AN588" s="52"/>
      <c r="AO588" s="52"/>
      <c r="AP588" s="53"/>
      <c r="AQ588" s="53"/>
      <c r="AR588" s="54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4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52"/>
      <c r="BY588" s="52"/>
      <c r="BZ588" s="52"/>
      <c r="CA588" s="52"/>
      <c r="CB588" s="52"/>
      <c r="CC588" s="52"/>
      <c r="CD588" s="52"/>
      <c r="CE588" s="52"/>
      <c r="CF588" s="52"/>
      <c r="CG588" s="52"/>
      <c r="CH588" s="52"/>
    </row>
    <row r="589">
      <c r="K589" s="51"/>
      <c r="Y589" s="52"/>
      <c r="Z589" s="51"/>
      <c r="AA589" s="51"/>
      <c r="AK589" s="52"/>
      <c r="AL589" s="52"/>
      <c r="AM589" s="52"/>
      <c r="AN589" s="52"/>
      <c r="AO589" s="52"/>
      <c r="AP589" s="53"/>
      <c r="AQ589" s="53"/>
      <c r="AR589" s="54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4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52"/>
      <c r="BY589" s="52"/>
      <c r="BZ589" s="52"/>
      <c r="CA589" s="52"/>
      <c r="CB589" s="52"/>
      <c r="CC589" s="52"/>
      <c r="CD589" s="52"/>
      <c r="CE589" s="52"/>
      <c r="CF589" s="52"/>
      <c r="CG589" s="52"/>
      <c r="CH589" s="52"/>
    </row>
    <row r="590">
      <c r="K590" s="51"/>
      <c r="Y590" s="52"/>
      <c r="Z590" s="51"/>
      <c r="AA590" s="51"/>
      <c r="AK590" s="52"/>
      <c r="AL590" s="52"/>
      <c r="AM590" s="52"/>
      <c r="AN590" s="52"/>
      <c r="AO590" s="52"/>
      <c r="AP590" s="53"/>
      <c r="AQ590" s="53"/>
      <c r="AR590" s="54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4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  <c r="CE590" s="52"/>
      <c r="CF590" s="52"/>
      <c r="CG590" s="52"/>
      <c r="CH590" s="52"/>
    </row>
    <row r="591">
      <c r="K591" s="51"/>
      <c r="Y591" s="52"/>
      <c r="Z591" s="51"/>
      <c r="AA591" s="51"/>
      <c r="AK591" s="52"/>
      <c r="AL591" s="52"/>
      <c r="AM591" s="52"/>
      <c r="AN591" s="52"/>
      <c r="AO591" s="52"/>
      <c r="AP591" s="53"/>
      <c r="AQ591" s="53"/>
      <c r="AR591" s="54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4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52"/>
      <c r="BY591" s="52"/>
      <c r="BZ591" s="52"/>
      <c r="CA591" s="52"/>
      <c r="CB591" s="52"/>
      <c r="CC591" s="52"/>
      <c r="CD591" s="52"/>
      <c r="CE591" s="52"/>
      <c r="CF591" s="52"/>
      <c r="CG591" s="52"/>
      <c r="CH591" s="52"/>
    </row>
    <row r="592">
      <c r="K592" s="51"/>
      <c r="Y592" s="52"/>
      <c r="Z592" s="51"/>
      <c r="AA592" s="51"/>
      <c r="AK592" s="52"/>
      <c r="AL592" s="52"/>
      <c r="AM592" s="52"/>
      <c r="AN592" s="52"/>
      <c r="AO592" s="52"/>
      <c r="AP592" s="53"/>
      <c r="AQ592" s="53"/>
      <c r="AR592" s="54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4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52"/>
      <c r="BY592" s="52"/>
      <c r="BZ592" s="52"/>
      <c r="CA592" s="52"/>
      <c r="CB592" s="52"/>
      <c r="CC592" s="52"/>
      <c r="CD592" s="52"/>
      <c r="CE592" s="52"/>
      <c r="CF592" s="52"/>
      <c r="CG592" s="52"/>
      <c r="CH592" s="52"/>
    </row>
    <row r="593">
      <c r="K593" s="51"/>
      <c r="Y593" s="52"/>
      <c r="Z593" s="51"/>
      <c r="AA593" s="51"/>
      <c r="AK593" s="52"/>
      <c r="AL593" s="52"/>
      <c r="AM593" s="52"/>
      <c r="AN593" s="52"/>
      <c r="AO593" s="52"/>
      <c r="AP593" s="53"/>
      <c r="AQ593" s="53"/>
      <c r="AR593" s="54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4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  <c r="CE593" s="52"/>
      <c r="CF593" s="52"/>
      <c r="CG593" s="52"/>
      <c r="CH593" s="52"/>
    </row>
    <row r="594">
      <c r="K594" s="51"/>
      <c r="Y594" s="52"/>
      <c r="Z594" s="51"/>
      <c r="AA594" s="51"/>
      <c r="AK594" s="52"/>
      <c r="AL594" s="52"/>
      <c r="AM594" s="52"/>
      <c r="AN594" s="52"/>
      <c r="AO594" s="52"/>
      <c r="AP594" s="53"/>
      <c r="AQ594" s="53"/>
      <c r="AR594" s="54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4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52"/>
      <c r="BY594" s="52"/>
      <c r="BZ594" s="52"/>
      <c r="CA594" s="52"/>
      <c r="CB594" s="52"/>
      <c r="CC594" s="52"/>
      <c r="CD594" s="52"/>
      <c r="CE594" s="52"/>
      <c r="CF594" s="52"/>
      <c r="CG594" s="52"/>
      <c r="CH594" s="52"/>
    </row>
    <row r="595">
      <c r="K595" s="51"/>
      <c r="Y595" s="52"/>
      <c r="Z595" s="51"/>
      <c r="AA595" s="51"/>
      <c r="AK595" s="52"/>
      <c r="AL595" s="52"/>
      <c r="AM595" s="52"/>
      <c r="AN595" s="52"/>
      <c r="AO595" s="52"/>
      <c r="AP595" s="53"/>
      <c r="AQ595" s="53"/>
      <c r="AR595" s="54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4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52"/>
      <c r="BY595" s="52"/>
      <c r="BZ595" s="52"/>
      <c r="CA595" s="52"/>
      <c r="CB595" s="52"/>
      <c r="CC595" s="52"/>
      <c r="CD595" s="52"/>
      <c r="CE595" s="52"/>
      <c r="CF595" s="52"/>
      <c r="CG595" s="52"/>
      <c r="CH595" s="52"/>
    </row>
    <row r="596">
      <c r="K596" s="51"/>
      <c r="Y596" s="52"/>
      <c r="Z596" s="51"/>
      <c r="AA596" s="51"/>
      <c r="AK596" s="52"/>
      <c r="AL596" s="52"/>
      <c r="AM596" s="52"/>
      <c r="AN596" s="52"/>
      <c r="AO596" s="52"/>
      <c r="AP596" s="53"/>
      <c r="AQ596" s="53"/>
      <c r="AR596" s="54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4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  <c r="CE596" s="52"/>
      <c r="CF596" s="52"/>
      <c r="CG596" s="52"/>
      <c r="CH596" s="52"/>
    </row>
    <row r="597">
      <c r="K597" s="51"/>
      <c r="Y597" s="52"/>
      <c r="Z597" s="51"/>
      <c r="AA597" s="51"/>
      <c r="AK597" s="52"/>
      <c r="AL597" s="52"/>
      <c r="AM597" s="52"/>
      <c r="AN597" s="52"/>
      <c r="AO597" s="52"/>
      <c r="AP597" s="53"/>
      <c r="AQ597" s="53"/>
      <c r="AR597" s="54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4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52"/>
      <c r="BY597" s="52"/>
      <c r="BZ597" s="52"/>
      <c r="CA597" s="52"/>
      <c r="CB597" s="52"/>
      <c r="CC597" s="52"/>
      <c r="CD597" s="52"/>
      <c r="CE597" s="52"/>
      <c r="CF597" s="52"/>
      <c r="CG597" s="52"/>
      <c r="CH597" s="52"/>
    </row>
    <row r="598">
      <c r="K598" s="51"/>
      <c r="Y598" s="52"/>
      <c r="Z598" s="51"/>
      <c r="AA598" s="51"/>
      <c r="AK598" s="52"/>
      <c r="AL598" s="52"/>
      <c r="AM598" s="52"/>
      <c r="AN598" s="52"/>
      <c r="AO598" s="52"/>
      <c r="AP598" s="53"/>
      <c r="AQ598" s="53"/>
      <c r="AR598" s="54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4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52"/>
      <c r="BY598" s="52"/>
      <c r="BZ598" s="52"/>
      <c r="CA598" s="52"/>
      <c r="CB598" s="52"/>
      <c r="CC598" s="52"/>
      <c r="CD598" s="52"/>
      <c r="CE598" s="52"/>
      <c r="CF598" s="52"/>
      <c r="CG598" s="52"/>
      <c r="CH598" s="52"/>
    </row>
    <row r="599">
      <c r="K599" s="51"/>
      <c r="Y599" s="52"/>
      <c r="Z599" s="51"/>
      <c r="AA599" s="51"/>
      <c r="AK599" s="52"/>
      <c r="AL599" s="52"/>
      <c r="AM599" s="52"/>
      <c r="AN599" s="52"/>
      <c r="AO599" s="52"/>
      <c r="AP599" s="53"/>
      <c r="AQ599" s="53"/>
      <c r="AR599" s="54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4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52"/>
      <c r="CF599" s="52"/>
      <c r="CG599" s="52"/>
      <c r="CH599" s="52"/>
    </row>
    <row r="600">
      <c r="K600" s="51"/>
      <c r="Y600" s="52"/>
      <c r="Z600" s="51"/>
      <c r="AA600" s="51"/>
      <c r="AK600" s="52"/>
      <c r="AL600" s="52"/>
      <c r="AM600" s="52"/>
      <c r="AN600" s="52"/>
      <c r="AO600" s="52"/>
      <c r="AP600" s="53"/>
      <c r="AQ600" s="53"/>
      <c r="AR600" s="54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4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  <c r="CE600" s="52"/>
      <c r="CF600" s="52"/>
      <c r="CG600" s="52"/>
      <c r="CH600" s="52"/>
    </row>
    <row r="601">
      <c r="K601" s="51"/>
      <c r="Y601" s="52"/>
      <c r="Z601" s="51"/>
      <c r="AA601" s="51"/>
      <c r="AK601" s="52"/>
      <c r="AL601" s="52"/>
      <c r="AM601" s="52"/>
      <c r="AN601" s="52"/>
      <c r="AO601" s="52"/>
      <c r="AP601" s="53"/>
      <c r="AQ601" s="53"/>
      <c r="AR601" s="54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4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  <c r="CE601" s="52"/>
      <c r="CF601" s="52"/>
      <c r="CG601" s="52"/>
      <c r="CH601" s="52"/>
    </row>
    <row r="602">
      <c r="K602" s="51"/>
      <c r="Y602" s="52"/>
      <c r="Z602" s="51"/>
      <c r="AA602" s="51"/>
      <c r="AK602" s="52"/>
      <c r="AL602" s="52"/>
      <c r="AM602" s="52"/>
      <c r="AN602" s="52"/>
      <c r="AO602" s="52"/>
      <c r="AP602" s="53"/>
      <c r="AQ602" s="53"/>
      <c r="AR602" s="54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4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</row>
    <row r="603">
      <c r="K603" s="51"/>
      <c r="Y603" s="52"/>
      <c r="Z603" s="51"/>
      <c r="AA603" s="51"/>
      <c r="AK603" s="52"/>
      <c r="AL603" s="52"/>
      <c r="AM603" s="52"/>
      <c r="AN603" s="52"/>
      <c r="AO603" s="52"/>
      <c r="AP603" s="53"/>
      <c r="AQ603" s="53"/>
      <c r="AR603" s="54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4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  <c r="CE603" s="52"/>
      <c r="CF603" s="52"/>
      <c r="CG603" s="52"/>
      <c r="CH603" s="52"/>
    </row>
    <row r="604">
      <c r="K604" s="51"/>
      <c r="Y604" s="52"/>
      <c r="Z604" s="51"/>
      <c r="AA604" s="51"/>
      <c r="AK604" s="52"/>
      <c r="AL604" s="52"/>
      <c r="AM604" s="52"/>
      <c r="AN604" s="52"/>
      <c r="AO604" s="52"/>
      <c r="AP604" s="53"/>
      <c r="AQ604" s="53"/>
      <c r="AR604" s="54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4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  <c r="CE604" s="52"/>
      <c r="CF604" s="52"/>
      <c r="CG604" s="52"/>
      <c r="CH604" s="52"/>
    </row>
    <row r="605">
      <c r="K605" s="51"/>
      <c r="Y605" s="52"/>
      <c r="Z605" s="51"/>
      <c r="AA605" s="51"/>
      <c r="AK605" s="52"/>
      <c r="AL605" s="52"/>
      <c r="AM605" s="52"/>
      <c r="AN605" s="52"/>
      <c r="AO605" s="52"/>
      <c r="AP605" s="53"/>
      <c r="AQ605" s="53"/>
      <c r="AR605" s="54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4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52"/>
      <c r="CF605" s="52"/>
      <c r="CG605" s="52"/>
      <c r="CH605" s="52"/>
    </row>
    <row r="606">
      <c r="K606" s="51"/>
      <c r="Y606" s="52"/>
      <c r="Z606" s="51"/>
      <c r="AA606" s="51"/>
      <c r="AK606" s="52"/>
      <c r="AL606" s="52"/>
      <c r="AM606" s="52"/>
      <c r="AN606" s="52"/>
      <c r="AO606" s="52"/>
      <c r="AP606" s="53"/>
      <c r="AQ606" s="53"/>
      <c r="AR606" s="54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4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</row>
    <row r="607">
      <c r="K607" s="51"/>
      <c r="Y607" s="52"/>
      <c r="Z607" s="51"/>
      <c r="AA607" s="51"/>
      <c r="AK607" s="52"/>
      <c r="AL607" s="52"/>
      <c r="AM607" s="52"/>
      <c r="AN607" s="52"/>
      <c r="AO607" s="52"/>
      <c r="AP607" s="53"/>
      <c r="AQ607" s="53"/>
      <c r="AR607" s="54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4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</row>
    <row r="608">
      <c r="K608" s="51"/>
      <c r="Y608" s="52"/>
      <c r="Z608" s="51"/>
      <c r="AA608" s="51"/>
      <c r="AK608" s="52"/>
      <c r="AL608" s="52"/>
      <c r="AM608" s="52"/>
      <c r="AN608" s="52"/>
      <c r="AO608" s="52"/>
      <c r="AP608" s="53"/>
      <c r="AQ608" s="53"/>
      <c r="AR608" s="54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4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</row>
    <row r="609">
      <c r="K609" s="51"/>
      <c r="Y609" s="52"/>
      <c r="Z609" s="51"/>
      <c r="AA609" s="51"/>
      <c r="AK609" s="52"/>
      <c r="AL609" s="52"/>
      <c r="AM609" s="52"/>
      <c r="AN609" s="52"/>
      <c r="AO609" s="52"/>
      <c r="AP609" s="53"/>
      <c r="AQ609" s="53"/>
      <c r="AR609" s="54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4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</row>
    <row r="610">
      <c r="K610" s="51"/>
      <c r="Y610" s="52"/>
      <c r="Z610" s="51"/>
      <c r="AA610" s="51"/>
      <c r="AK610" s="52"/>
      <c r="AL610" s="52"/>
      <c r="AM610" s="52"/>
      <c r="AN610" s="52"/>
      <c r="AO610" s="52"/>
      <c r="AP610" s="53"/>
      <c r="AQ610" s="53"/>
      <c r="AR610" s="54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4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</row>
    <row r="611">
      <c r="K611" s="51"/>
      <c r="Y611" s="52"/>
      <c r="Z611" s="51"/>
      <c r="AA611" s="51"/>
      <c r="AK611" s="52"/>
      <c r="AL611" s="52"/>
      <c r="AM611" s="52"/>
      <c r="AN611" s="52"/>
      <c r="AO611" s="52"/>
      <c r="AP611" s="53"/>
      <c r="AQ611" s="53"/>
      <c r="AR611" s="54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4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</row>
    <row r="612">
      <c r="K612" s="51"/>
      <c r="Y612" s="52"/>
      <c r="Z612" s="51"/>
      <c r="AA612" s="51"/>
      <c r="AK612" s="52"/>
      <c r="AL612" s="52"/>
      <c r="AM612" s="52"/>
      <c r="AN612" s="52"/>
      <c r="AO612" s="52"/>
      <c r="AP612" s="53"/>
      <c r="AQ612" s="53"/>
      <c r="AR612" s="54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4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</row>
    <row r="613">
      <c r="K613" s="51"/>
      <c r="Y613" s="52"/>
      <c r="Z613" s="51"/>
      <c r="AA613" s="51"/>
      <c r="AK613" s="52"/>
      <c r="AL613" s="52"/>
      <c r="AM613" s="52"/>
      <c r="AN613" s="52"/>
      <c r="AO613" s="52"/>
      <c r="AP613" s="53"/>
      <c r="AQ613" s="53"/>
      <c r="AR613" s="54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4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</row>
    <row r="614">
      <c r="K614" s="51"/>
      <c r="Y614" s="52"/>
      <c r="Z614" s="51"/>
      <c r="AA614" s="51"/>
      <c r="AK614" s="52"/>
      <c r="AL614" s="52"/>
      <c r="AM614" s="52"/>
      <c r="AN614" s="52"/>
      <c r="AO614" s="52"/>
      <c r="AP614" s="53"/>
      <c r="AQ614" s="53"/>
      <c r="AR614" s="54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4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</row>
    <row r="615">
      <c r="K615" s="51"/>
      <c r="Y615" s="52"/>
      <c r="Z615" s="51"/>
      <c r="AA615" s="51"/>
      <c r="AK615" s="52"/>
      <c r="AL615" s="52"/>
      <c r="AM615" s="52"/>
      <c r="AN615" s="52"/>
      <c r="AO615" s="52"/>
      <c r="AP615" s="53"/>
      <c r="AQ615" s="53"/>
      <c r="AR615" s="54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4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</row>
    <row r="616">
      <c r="K616" s="51"/>
      <c r="Y616" s="52"/>
      <c r="Z616" s="51"/>
      <c r="AA616" s="51"/>
      <c r="AK616" s="52"/>
      <c r="AL616" s="52"/>
      <c r="AM616" s="52"/>
      <c r="AN616" s="52"/>
      <c r="AO616" s="52"/>
      <c r="AP616" s="53"/>
      <c r="AQ616" s="53"/>
      <c r="AR616" s="54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4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</row>
    <row r="617">
      <c r="K617" s="51"/>
      <c r="Y617" s="52"/>
      <c r="Z617" s="51"/>
      <c r="AA617" s="51"/>
      <c r="AK617" s="52"/>
      <c r="AL617" s="52"/>
      <c r="AM617" s="52"/>
      <c r="AN617" s="52"/>
      <c r="AO617" s="52"/>
      <c r="AP617" s="53"/>
      <c r="AQ617" s="53"/>
      <c r="AR617" s="54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4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</row>
    <row r="618">
      <c r="K618" s="51"/>
      <c r="Y618" s="52"/>
      <c r="Z618" s="51"/>
      <c r="AA618" s="51"/>
      <c r="AK618" s="52"/>
      <c r="AL618" s="52"/>
      <c r="AM618" s="52"/>
      <c r="AN618" s="52"/>
      <c r="AO618" s="52"/>
      <c r="AP618" s="53"/>
      <c r="AQ618" s="53"/>
      <c r="AR618" s="54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4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</row>
    <row r="619">
      <c r="K619" s="51"/>
      <c r="Y619" s="52"/>
      <c r="Z619" s="51"/>
      <c r="AA619" s="51"/>
      <c r="AK619" s="52"/>
      <c r="AL619" s="52"/>
      <c r="AM619" s="52"/>
      <c r="AN619" s="52"/>
      <c r="AO619" s="52"/>
      <c r="AP619" s="53"/>
      <c r="AQ619" s="53"/>
      <c r="AR619" s="54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4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</row>
    <row r="620">
      <c r="K620" s="51"/>
      <c r="Y620" s="52"/>
      <c r="Z620" s="51"/>
      <c r="AA620" s="51"/>
      <c r="AK620" s="52"/>
      <c r="AL620" s="52"/>
      <c r="AM620" s="52"/>
      <c r="AN620" s="52"/>
      <c r="AO620" s="52"/>
      <c r="AP620" s="53"/>
      <c r="AQ620" s="53"/>
      <c r="AR620" s="54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4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  <c r="CE620" s="52"/>
      <c r="CF620" s="52"/>
      <c r="CG620" s="52"/>
      <c r="CH620" s="52"/>
    </row>
    <row r="621">
      <c r="K621" s="51"/>
      <c r="Y621" s="52"/>
      <c r="Z621" s="51"/>
      <c r="AA621" s="51"/>
      <c r="AK621" s="52"/>
      <c r="AL621" s="52"/>
      <c r="AM621" s="52"/>
      <c r="AN621" s="52"/>
      <c r="AO621" s="52"/>
      <c r="AP621" s="53"/>
      <c r="AQ621" s="53"/>
      <c r="AR621" s="54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4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  <c r="CE621" s="52"/>
      <c r="CF621" s="52"/>
      <c r="CG621" s="52"/>
      <c r="CH621" s="52"/>
    </row>
    <row r="622">
      <c r="K622" s="51"/>
      <c r="Y622" s="52"/>
      <c r="Z622" s="51"/>
      <c r="AA622" s="51"/>
      <c r="AK622" s="52"/>
      <c r="AL622" s="52"/>
      <c r="AM622" s="52"/>
      <c r="AN622" s="52"/>
      <c r="AO622" s="52"/>
      <c r="AP622" s="53"/>
      <c r="AQ622" s="53"/>
      <c r="AR622" s="54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4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52"/>
      <c r="BY622" s="52"/>
      <c r="BZ622" s="52"/>
      <c r="CA622" s="52"/>
      <c r="CB622" s="52"/>
      <c r="CC622" s="52"/>
      <c r="CD622" s="52"/>
      <c r="CE622" s="52"/>
      <c r="CF622" s="52"/>
      <c r="CG622" s="52"/>
      <c r="CH622" s="52"/>
    </row>
    <row r="623">
      <c r="K623" s="51"/>
      <c r="Y623" s="52"/>
      <c r="Z623" s="51"/>
      <c r="AA623" s="51"/>
      <c r="AK623" s="52"/>
      <c r="AL623" s="52"/>
      <c r="AM623" s="52"/>
      <c r="AN623" s="52"/>
      <c r="AO623" s="52"/>
      <c r="AP623" s="53"/>
      <c r="AQ623" s="53"/>
      <c r="AR623" s="54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4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  <c r="CE623" s="52"/>
      <c r="CF623" s="52"/>
      <c r="CG623" s="52"/>
      <c r="CH623" s="52"/>
    </row>
    <row r="624">
      <c r="K624" s="51"/>
      <c r="Y624" s="52"/>
      <c r="Z624" s="51"/>
      <c r="AA624" s="51"/>
      <c r="AK624" s="52"/>
      <c r="AL624" s="52"/>
      <c r="AM624" s="52"/>
      <c r="AN624" s="52"/>
      <c r="AO624" s="52"/>
      <c r="AP624" s="53"/>
      <c r="AQ624" s="53"/>
      <c r="AR624" s="54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4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52"/>
      <c r="BY624" s="52"/>
      <c r="BZ624" s="52"/>
      <c r="CA624" s="52"/>
      <c r="CB624" s="52"/>
      <c r="CC624" s="52"/>
      <c r="CD624" s="52"/>
      <c r="CE624" s="52"/>
      <c r="CF624" s="52"/>
      <c r="CG624" s="52"/>
      <c r="CH624" s="52"/>
    </row>
    <row r="625">
      <c r="K625" s="51"/>
      <c r="Y625" s="52"/>
      <c r="Z625" s="51"/>
      <c r="AA625" s="51"/>
      <c r="AK625" s="52"/>
      <c r="AL625" s="52"/>
      <c r="AM625" s="52"/>
      <c r="AN625" s="52"/>
      <c r="AO625" s="52"/>
      <c r="AP625" s="53"/>
      <c r="AQ625" s="53"/>
      <c r="AR625" s="54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4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52"/>
      <c r="BY625" s="52"/>
      <c r="BZ625" s="52"/>
      <c r="CA625" s="52"/>
      <c r="CB625" s="52"/>
      <c r="CC625" s="52"/>
      <c r="CD625" s="52"/>
      <c r="CE625" s="52"/>
      <c r="CF625" s="52"/>
      <c r="CG625" s="52"/>
      <c r="CH625" s="52"/>
    </row>
    <row r="626">
      <c r="K626" s="51"/>
      <c r="Y626" s="52"/>
      <c r="Z626" s="51"/>
      <c r="AA626" s="51"/>
      <c r="AK626" s="52"/>
      <c r="AL626" s="52"/>
      <c r="AM626" s="52"/>
      <c r="AN626" s="52"/>
      <c r="AO626" s="52"/>
      <c r="AP626" s="53"/>
      <c r="AQ626" s="53"/>
      <c r="AR626" s="54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4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  <c r="CE626" s="52"/>
      <c r="CF626" s="52"/>
      <c r="CG626" s="52"/>
      <c r="CH626" s="52"/>
    </row>
    <row r="627">
      <c r="K627" s="51"/>
      <c r="Y627" s="52"/>
      <c r="Z627" s="51"/>
      <c r="AA627" s="51"/>
      <c r="AK627" s="52"/>
      <c r="AL627" s="52"/>
      <c r="AM627" s="52"/>
      <c r="AN627" s="52"/>
      <c r="AO627" s="52"/>
      <c r="AP627" s="53"/>
      <c r="AQ627" s="53"/>
      <c r="AR627" s="54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4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52"/>
      <c r="BY627" s="52"/>
      <c r="BZ627" s="52"/>
      <c r="CA627" s="52"/>
      <c r="CB627" s="52"/>
      <c r="CC627" s="52"/>
      <c r="CD627" s="52"/>
      <c r="CE627" s="52"/>
      <c r="CF627" s="52"/>
      <c r="CG627" s="52"/>
      <c r="CH627" s="52"/>
    </row>
    <row r="628">
      <c r="K628" s="51"/>
      <c r="Y628" s="52"/>
      <c r="Z628" s="51"/>
      <c r="AA628" s="51"/>
      <c r="AK628" s="52"/>
      <c r="AL628" s="52"/>
      <c r="AM628" s="52"/>
      <c r="AN628" s="52"/>
      <c r="AO628" s="52"/>
      <c r="AP628" s="53"/>
      <c r="AQ628" s="53"/>
      <c r="AR628" s="54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4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52"/>
      <c r="BY628" s="52"/>
      <c r="BZ628" s="52"/>
      <c r="CA628" s="52"/>
      <c r="CB628" s="52"/>
      <c r="CC628" s="52"/>
      <c r="CD628" s="52"/>
      <c r="CE628" s="52"/>
      <c r="CF628" s="52"/>
      <c r="CG628" s="52"/>
      <c r="CH628" s="52"/>
    </row>
    <row r="629">
      <c r="K629" s="51"/>
      <c r="Y629" s="52"/>
      <c r="Z629" s="51"/>
      <c r="AA629" s="51"/>
      <c r="AK629" s="52"/>
      <c r="AL629" s="52"/>
      <c r="AM629" s="52"/>
      <c r="AN629" s="52"/>
      <c r="AO629" s="52"/>
      <c r="AP629" s="53"/>
      <c r="AQ629" s="53"/>
      <c r="AR629" s="54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4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  <c r="CE629" s="52"/>
      <c r="CF629" s="52"/>
      <c r="CG629" s="52"/>
      <c r="CH629" s="52"/>
    </row>
    <row r="630">
      <c r="K630" s="51"/>
      <c r="Y630" s="52"/>
      <c r="Z630" s="51"/>
      <c r="AA630" s="51"/>
      <c r="AK630" s="52"/>
      <c r="AL630" s="52"/>
      <c r="AM630" s="52"/>
      <c r="AN630" s="52"/>
      <c r="AO630" s="52"/>
      <c r="AP630" s="53"/>
      <c r="AQ630" s="53"/>
      <c r="AR630" s="54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4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52"/>
      <c r="BY630" s="52"/>
      <c r="BZ630" s="52"/>
      <c r="CA630" s="52"/>
      <c r="CB630" s="52"/>
      <c r="CC630" s="52"/>
      <c r="CD630" s="52"/>
      <c r="CE630" s="52"/>
      <c r="CF630" s="52"/>
      <c r="CG630" s="52"/>
      <c r="CH630" s="52"/>
    </row>
    <row r="631">
      <c r="K631" s="51"/>
      <c r="Y631" s="52"/>
      <c r="Z631" s="51"/>
      <c r="AA631" s="51"/>
      <c r="AK631" s="52"/>
      <c r="AL631" s="52"/>
      <c r="AM631" s="52"/>
      <c r="AN631" s="52"/>
      <c r="AO631" s="52"/>
      <c r="AP631" s="53"/>
      <c r="AQ631" s="53"/>
      <c r="AR631" s="54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4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52"/>
      <c r="BY631" s="52"/>
      <c r="BZ631" s="52"/>
      <c r="CA631" s="52"/>
      <c r="CB631" s="52"/>
      <c r="CC631" s="52"/>
      <c r="CD631" s="52"/>
      <c r="CE631" s="52"/>
      <c r="CF631" s="52"/>
      <c r="CG631" s="52"/>
      <c r="CH631" s="52"/>
    </row>
    <row r="632">
      <c r="K632" s="51"/>
      <c r="Y632" s="52"/>
      <c r="Z632" s="51"/>
      <c r="AA632" s="51"/>
      <c r="AK632" s="52"/>
      <c r="AL632" s="52"/>
      <c r="AM632" s="52"/>
      <c r="AN632" s="52"/>
      <c r="AO632" s="52"/>
      <c r="AP632" s="53"/>
      <c r="AQ632" s="53"/>
      <c r="AR632" s="54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4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  <c r="CE632" s="52"/>
      <c r="CF632" s="52"/>
      <c r="CG632" s="52"/>
      <c r="CH632" s="52"/>
    </row>
    <row r="633">
      <c r="K633" s="51"/>
      <c r="Y633" s="52"/>
      <c r="Z633" s="51"/>
      <c r="AA633" s="51"/>
      <c r="AK633" s="52"/>
      <c r="AL633" s="52"/>
      <c r="AM633" s="52"/>
      <c r="AN633" s="52"/>
      <c r="AO633" s="52"/>
      <c r="AP633" s="53"/>
      <c r="AQ633" s="53"/>
      <c r="AR633" s="54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4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52"/>
      <c r="BY633" s="52"/>
      <c r="BZ633" s="52"/>
      <c r="CA633" s="52"/>
      <c r="CB633" s="52"/>
      <c r="CC633" s="52"/>
      <c r="CD633" s="52"/>
      <c r="CE633" s="52"/>
      <c r="CF633" s="52"/>
      <c r="CG633" s="52"/>
      <c r="CH633" s="52"/>
    </row>
    <row r="634">
      <c r="K634" s="51"/>
      <c r="Y634" s="52"/>
      <c r="Z634" s="51"/>
      <c r="AA634" s="51"/>
      <c r="AK634" s="52"/>
      <c r="AL634" s="52"/>
      <c r="AM634" s="52"/>
      <c r="AN634" s="52"/>
      <c r="AO634" s="52"/>
      <c r="AP634" s="53"/>
      <c r="AQ634" s="53"/>
      <c r="AR634" s="54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4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52"/>
      <c r="BY634" s="52"/>
      <c r="BZ634" s="52"/>
      <c r="CA634" s="52"/>
      <c r="CB634" s="52"/>
      <c r="CC634" s="52"/>
      <c r="CD634" s="52"/>
      <c r="CE634" s="52"/>
      <c r="CF634" s="52"/>
      <c r="CG634" s="52"/>
      <c r="CH634" s="52"/>
    </row>
    <row r="635">
      <c r="K635" s="51"/>
      <c r="Y635" s="52"/>
      <c r="Z635" s="51"/>
      <c r="AA635" s="51"/>
      <c r="AK635" s="52"/>
      <c r="AL635" s="52"/>
      <c r="AM635" s="52"/>
      <c r="AN635" s="52"/>
      <c r="AO635" s="52"/>
      <c r="AP635" s="53"/>
      <c r="AQ635" s="53"/>
      <c r="AR635" s="54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4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  <c r="CE635" s="52"/>
      <c r="CF635" s="52"/>
      <c r="CG635" s="52"/>
      <c r="CH635" s="52"/>
    </row>
    <row r="636">
      <c r="K636" s="51"/>
      <c r="Y636" s="52"/>
      <c r="Z636" s="51"/>
      <c r="AA636" s="51"/>
      <c r="AK636" s="52"/>
      <c r="AL636" s="52"/>
      <c r="AM636" s="52"/>
      <c r="AN636" s="52"/>
      <c r="AO636" s="52"/>
      <c r="AP636" s="53"/>
      <c r="AQ636" s="53"/>
      <c r="AR636" s="54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4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52"/>
      <c r="BY636" s="52"/>
      <c r="BZ636" s="52"/>
      <c r="CA636" s="52"/>
      <c r="CB636" s="52"/>
      <c r="CC636" s="52"/>
      <c r="CD636" s="52"/>
      <c r="CE636" s="52"/>
      <c r="CF636" s="52"/>
      <c r="CG636" s="52"/>
      <c r="CH636" s="52"/>
    </row>
    <row r="637">
      <c r="K637" s="51"/>
      <c r="Y637" s="52"/>
      <c r="Z637" s="51"/>
      <c r="AA637" s="51"/>
      <c r="AK637" s="52"/>
      <c r="AL637" s="52"/>
      <c r="AM637" s="52"/>
      <c r="AN637" s="52"/>
      <c r="AO637" s="52"/>
      <c r="AP637" s="53"/>
      <c r="AQ637" s="53"/>
      <c r="AR637" s="54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4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52"/>
      <c r="BY637" s="52"/>
      <c r="BZ637" s="52"/>
      <c r="CA637" s="52"/>
      <c r="CB637" s="52"/>
      <c r="CC637" s="52"/>
      <c r="CD637" s="52"/>
      <c r="CE637" s="52"/>
      <c r="CF637" s="52"/>
      <c r="CG637" s="52"/>
      <c r="CH637" s="52"/>
    </row>
    <row r="638">
      <c r="K638" s="51"/>
      <c r="Y638" s="52"/>
      <c r="Z638" s="51"/>
      <c r="AA638" s="51"/>
      <c r="AK638" s="52"/>
      <c r="AL638" s="52"/>
      <c r="AM638" s="52"/>
      <c r="AN638" s="52"/>
      <c r="AO638" s="52"/>
      <c r="AP638" s="53"/>
      <c r="AQ638" s="53"/>
      <c r="AR638" s="54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4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  <c r="CE638" s="52"/>
      <c r="CF638" s="52"/>
      <c r="CG638" s="52"/>
      <c r="CH638" s="52"/>
    </row>
    <row r="639">
      <c r="K639" s="51"/>
      <c r="Y639" s="52"/>
      <c r="Z639" s="51"/>
      <c r="AA639" s="51"/>
      <c r="AK639" s="52"/>
      <c r="AL639" s="52"/>
      <c r="AM639" s="52"/>
      <c r="AN639" s="52"/>
      <c r="AO639" s="52"/>
      <c r="AP639" s="53"/>
      <c r="AQ639" s="53"/>
      <c r="AR639" s="54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4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52"/>
      <c r="BY639" s="52"/>
      <c r="BZ639" s="52"/>
      <c r="CA639" s="52"/>
      <c r="CB639" s="52"/>
      <c r="CC639" s="52"/>
      <c r="CD639" s="52"/>
      <c r="CE639" s="52"/>
      <c r="CF639" s="52"/>
      <c r="CG639" s="52"/>
      <c r="CH639" s="52"/>
    </row>
    <row r="640">
      <c r="K640" s="51"/>
      <c r="Y640" s="52"/>
      <c r="Z640" s="51"/>
      <c r="AA640" s="51"/>
      <c r="AK640" s="52"/>
      <c r="AL640" s="52"/>
      <c r="AM640" s="52"/>
      <c r="AN640" s="52"/>
      <c r="AO640" s="52"/>
      <c r="AP640" s="53"/>
      <c r="AQ640" s="53"/>
      <c r="AR640" s="54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4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52"/>
      <c r="BY640" s="52"/>
      <c r="BZ640" s="52"/>
      <c r="CA640" s="52"/>
      <c r="CB640" s="52"/>
      <c r="CC640" s="52"/>
      <c r="CD640" s="52"/>
      <c r="CE640" s="52"/>
      <c r="CF640" s="52"/>
      <c r="CG640" s="52"/>
      <c r="CH640" s="52"/>
    </row>
    <row r="641">
      <c r="K641" s="51"/>
      <c r="Y641" s="52"/>
      <c r="Z641" s="51"/>
      <c r="AA641" s="51"/>
      <c r="AK641" s="52"/>
      <c r="AL641" s="52"/>
      <c r="AM641" s="52"/>
      <c r="AN641" s="52"/>
      <c r="AO641" s="52"/>
      <c r="AP641" s="53"/>
      <c r="AQ641" s="53"/>
      <c r="AR641" s="54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4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  <c r="CE641" s="52"/>
      <c r="CF641" s="52"/>
      <c r="CG641" s="52"/>
      <c r="CH641" s="52"/>
    </row>
    <row r="642">
      <c r="K642" s="51"/>
      <c r="Y642" s="52"/>
      <c r="Z642" s="51"/>
      <c r="AA642" s="51"/>
      <c r="AK642" s="52"/>
      <c r="AL642" s="52"/>
      <c r="AM642" s="52"/>
      <c r="AN642" s="52"/>
      <c r="AO642" s="52"/>
      <c r="AP642" s="53"/>
      <c r="AQ642" s="53"/>
      <c r="AR642" s="54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4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52"/>
      <c r="BY642" s="52"/>
      <c r="BZ642" s="52"/>
      <c r="CA642" s="52"/>
      <c r="CB642" s="52"/>
      <c r="CC642" s="52"/>
      <c r="CD642" s="52"/>
      <c r="CE642" s="52"/>
      <c r="CF642" s="52"/>
      <c r="CG642" s="52"/>
      <c r="CH642" s="52"/>
    </row>
    <row r="643">
      <c r="K643" s="51"/>
      <c r="Y643" s="52"/>
      <c r="Z643" s="51"/>
      <c r="AA643" s="51"/>
      <c r="AK643" s="52"/>
      <c r="AL643" s="52"/>
      <c r="AM643" s="52"/>
      <c r="AN643" s="52"/>
      <c r="AO643" s="52"/>
      <c r="AP643" s="53"/>
      <c r="AQ643" s="53"/>
      <c r="AR643" s="54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4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52"/>
      <c r="BY643" s="52"/>
      <c r="BZ643" s="52"/>
      <c r="CA643" s="52"/>
      <c r="CB643" s="52"/>
      <c r="CC643" s="52"/>
      <c r="CD643" s="52"/>
      <c r="CE643" s="52"/>
      <c r="CF643" s="52"/>
      <c r="CG643" s="52"/>
      <c r="CH643" s="52"/>
    </row>
    <row r="644">
      <c r="K644" s="51"/>
      <c r="Y644" s="52"/>
      <c r="Z644" s="51"/>
      <c r="AA644" s="51"/>
      <c r="AK644" s="52"/>
      <c r="AL644" s="52"/>
      <c r="AM644" s="52"/>
      <c r="AN644" s="52"/>
      <c r="AO644" s="52"/>
      <c r="AP644" s="53"/>
      <c r="AQ644" s="53"/>
      <c r="AR644" s="54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4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  <c r="CE644" s="52"/>
      <c r="CF644" s="52"/>
      <c r="CG644" s="52"/>
      <c r="CH644" s="52"/>
    </row>
    <row r="645">
      <c r="K645" s="51"/>
      <c r="Y645" s="52"/>
      <c r="Z645" s="51"/>
      <c r="AA645" s="51"/>
      <c r="AK645" s="52"/>
      <c r="AL645" s="52"/>
      <c r="AM645" s="52"/>
      <c r="AN645" s="52"/>
      <c r="AO645" s="52"/>
      <c r="AP645" s="53"/>
      <c r="AQ645" s="53"/>
      <c r="AR645" s="54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4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52"/>
      <c r="BY645" s="52"/>
      <c r="BZ645" s="52"/>
      <c r="CA645" s="52"/>
      <c r="CB645" s="52"/>
      <c r="CC645" s="52"/>
      <c r="CD645" s="52"/>
      <c r="CE645" s="52"/>
      <c r="CF645" s="52"/>
      <c r="CG645" s="52"/>
      <c r="CH645" s="52"/>
    </row>
    <row r="646">
      <c r="K646" s="51"/>
      <c r="Y646" s="52"/>
      <c r="Z646" s="51"/>
      <c r="AA646" s="51"/>
      <c r="AK646" s="52"/>
      <c r="AL646" s="52"/>
      <c r="AM646" s="52"/>
      <c r="AN646" s="52"/>
      <c r="AO646" s="52"/>
      <c r="AP646" s="53"/>
      <c r="AQ646" s="53"/>
      <c r="AR646" s="54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4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</row>
    <row r="647">
      <c r="K647" s="51"/>
      <c r="Y647" s="52"/>
      <c r="Z647" s="51"/>
      <c r="AA647" s="51"/>
      <c r="AK647" s="52"/>
      <c r="AL647" s="52"/>
      <c r="AM647" s="52"/>
      <c r="AN647" s="52"/>
      <c r="AO647" s="52"/>
      <c r="AP647" s="53"/>
      <c r="AQ647" s="53"/>
      <c r="AR647" s="54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4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</row>
    <row r="648">
      <c r="K648" s="51"/>
      <c r="Y648" s="52"/>
      <c r="Z648" s="51"/>
      <c r="AA648" s="51"/>
      <c r="AK648" s="52"/>
      <c r="AL648" s="52"/>
      <c r="AM648" s="52"/>
      <c r="AN648" s="52"/>
      <c r="AO648" s="52"/>
      <c r="AP648" s="53"/>
      <c r="AQ648" s="53"/>
      <c r="AR648" s="54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4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52"/>
      <c r="BY648" s="52"/>
      <c r="BZ648" s="52"/>
      <c r="CA648" s="52"/>
      <c r="CB648" s="52"/>
      <c r="CC648" s="52"/>
      <c r="CD648" s="52"/>
      <c r="CE648" s="52"/>
      <c r="CF648" s="52"/>
      <c r="CG648" s="52"/>
      <c r="CH648" s="52"/>
    </row>
    <row r="649">
      <c r="K649" s="51"/>
      <c r="Y649" s="52"/>
      <c r="Z649" s="51"/>
      <c r="AA649" s="51"/>
      <c r="AK649" s="52"/>
      <c r="AL649" s="52"/>
      <c r="AM649" s="52"/>
      <c r="AN649" s="52"/>
      <c r="AO649" s="52"/>
      <c r="AP649" s="53"/>
      <c r="AQ649" s="53"/>
      <c r="AR649" s="54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4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</row>
    <row r="650">
      <c r="K650" s="51"/>
      <c r="Y650" s="52"/>
      <c r="Z650" s="51"/>
      <c r="AA650" s="51"/>
      <c r="AK650" s="52"/>
      <c r="AL650" s="52"/>
      <c r="AM650" s="52"/>
      <c r="AN650" s="52"/>
      <c r="AO650" s="52"/>
      <c r="AP650" s="53"/>
      <c r="AQ650" s="53"/>
      <c r="AR650" s="54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4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</row>
    <row r="651">
      <c r="K651" s="51"/>
      <c r="Y651" s="52"/>
      <c r="Z651" s="51"/>
      <c r="AA651" s="51"/>
      <c r="AK651" s="52"/>
      <c r="AL651" s="52"/>
      <c r="AM651" s="52"/>
      <c r="AN651" s="52"/>
      <c r="AO651" s="52"/>
      <c r="AP651" s="53"/>
      <c r="AQ651" s="53"/>
      <c r="AR651" s="54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4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</row>
    <row r="652">
      <c r="K652" s="51"/>
      <c r="Y652" s="52"/>
      <c r="Z652" s="51"/>
      <c r="AA652" s="51"/>
      <c r="AK652" s="52"/>
      <c r="AL652" s="52"/>
      <c r="AM652" s="52"/>
      <c r="AN652" s="52"/>
      <c r="AO652" s="52"/>
      <c r="AP652" s="53"/>
      <c r="AQ652" s="53"/>
      <c r="AR652" s="54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4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</row>
    <row r="653">
      <c r="K653" s="51"/>
      <c r="Y653" s="52"/>
      <c r="Z653" s="51"/>
      <c r="AA653" s="51"/>
      <c r="AK653" s="52"/>
      <c r="AL653" s="52"/>
      <c r="AM653" s="52"/>
      <c r="AN653" s="52"/>
      <c r="AO653" s="52"/>
      <c r="AP653" s="53"/>
      <c r="AQ653" s="53"/>
      <c r="AR653" s="54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4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</row>
    <row r="654">
      <c r="K654" s="51"/>
      <c r="Y654" s="52"/>
      <c r="Z654" s="51"/>
      <c r="AA654" s="51"/>
      <c r="AK654" s="52"/>
      <c r="AL654" s="52"/>
      <c r="AM654" s="52"/>
      <c r="AN654" s="52"/>
      <c r="AO654" s="52"/>
      <c r="AP654" s="53"/>
      <c r="AQ654" s="53"/>
      <c r="AR654" s="54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4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</row>
    <row r="655">
      <c r="K655" s="51"/>
      <c r="Y655" s="52"/>
      <c r="Z655" s="51"/>
      <c r="AA655" s="51"/>
      <c r="AK655" s="52"/>
      <c r="AL655" s="52"/>
      <c r="AM655" s="52"/>
      <c r="AN655" s="52"/>
      <c r="AO655" s="52"/>
      <c r="AP655" s="53"/>
      <c r="AQ655" s="53"/>
      <c r="AR655" s="54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4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</row>
    <row r="656">
      <c r="K656" s="51"/>
      <c r="Y656" s="52"/>
      <c r="Z656" s="51"/>
      <c r="AA656" s="51"/>
      <c r="AK656" s="52"/>
      <c r="AL656" s="52"/>
      <c r="AM656" s="52"/>
      <c r="AN656" s="52"/>
      <c r="AO656" s="52"/>
      <c r="AP656" s="53"/>
      <c r="AQ656" s="53"/>
      <c r="AR656" s="54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4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</row>
    <row r="657">
      <c r="K657" s="51"/>
      <c r="Y657" s="52"/>
      <c r="Z657" s="51"/>
      <c r="AA657" s="51"/>
      <c r="AK657" s="52"/>
      <c r="AL657" s="52"/>
      <c r="AM657" s="52"/>
      <c r="AN657" s="52"/>
      <c r="AO657" s="52"/>
      <c r="AP657" s="53"/>
      <c r="AQ657" s="53"/>
      <c r="AR657" s="54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4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</row>
    <row r="658">
      <c r="K658" s="51"/>
      <c r="Y658" s="52"/>
      <c r="Z658" s="51"/>
      <c r="AA658" s="51"/>
      <c r="AK658" s="52"/>
      <c r="AL658" s="52"/>
      <c r="AM658" s="52"/>
      <c r="AN658" s="52"/>
      <c r="AO658" s="52"/>
      <c r="AP658" s="53"/>
      <c r="AQ658" s="53"/>
      <c r="AR658" s="54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4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</row>
    <row r="659">
      <c r="K659" s="51"/>
      <c r="Y659" s="52"/>
      <c r="Z659" s="51"/>
      <c r="AA659" s="51"/>
      <c r="AK659" s="52"/>
      <c r="AL659" s="52"/>
      <c r="AM659" s="52"/>
      <c r="AN659" s="52"/>
      <c r="AO659" s="52"/>
      <c r="AP659" s="53"/>
      <c r="AQ659" s="53"/>
      <c r="AR659" s="54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4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</row>
    <row r="660">
      <c r="K660" s="51"/>
      <c r="Y660" s="52"/>
      <c r="Z660" s="51"/>
      <c r="AA660" s="51"/>
      <c r="AK660" s="52"/>
      <c r="AL660" s="52"/>
      <c r="AM660" s="52"/>
      <c r="AN660" s="52"/>
      <c r="AO660" s="52"/>
      <c r="AP660" s="53"/>
      <c r="AQ660" s="53"/>
      <c r="AR660" s="54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4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52"/>
      <c r="BY660" s="52"/>
      <c r="BZ660" s="52"/>
      <c r="CA660" s="52"/>
      <c r="CB660" s="52"/>
      <c r="CC660" s="52"/>
      <c r="CD660" s="52"/>
      <c r="CE660" s="52"/>
      <c r="CF660" s="52"/>
      <c r="CG660" s="52"/>
      <c r="CH660" s="52"/>
    </row>
    <row r="661">
      <c r="K661" s="51"/>
      <c r="Y661" s="52"/>
      <c r="Z661" s="51"/>
      <c r="AA661" s="51"/>
      <c r="AK661" s="52"/>
      <c r="AL661" s="52"/>
      <c r="AM661" s="52"/>
      <c r="AN661" s="52"/>
      <c r="AO661" s="52"/>
      <c r="AP661" s="53"/>
      <c r="AQ661" s="53"/>
      <c r="AR661" s="54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4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52"/>
      <c r="BY661" s="52"/>
      <c r="BZ661" s="52"/>
      <c r="CA661" s="52"/>
      <c r="CB661" s="52"/>
      <c r="CC661" s="52"/>
      <c r="CD661" s="52"/>
      <c r="CE661" s="52"/>
      <c r="CF661" s="52"/>
      <c r="CG661" s="52"/>
      <c r="CH661" s="52"/>
    </row>
    <row r="662">
      <c r="K662" s="51"/>
      <c r="Y662" s="52"/>
      <c r="Z662" s="51"/>
      <c r="AA662" s="51"/>
      <c r="AK662" s="52"/>
      <c r="AL662" s="52"/>
      <c r="AM662" s="52"/>
      <c r="AN662" s="52"/>
      <c r="AO662" s="52"/>
      <c r="AP662" s="53"/>
      <c r="AQ662" s="53"/>
      <c r="AR662" s="54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4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  <c r="CE662" s="52"/>
      <c r="CF662" s="52"/>
      <c r="CG662" s="52"/>
      <c r="CH662" s="52"/>
    </row>
    <row r="663">
      <c r="K663" s="51"/>
      <c r="Y663" s="52"/>
      <c r="Z663" s="51"/>
      <c r="AA663" s="51"/>
      <c r="AK663" s="52"/>
      <c r="AL663" s="52"/>
      <c r="AM663" s="52"/>
      <c r="AN663" s="52"/>
      <c r="AO663" s="52"/>
      <c r="AP663" s="53"/>
      <c r="AQ663" s="53"/>
      <c r="AR663" s="54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4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52"/>
      <c r="BY663" s="52"/>
      <c r="BZ663" s="52"/>
      <c r="CA663" s="52"/>
      <c r="CB663" s="52"/>
      <c r="CC663" s="52"/>
      <c r="CD663" s="52"/>
      <c r="CE663" s="52"/>
      <c r="CF663" s="52"/>
      <c r="CG663" s="52"/>
      <c r="CH663" s="52"/>
    </row>
    <row r="664">
      <c r="K664" s="51"/>
      <c r="Y664" s="52"/>
      <c r="Z664" s="51"/>
      <c r="AA664" s="51"/>
      <c r="AK664" s="52"/>
      <c r="AL664" s="52"/>
      <c r="AM664" s="52"/>
      <c r="AN664" s="52"/>
      <c r="AO664" s="52"/>
      <c r="AP664" s="53"/>
      <c r="AQ664" s="53"/>
      <c r="AR664" s="54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4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52"/>
      <c r="BY664" s="52"/>
      <c r="BZ664" s="52"/>
      <c r="CA664" s="52"/>
      <c r="CB664" s="52"/>
      <c r="CC664" s="52"/>
      <c r="CD664" s="52"/>
      <c r="CE664" s="52"/>
      <c r="CF664" s="52"/>
      <c r="CG664" s="52"/>
      <c r="CH664" s="52"/>
    </row>
    <row r="665">
      <c r="K665" s="51"/>
      <c r="Y665" s="52"/>
      <c r="Z665" s="51"/>
      <c r="AA665" s="51"/>
      <c r="AK665" s="52"/>
      <c r="AL665" s="52"/>
      <c r="AM665" s="52"/>
      <c r="AN665" s="52"/>
      <c r="AO665" s="52"/>
      <c r="AP665" s="53"/>
      <c r="AQ665" s="53"/>
      <c r="AR665" s="54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4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</row>
    <row r="666">
      <c r="K666" s="51"/>
      <c r="Y666" s="52"/>
      <c r="Z666" s="51"/>
      <c r="AA666" s="51"/>
      <c r="AK666" s="52"/>
      <c r="AL666" s="52"/>
      <c r="AM666" s="52"/>
      <c r="AN666" s="52"/>
      <c r="AO666" s="52"/>
      <c r="AP666" s="53"/>
      <c r="AQ666" s="53"/>
      <c r="AR666" s="54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4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</row>
    <row r="667">
      <c r="K667" s="51"/>
      <c r="Y667" s="52"/>
      <c r="Z667" s="51"/>
      <c r="AA667" s="51"/>
      <c r="AK667" s="52"/>
      <c r="AL667" s="52"/>
      <c r="AM667" s="52"/>
      <c r="AN667" s="52"/>
      <c r="AO667" s="52"/>
      <c r="AP667" s="53"/>
      <c r="AQ667" s="53"/>
      <c r="AR667" s="54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4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</row>
    <row r="668">
      <c r="K668" s="51"/>
      <c r="Y668" s="52"/>
      <c r="Z668" s="51"/>
      <c r="AA668" s="51"/>
      <c r="AK668" s="52"/>
      <c r="AL668" s="52"/>
      <c r="AM668" s="52"/>
      <c r="AN668" s="52"/>
      <c r="AO668" s="52"/>
      <c r="AP668" s="53"/>
      <c r="AQ668" s="53"/>
      <c r="AR668" s="54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4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</row>
    <row r="669">
      <c r="K669" s="51"/>
      <c r="Y669" s="52"/>
      <c r="Z669" s="51"/>
      <c r="AA669" s="51"/>
      <c r="AK669" s="52"/>
      <c r="AL669" s="52"/>
      <c r="AM669" s="52"/>
      <c r="AN669" s="52"/>
      <c r="AO669" s="52"/>
      <c r="AP669" s="53"/>
      <c r="AQ669" s="53"/>
      <c r="AR669" s="54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4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  <c r="CE669" s="52"/>
      <c r="CF669" s="52"/>
      <c r="CG669" s="52"/>
      <c r="CH669" s="52"/>
    </row>
    <row r="670">
      <c r="K670" s="51"/>
      <c r="Y670" s="52"/>
      <c r="Z670" s="51"/>
      <c r="AA670" s="51"/>
      <c r="AK670" s="52"/>
      <c r="AL670" s="52"/>
      <c r="AM670" s="52"/>
      <c r="AN670" s="52"/>
      <c r="AO670" s="52"/>
      <c r="AP670" s="53"/>
      <c r="AQ670" s="53"/>
      <c r="AR670" s="54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4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</row>
    <row r="671">
      <c r="K671" s="51"/>
      <c r="Y671" s="52"/>
      <c r="Z671" s="51"/>
      <c r="AA671" s="51"/>
      <c r="AK671" s="52"/>
      <c r="AL671" s="52"/>
      <c r="AM671" s="52"/>
      <c r="AN671" s="52"/>
      <c r="AO671" s="52"/>
      <c r="AP671" s="53"/>
      <c r="AQ671" s="53"/>
      <c r="AR671" s="54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4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</row>
    <row r="672">
      <c r="K672" s="51"/>
      <c r="Y672" s="52"/>
      <c r="Z672" s="51"/>
      <c r="AA672" s="51"/>
      <c r="AK672" s="52"/>
      <c r="AL672" s="52"/>
      <c r="AM672" s="52"/>
      <c r="AN672" s="52"/>
      <c r="AO672" s="52"/>
      <c r="AP672" s="53"/>
      <c r="AQ672" s="53"/>
      <c r="AR672" s="54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4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  <c r="CE672" s="52"/>
      <c r="CF672" s="52"/>
      <c r="CG672" s="52"/>
      <c r="CH672" s="52"/>
    </row>
    <row r="673">
      <c r="K673" s="51"/>
      <c r="Y673" s="52"/>
      <c r="Z673" s="51"/>
      <c r="AA673" s="51"/>
      <c r="AK673" s="52"/>
      <c r="AL673" s="52"/>
      <c r="AM673" s="52"/>
      <c r="AN673" s="52"/>
      <c r="AO673" s="52"/>
      <c r="AP673" s="53"/>
      <c r="AQ673" s="53"/>
      <c r="AR673" s="54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4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</row>
    <row r="674">
      <c r="K674" s="51"/>
      <c r="Y674" s="52"/>
      <c r="Z674" s="51"/>
      <c r="AA674" s="51"/>
      <c r="AK674" s="52"/>
      <c r="AL674" s="52"/>
      <c r="AM674" s="52"/>
      <c r="AN674" s="52"/>
      <c r="AO674" s="52"/>
      <c r="AP674" s="53"/>
      <c r="AQ674" s="53"/>
      <c r="AR674" s="54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4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</row>
    <row r="675">
      <c r="K675" s="51"/>
      <c r="Y675" s="52"/>
      <c r="Z675" s="51"/>
      <c r="AA675" s="51"/>
      <c r="AK675" s="52"/>
      <c r="AL675" s="52"/>
      <c r="AM675" s="52"/>
      <c r="AN675" s="52"/>
      <c r="AO675" s="52"/>
      <c r="AP675" s="53"/>
      <c r="AQ675" s="53"/>
      <c r="AR675" s="54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4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  <c r="CE675" s="52"/>
      <c r="CF675" s="52"/>
      <c r="CG675" s="52"/>
      <c r="CH675" s="52"/>
    </row>
    <row r="676">
      <c r="K676" s="51"/>
      <c r="Y676" s="52"/>
      <c r="Z676" s="51"/>
      <c r="AA676" s="51"/>
      <c r="AK676" s="52"/>
      <c r="AL676" s="52"/>
      <c r="AM676" s="52"/>
      <c r="AN676" s="52"/>
      <c r="AO676" s="52"/>
      <c r="AP676" s="53"/>
      <c r="AQ676" s="53"/>
      <c r="AR676" s="54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4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  <c r="CE676" s="52"/>
      <c r="CF676" s="52"/>
      <c r="CG676" s="52"/>
      <c r="CH676" s="52"/>
    </row>
    <row r="677">
      <c r="K677" s="51"/>
      <c r="Y677" s="52"/>
      <c r="Z677" s="51"/>
      <c r="AA677" s="51"/>
      <c r="AK677" s="52"/>
      <c r="AL677" s="52"/>
      <c r="AM677" s="52"/>
      <c r="AN677" s="52"/>
      <c r="AO677" s="52"/>
      <c r="AP677" s="53"/>
      <c r="AQ677" s="53"/>
      <c r="AR677" s="54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4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</row>
    <row r="678">
      <c r="K678" s="51"/>
      <c r="Y678" s="52"/>
      <c r="Z678" s="51"/>
      <c r="AA678" s="51"/>
      <c r="AK678" s="52"/>
      <c r="AL678" s="52"/>
      <c r="AM678" s="52"/>
      <c r="AN678" s="52"/>
      <c r="AO678" s="52"/>
      <c r="AP678" s="53"/>
      <c r="AQ678" s="53"/>
      <c r="AR678" s="54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4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</row>
    <row r="679">
      <c r="K679" s="51"/>
      <c r="Y679" s="52"/>
      <c r="Z679" s="51"/>
      <c r="AA679" s="51"/>
      <c r="AK679" s="52"/>
      <c r="AL679" s="52"/>
      <c r="AM679" s="52"/>
      <c r="AN679" s="52"/>
      <c r="AO679" s="52"/>
      <c r="AP679" s="53"/>
      <c r="AQ679" s="53"/>
      <c r="AR679" s="54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4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  <c r="CE679" s="52"/>
      <c r="CF679" s="52"/>
      <c r="CG679" s="52"/>
      <c r="CH679" s="52"/>
    </row>
    <row r="680">
      <c r="K680" s="51"/>
      <c r="Y680" s="52"/>
      <c r="Z680" s="51"/>
      <c r="AA680" s="51"/>
      <c r="AK680" s="52"/>
      <c r="AL680" s="52"/>
      <c r="AM680" s="52"/>
      <c r="AN680" s="52"/>
      <c r="AO680" s="52"/>
      <c r="AP680" s="53"/>
      <c r="AQ680" s="53"/>
      <c r="AR680" s="54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4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</row>
    <row r="681">
      <c r="K681" s="51"/>
      <c r="Y681" s="52"/>
      <c r="Z681" s="51"/>
      <c r="AA681" s="51"/>
      <c r="AK681" s="52"/>
      <c r="AL681" s="52"/>
      <c r="AM681" s="52"/>
      <c r="AN681" s="52"/>
      <c r="AO681" s="52"/>
      <c r="AP681" s="53"/>
      <c r="AQ681" s="53"/>
      <c r="AR681" s="54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4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  <c r="CE681" s="52"/>
      <c r="CF681" s="52"/>
      <c r="CG681" s="52"/>
      <c r="CH681" s="52"/>
    </row>
    <row r="682">
      <c r="K682" s="51"/>
      <c r="Y682" s="52"/>
      <c r="Z682" s="51"/>
      <c r="AA682" s="51"/>
      <c r="AK682" s="52"/>
      <c r="AL682" s="52"/>
      <c r="AM682" s="52"/>
      <c r="AN682" s="52"/>
      <c r="AO682" s="52"/>
      <c r="AP682" s="53"/>
      <c r="AQ682" s="53"/>
      <c r="AR682" s="54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4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52"/>
      <c r="BY682" s="52"/>
      <c r="BZ682" s="52"/>
      <c r="CA682" s="52"/>
      <c r="CB682" s="52"/>
      <c r="CC682" s="52"/>
      <c r="CD682" s="52"/>
      <c r="CE682" s="52"/>
      <c r="CF682" s="52"/>
      <c r="CG682" s="52"/>
      <c r="CH682" s="52"/>
    </row>
    <row r="683">
      <c r="K683" s="51"/>
      <c r="Y683" s="52"/>
      <c r="Z683" s="51"/>
      <c r="AA683" s="51"/>
      <c r="AK683" s="52"/>
      <c r="AL683" s="52"/>
      <c r="AM683" s="52"/>
      <c r="AN683" s="52"/>
      <c r="AO683" s="52"/>
      <c r="AP683" s="53"/>
      <c r="AQ683" s="53"/>
      <c r="AR683" s="54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4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</row>
    <row r="684">
      <c r="K684" s="51"/>
      <c r="Y684" s="52"/>
      <c r="Z684" s="51"/>
      <c r="AA684" s="51"/>
      <c r="AK684" s="52"/>
      <c r="AL684" s="52"/>
      <c r="AM684" s="52"/>
      <c r="AN684" s="52"/>
      <c r="AO684" s="52"/>
      <c r="AP684" s="53"/>
      <c r="AQ684" s="53"/>
      <c r="AR684" s="54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4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  <c r="CE684" s="52"/>
      <c r="CF684" s="52"/>
      <c r="CG684" s="52"/>
      <c r="CH684" s="52"/>
    </row>
    <row r="685">
      <c r="K685" s="51"/>
      <c r="Y685" s="52"/>
      <c r="Z685" s="51"/>
      <c r="AA685" s="51"/>
      <c r="AK685" s="52"/>
      <c r="AL685" s="52"/>
      <c r="AM685" s="52"/>
      <c r="AN685" s="52"/>
      <c r="AO685" s="52"/>
      <c r="AP685" s="53"/>
      <c r="AQ685" s="53"/>
      <c r="AR685" s="54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4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52"/>
      <c r="BY685" s="52"/>
      <c r="BZ685" s="52"/>
      <c r="CA685" s="52"/>
      <c r="CB685" s="52"/>
      <c r="CC685" s="52"/>
      <c r="CD685" s="52"/>
      <c r="CE685" s="52"/>
      <c r="CF685" s="52"/>
      <c r="CG685" s="52"/>
      <c r="CH685" s="52"/>
    </row>
    <row r="686">
      <c r="K686" s="51"/>
      <c r="Y686" s="52"/>
      <c r="Z686" s="51"/>
      <c r="AA686" s="51"/>
      <c r="AK686" s="52"/>
      <c r="AL686" s="52"/>
      <c r="AM686" s="52"/>
      <c r="AN686" s="52"/>
      <c r="AO686" s="52"/>
      <c r="AP686" s="53"/>
      <c r="AQ686" s="53"/>
      <c r="AR686" s="54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4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</row>
    <row r="687">
      <c r="K687" s="51"/>
      <c r="Y687" s="52"/>
      <c r="Z687" s="51"/>
      <c r="AA687" s="51"/>
      <c r="AK687" s="52"/>
      <c r="AL687" s="52"/>
      <c r="AM687" s="52"/>
      <c r="AN687" s="52"/>
      <c r="AO687" s="52"/>
      <c r="AP687" s="53"/>
      <c r="AQ687" s="53"/>
      <c r="AR687" s="54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4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</row>
    <row r="688">
      <c r="K688" s="51"/>
      <c r="Y688" s="52"/>
      <c r="Z688" s="51"/>
      <c r="AA688" s="51"/>
      <c r="AK688" s="52"/>
      <c r="AL688" s="52"/>
      <c r="AM688" s="52"/>
      <c r="AN688" s="52"/>
      <c r="AO688" s="52"/>
      <c r="AP688" s="53"/>
      <c r="AQ688" s="53"/>
      <c r="AR688" s="54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4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</row>
    <row r="689">
      <c r="K689" s="51"/>
      <c r="Y689" s="52"/>
      <c r="Z689" s="51"/>
      <c r="AA689" s="51"/>
      <c r="AK689" s="52"/>
      <c r="AL689" s="52"/>
      <c r="AM689" s="52"/>
      <c r="AN689" s="52"/>
      <c r="AO689" s="52"/>
      <c r="AP689" s="53"/>
      <c r="AQ689" s="53"/>
      <c r="AR689" s="54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4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</row>
    <row r="690">
      <c r="K690" s="51"/>
      <c r="Y690" s="52"/>
      <c r="Z690" s="51"/>
      <c r="AA690" s="51"/>
      <c r="AK690" s="52"/>
      <c r="AL690" s="52"/>
      <c r="AM690" s="52"/>
      <c r="AN690" s="52"/>
      <c r="AO690" s="52"/>
      <c r="AP690" s="53"/>
      <c r="AQ690" s="53"/>
      <c r="AR690" s="54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4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</row>
    <row r="691">
      <c r="K691" s="51"/>
      <c r="Y691" s="52"/>
      <c r="Z691" s="51"/>
      <c r="AA691" s="51"/>
      <c r="AK691" s="52"/>
      <c r="AL691" s="52"/>
      <c r="AM691" s="52"/>
      <c r="AN691" s="52"/>
      <c r="AO691" s="52"/>
      <c r="AP691" s="53"/>
      <c r="AQ691" s="53"/>
      <c r="AR691" s="54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4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</row>
    <row r="692">
      <c r="K692" s="51"/>
      <c r="Y692" s="52"/>
      <c r="Z692" s="51"/>
      <c r="AA692" s="51"/>
      <c r="AK692" s="52"/>
      <c r="AL692" s="52"/>
      <c r="AM692" s="52"/>
      <c r="AN692" s="52"/>
      <c r="AO692" s="52"/>
      <c r="AP692" s="53"/>
      <c r="AQ692" s="53"/>
      <c r="AR692" s="54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4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</row>
    <row r="693">
      <c r="K693" s="51"/>
      <c r="Y693" s="52"/>
      <c r="Z693" s="51"/>
      <c r="AA693" s="51"/>
      <c r="AK693" s="52"/>
      <c r="AL693" s="52"/>
      <c r="AM693" s="52"/>
      <c r="AN693" s="52"/>
      <c r="AO693" s="52"/>
      <c r="AP693" s="53"/>
      <c r="AQ693" s="53"/>
      <c r="AR693" s="54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4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</row>
    <row r="694">
      <c r="K694" s="51"/>
      <c r="Y694" s="52"/>
      <c r="Z694" s="51"/>
      <c r="AA694" s="51"/>
      <c r="AK694" s="52"/>
      <c r="AL694" s="52"/>
      <c r="AM694" s="52"/>
      <c r="AN694" s="52"/>
      <c r="AO694" s="52"/>
      <c r="AP694" s="53"/>
      <c r="AQ694" s="53"/>
      <c r="AR694" s="54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4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</row>
    <row r="695">
      <c r="K695" s="51"/>
      <c r="Y695" s="52"/>
      <c r="Z695" s="51"/>
      <c r="AA695" s="51"/>
      <c r="AK695" s="52"/>
      <c r="AL695" s="52"/>
      <c r="AM695" s="52"/>
      <c r="AN695" s="52"/>
      <c r="AO695" s="52"/>
      <c r="AP695" s="53"/>
      <c r="AQ695" s="53"/>
      <c r="AR695" s="54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4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</row>
    <row r="696">
      <c r="K696" s="51"/>
      <c r="Y696" s="52"/>
      <c r="Z696" s="51"/>
      <c r="AA696" s="51"/>
      <c r="AK696" s="52"/>
      <c r="AL696" s="52"/>
      <c r="AM696" s="52"/>
      <c r="AN696" s="52"/>
      <c r="AO696" s="52"/>
      <c r="AP696" s="53"/>
      <c r="AQ696" s="53"/>
      <c r="AR696" s="54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4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</row>
    <row r="697">
      <c r="K697" s="51"/>
      <c r="Y697" s="52"/>
      <c r="Z697" s="51"/>
      <c r="AA697" s="51"/>
      <c r="AK697" s="52"/>
      <c r="AL697" s="52"/>
      <c r="AM697" s="52"/>
      <c r="AN697" s="52"/>
      <c r="AO697" s="52"/>
      <c r="AP697" s="53"/>
      <c r="AQ697" s="53"/>
      <c r="AR697" s="54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4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</row>
    <row r="698">
      <c r="K698" s="51"/>
      <c r="Y698" s="52"/>
      <c r="Z698" s="51"/>
      <c r="AA698" s="51"/>
      <c r="AK698" s="52"/>
      <c r="AL698" s="52"/>
      <c r="AM698" s="52"/>
      <c r="AN698" s="52"/>
      <c r="AO698" s="52"/>
      <c r="AP698" s="53"/>
      <c r="AQ698" s="53"/>
      <c r="AR698" s="54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4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</row>
    <row r="699">
      <c r="K699" s="51"/>
      <c r="Y699" s="52"/>
      <c r="Z699" s="51"/>
      <c r="AA699" s="51"/>
      <c r="AK699" s="52"/>
      <c r="AL699" s="52"/>
      <c r="AM699" s="52"/>
      <c r="AN699" s="52"/>
      <c r="AO699" s="52"/>
      <c r="AP699" s="53"/>
      <c r="AQ699" s="53"/>
      <c r="AR699" s="54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4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</row>
    <row r="700">
      <c r="K700" s="51"/>
      <c r="Y700" s="52"/>
      <c r="Z700" s="51"/>
      <c r="AA700" s="51"/>
      <c r="AK700" s="52"/>
      <c r="AL700" s="52"/>
      <c r="AM700" s="52"/>
      <c r="AN700" s="52"/>
      <c r="AO700" s="52"/>
      <c r="AP700" s="53"/>
      <c r="AQ700" s="53"/>
      <c r="AR700" s="54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4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52"/>
      <c r="BY700" s="52"/>
      <c r="BZ700" s="52"/>
      <c r="CA700" s="52"/>
      <c r="CB700" s="52"/>
      <c r="CC700" s="52"/>
      <c r="CD700" s="52"/>
      <c r="CE700" s="52"/>
      <c r="CF700" s="52"/>
      <c r="CG700" s="52"/>
      <c r="CH700" s="52"/>
    </row>
    <row r="701">
      <c r="K701" s="51"/>
      <c r="Y701" s="52"/>
      <c r="Z701" s="51"/>
      <c r="AA701" s="51"/>
      <c r="AK701" s="52"/>
      <c r="AL701" s="52"/>
      <c r="AM701" s="52"/>
      <c r="AN701" s="52"/>
      <c r="AO701" s="52"/>
      <c r="AP701" s="53"/>
      <c r="AQ701" s="53"/>
      <c r="AR701" s="54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4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  <c r="CE701" s="52"/>
      <c r="CF701" s="52"/>
      <c r="CG701" s="52"/>
      <c r="CH701" s="52"/>
    </row>
    <row r="702">
      <c r="K702" s="51"/>
      <c r="Y702" s="52"/>
      <c r="Z702" s="51"/>
      <c r="AA702" s="51"/>
      <c r="AK702" s="52"/>
      <c r="AL702" s="52"/>
      <c r="AM702" s="52"/>
      <c r="AN702" s="52"/>
      <c r="AO702" s="52"/>
      <c r="AP702" s="53"/>
      <c r="AQ702" s="53"/>
      <c r="AR702" s="54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4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52"/>
      <c r="BY702" s="52"/>
      <c r="BZ702" s="52"/>
      <c r="CA702" s="52"/>
      <c r="CB702" s="52"/>
      <c r="CC702" s="52"/>
      <c r="CD702" s="52"/>
      <c r="CE702" s="52"/>
      <c r="CF702" s="52"/>
      <c r="CG702" s="52"/>
      <c r="CH702" s="52"/>
    </row>
    <row r="703">
      <c r="K703" s="51"/>
      <c r="Y703" s="52"/>
      <c r="Z703" s="51"/>
      <c r="AA703" s="51"/>
      <c r="AK703" s="52"/>
      <c r="AL703" s="52"/>
      <c r="AM703" s="52"/>
      <c r="AN703" s="52"/>
      <c r="AO703" s="52"/>
      <c r="AP703" s="53"/>
      <c r="AQ703" s="53"/>
      <c r="AR703" s="54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4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52"/>
      <c r="BY703" s="52"/>
      <c r="BZ703" s="52"/>
      <c r="CA703" s="52"/>
      <c r="CB703" s="52"/>
      <c r="CC703" s="52"/>
      <c r="CD703" s="52"/>
      <c r="CE703" s="52"/>
      <c r="CF703" s="52"/>
      <c r="CG703" s="52"/>
      <c r="CH703" s="52"/>
    </row>
    <row r="704">
      <c r="K704" s="51"/>
      <c r="Y704" s="52"/>
      <c r="Z704" s="51"/>
      <c r="AA704" s="51"/>
      <c r="AK704" s="52"/>
      <c r="AL704" s="52"/>
      <c r="AM704" s="52"/>
      <c r="AN704" s="52"/>
      <c r="AO704" s="52"/>
      <c r="AP704" s="53"/>
      <c r="AQ704" s="53"/>
      <c r="AR704" s="54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4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  <c r="CE704" s="52"/>
      <c r="CF704" s="52"/>
      <c r="CG704" s="52"/>
      <c r="CH704" s="52"/>
    </row>
    <row r="705">
      <c r="K705" s="51"/>
      <c r="Y705" s="52"/>
      <c r="Z705" s="51"/>
      <c r="AA705" s="51"/>
      <c r="AK705" s="52"/>
      <c r="AL705" s="52"/>
      <c r="AM705" s="52"/>
      <c r="AN705" s="52"/>
      <c r="AO705" s="52"/>
      <c r="AP705" s="53"/>
      <c r="AQ705" s="53"/>
      <c r="AR705" s="54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4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52"/>
      <c r="BY705" s="52"/>
      <c r="BZ705" s="52"/>
      <c r="CA705" s="52"/>
      <c r="CB705" s="52"/>
      <c r="CC705" s="52"/>
      <c r="CD705" s="52"/>
      <c r="CE705" s="52"/>
      <c r="CF705" s="52"/>
      <c r="CG705" s="52"/>
      <c r="CH705" s="52"/>
    </row>
    <row r="706">
      <c r="K706" s="51"/>
      <c r="Y706" s="52"/>
      <c r="Z706" s="51"/>
      <c r="AA706" s="51"/>
      <c r="AK706" s="52"/>
      <c r="AL706" s="52"/>
      <c r="AM706" s="52"/>
      <c r="AN706" s="52"/>
      <c r="AO706" s="52"/>
      <c r="AP706" s="53"/>
      <c r="AQ706" s="53"/>
      <c r="AR706" s="54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4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52"/>
      <c r="BY706" s="52"/>
      <c r="BZ706" s="52"/>
      <c r="CA706" s="52"/>
      <c r="CB706" s="52"/>
      <c r="CC706" s="52"/>
      <c r="CD706" s="52"/>
      <c r="CE706" s="52"/>
      <c r="CF706" s="52"/>
      <c r="CG706" s="52"/>
      <c r="CH706" s="52"/>
    </row>
    <row r="707">
      <c r="K707" s="51"/>
      <c r="Y707" s="52"/>
      <c r="Z707" s="51"/>
      <c r="AA707" s="51"/>
      <c r="AK707" s="52"/>
      <c r="AL707" s="52"/>
      <c r="AM707" s="52"/>
      <c r="AN707" s="52"/>
      <c r="AO707" s="52"/>
      <c r="AP707" s="53"/>
      <c r="AQ707" s="53"/>
      <c r="AR707" s="54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4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  <c r="CE707" s="52"/>
      <c r="CF707" s="52"/>
      <c r="CG707" s="52"/>
      <c r="CH707" s="52"/>
    </row>
    <row r="708">
      <c r="K708" s="51"/>
      <c r="Y708" s="52"/>
      <c r="Z708" s="51"/>
      <c r="AA708" s="51"/>
      <c r="AK708" s="52"/>
      <c r="AL708" s="52"/>
      <c r="AM708" s="52"/>
      <c r="AN708" s="52"/>
      <c r="AO708" s="52"/>
      <c r="AP708" s="53"/>
      <c r="AQ708" s="53"/>
      <c r="AR708" s="54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4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52"/>
      <c r="BY708" s="52"/>
      <c r="BZ708" s="52"/>
      <c r="CA708" s="52"/>
      <c r="CB708" s="52"/>
      <c r="CC708" s="52"/>
      <c r="CD708" s="52"/>
      <c r="CE708" s="52"/>
      <c r="CF708" s="52"/>
      <c r="CG708" s="52"/>
      <c r="CH708" s="52"/>
    </row>
    <row r="709">
      <c r="K709" s="51"/>
      <c r="Y709" s="52"/>
      <c r="Z709" s="51"/>
      <c r="AA709" s="51"/>
      <c r="AK709" s="52"/>
      <c r="AL709" s="52"/>
      <c r="AM709" s="52"/>
      <c r="AN709" s="52"/>
      <c r="AO709" s="52"/>
      <c r="AP709" s="53"/>
      <c r="AQ709" s="53"/>
      <c r="AR709" s="54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4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52"/>
      <c r="BY709" s="52"/>
      <c r="BZ709" s="52"/>
      <c r="CA709" s="52"/>
      <c r="CB709" s="52"/>
      <c r="CC709" s="52"/>
      <c r="CD709" s="52"/>
      <c r="CE709" s="52"/>
      <c r="CF709" s="52"/>
      <c r="CG709" s="52"/>
      <c r="CH709" s="52"/>
    </row>
    <row r="710">
      <c r="K710" s="51"/>
      <c r="Y710" s="52"/>
      <c r="Z710" s="51"/>
      <c r="AA710" s="51"/>
      <c r="AK710" s="52"/>
      <c r="AL710" s="52"/>
      <c r="AM710" s="52"/>
      <c r="AN710" s="52"/>
      <c r="AO710" s="52"/>
      <c r="AP710" s="53"/>
      <c r="AQ710" s="53"/>
      <c r="AR710" s="54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4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  <c r="CE710" s="52"/>
      <c r="CF710" s="52"/>
      <c r="CG710" s="52"/>
      <c r="CH710" s="52"/>
    </row>
    <row r="711">
      <c r="K711" s="51"/>
      <c r="Y711" s="52"/>
      <c r="Z711" s="51"/>
      <c r="AA711" s="51"/>
      <c r="AK711" s="52"/>
      <c r="AL711" s="52"/>
      <c r="AM711" s="52"/>
      <c r="AN711" s="52"/>
      <c r="AO711" s="52"/>
      <c r="AP711" s="53"/>
      <c r="AQ711" s="53"/>
      <c r="AR711" s="54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4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52"/>
      <c r="BY711" s="52"/>
      <c r="BZ711" s="52"/>
      <c r="CA711" s="52"/>
      <c r="CB711" s="52"/>
      <c r="CC711" s="52"/>
      <c r="CD711" s="52"/>
      <c r="CE711" s="52"/>
      <c r="CF711" s="52"/>
      <c r="CG711" s="52"/>
      <c r="CH711" s="52"/>
    </row>
    <row r="712">
      <c r="K712" s="51"/>
      <c r="Y712" s="52"/>
      <c r="Z712" s="51"/>
      <c r="AA712" s="51"/>
      <c r="AK712" s="52"/>
      <c r="AL712" s="52"/>
      <c r="AM712" s="52"/>
      <c r="AN712" s="52"/>
      <c r="AO712" s="52"/>
      <c r="AP712" s="53"/>
      <c r="AQ712" s="53"/>
      <c r="AR712" s="54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4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52"/>
      <c r="BY712" s="52"/>
      <c r="BZ712" s="52"/>
      <c r="CA712" s="52"/>
      <c r="CB712" s="52"/>
      <c r="CC712" s="52"/>
      <c r="CD712" s="52"/>
      <c r="CE712" s="52"/>
      <c r="CF712" s="52"/>
      <c r="CG712" s="52"/>
      <c r="CH712" s="52"/>
    </row>
    <row r="713">
      <c r="K713" s="51"/>
      <c r="Y713" s="52"/>
      <c r="Z713" s="51"/>
      <c r="AA713" s="51"/>
      <c r="AK713" s="52"/>
      <c r="AL713" s="52"/>
      <c r="AM713" s="52"/>
      <c r="AN713" s="52"/>
      <c r="AO713" s="52"/>
      <c r="AP713" s="53"/>
      <c r="AQ713" s="53"/>
      <c r="AR713" s="54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4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  <c r="CE713" s="52"/>
      <c r="CF713" s="52"/>
      <c r="CG713" s="52"/>
      <c r="CH713" s="52"/>
    </row>
    <row r="714">
      <c r="K714" s="51"/>
      <c r="Y714" s="52"/>
      <c r="Z714" s="51"/>
      <c r="AA714" s="51"/>
      <c r="AK714" s="52"/>
      <c r="AL714" s="52"/>
      <c r="AM714" s="52"/>
      <c r="AN714" s="52"/>
      <c r="AO714" s="52"/>
      <c r="AP714" s="53"/>
      <c r="AQ714" s="53"/>
      <c r="AR714" s="54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4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52"/>
      <c r="BY714" s="52"/>
      <c r="BZ714" s="52"/>
      <c r="CA714" s="52"/>
      <c r="CB714" s="52"/>
      <c r="CC714" s="52"/>
      <c r="CD714" s="52"/>
      <c r="CE714" s="52"/>
      <c r="CF714" s="52"/>
      <c r="CG714" s="52"/>
      <c r="CH714" s="52"/>
    </row>
    <row r="715">
      <c r="K715" s="51"/>
      <c r="Y715" s="52"/>
      <c r="Z715" s="51"/>
      <c r="AA715" s="51"/>
      <c r="AK715" s="52"/>
      <c r="AL715" s="52"/>
      <c r="AM715" s="52"/>
      <c r="AN715" s="52"/>
      <c r="AO715" s="52"/>
      <c r="AP715" s="53"/>
      <c r="AQ715" s="53"/>
      <c r="AR715" s="54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4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52"/>
      <c r="BY715" s="52"/>
      <c r="BZ715" s="52"/>
      <c r="CA715" s="52"/>
      <c r="CB715" s="52"/>
      <c r="CC715" s="52"/>
      <c r="CD715" s="52"/>
      <c r="CE715" s="52"/>
      <c r="CF715" s="52"/>
      <c r="CG715" s="52"/>
      <c r="CH715" s="52"/>
    </row>
    <row r="716">
      <c r="K716" s="51"/>
      <c r="Y716" s="52"/>
      <c r="Z716" s="51"/>
      <c r="AA716" s="51"/>
      <c r="AK716" s="52"/>
      <c r="AL716" s="52"/>
      <c r="AM716" s="52"/>
      <c r="AN716" s="52"/>
      <c r="AO716" s="52"/>
      <c r="AP716" s="53"/>
      <c r="AQ716" s="53"/>
      <c r="AR716" s="54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4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  <c r="CE716" s="52"/>
      <c r="CF716" s="52"/>
      <c r="CG716" s="52"/>
      <c r="CH716" s="52"/>
    </row>
    <row r="717">
      <c r="K717" s="51"/>
      <c r="Y717" s="52"/>
      <c r="Z717" s="51"/>
      <c r="AA717" s="51"/>
      <c r="AK717" s="52"/>
      <c r="AL717" s="52"/>
      <c r="AM717" s="52"/>
      <c r="AN717" s="52"/>
      <c r="AO717" s="52"/>
      <c r="AP717" s="53"/>
      <c r="AQ717" s="53"/>
      <c r="AR717" s="54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4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52"/>
      <c r="BY717" s="52"/>
      <c r="BZ717" s="52"/>
      <c r="CA717" s="52"/>
      <c r="CB717" s="52"/>
      <c r="CC717" s="52"/>
      <c r="CD717" s="52"/>
      <c r="CE717" s="52"/>
      <c r="CF717" s="52"/>
      <c r="CG717" s="52"/>
      <c r="CH717" s="52"/>
    </row>
    <row r="718">
      <c r="K718" s="51"/>
      <c r="Y718" s="52"/>
      <c r="Z718" s="51"/>
      <c r="AA718" s="51"/>
      <c r="AK718" s="52"/>
      <c r="AL718" s="52"/>
      <c r="AM718" s="52"/>
      <c r="AN718" s="52"/>
      <c r="AO718" s="52"/>
      <c r="AP718" s="53"/>
      <c r="AQ718" s="53"/>
      <c r="AR718" s="54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4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52"/>
      <c r="BY718" s="52"/>
      <c r="BZ718" s="52"/>
      <c r="CA718" s="52"/>
      <c r="CB718" s="52"/>
      <c r="CC718" s="52"/>
      <c r="CD718" s="52"/>
      <c r="CE718" s="52"/>
      <c r="CF718" s="52"/>
      <c r="CG718" s="52"/>
      <c r="CH718" s="52"/>
    </row>
    <row r="719">
      <c r="K719" s="51"/>
      <c r="Y719" s="52"/>
      <c r="Z719" s="51"/>
      <c r="AA719" s="51"/>
      <c r="AK719" s="52"/>
      <c r="AL719" s="52"/>
      <c r="AM719" s="52"/>
      <c r="AN719" s="52"/>
      <c r="AO719" s="52"/>
      <c r="AP719" s="53"/>
      <c r="AQ719" s="53"/>
      <c r="AR719" s="54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4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  <c r="CE719" s="52"/>
      <c r="CF719" s="52"/>
      <c r="CG719" s="52"/>
      <c r="CH719" s="52"/>
    </row>
    <row r="720">
      <c r="K720" s="51"/>
      <c r="Y720" s="52"/>
      <c r="Z720" s="51"/>
      <c r="AA720" s="51"/>
      <c r="AK720" s="52"/>
      <c r="AL720" s="52"/>
      <c r="AM720" s="52"/>
      <c r="AN720" s="52"/>
      <c r="AO720" s="52"/>
      <c r="AP720" s="53"/>
      <c r="AQ720" s="53"/>
      <c r="AR720" s="54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4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52"/>
      <c r="BY720" s="52"/>
      <c r="BZ720" s="52"/>
      <c r="CA720" s="52"/>
      <c r="CB720" s="52"/>
      <c r="CC720" s="52"/>
      <c r="CD720" s="52"/>
      <c r="CE720" s="52"/>
      <c r="CF720" s="52"/>
      <c r="CG720" s="52"/>
      <c r="CH720" s="52"/>
    </row>
    <row r="721">
      <c r="K721" s="51"/>
      <c r="Y721" s="52"/>
      <c r="Z721" s="51"/>
      <c r="AA721" s="51"/>
      <c r="AK721" s="52"/>
      <c r="AL721" s="52"/>
      <c r="AM721" s="52"/>
      <c r="AN721" s="52"/>
      <c r="AO721" s="52"/>
      <c r="AP721" s="53"/>
      <c r="AQ721" s="53"/>
      <c r="AR721" s="54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4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52"/>
      <c r="BY721" s="52"/>
      <c r="BZ721" s="52"/>
      <c r="CA721" s="52"/>
      <c r="CB721" s="52"/>
      <c r="CC721" s="52"/>
      <c r="CD721" s="52"/>
      <c r="CE721" s="52"/>
      <c r="CF721" s="52"/>
      <c r="CG721" s="52"/>
      <c r="CH721" s="52"/>
    </row>
    <row r="722">
      <c r="K722" s="51"/>
      <c r="Y722" s="52"/>
      <c r="Z722" s="51"/>
      <c r="AA722" s="51"/>
      <c r="AK722" s="52"/>
      <c r="AL722" s="52"/>
      <c r="AM722" s="52"/>
      <c r="AN722" s="52"/>
      <c r="AO722" s="52"/>
      <c r="AP722" s="53"/>
      <c r="AQ722" s="53"/>
      <c r="AR722" s="54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4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  <c r="CE722" s="52"/>
      <c r="CF722" s="52"/>
      <c r="CG722" s="52"/>
      <c r="CH722" s="52"/>
    </row>
    <row r="723">
      <c r="K723" s="51"/>
      <c r="Y723" s="52"/>
      <c r="Z723" s="51"/>
      <c r="AA723" s="51"/>
      <c r="AK723" s="52"/>
      <c r="AL723" s="52"/>
      <c r="AM723" s="52"/>
      <c r="AN723" s="52"/>
      <c r="AO723" s="52"/>
      <c r="AP723" s="53"/>
      <c r="AQ723" s="53"/>
      <c r="AR723" s="54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4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52"/>
      <c r="BY723" s="52"/>
      <c r="BZ723" s="52"/>
      <c r="CA723" s="52"/>
      <c r="CB723" s="52"/>
      <c r="CC723" s="52"/>
      <c r="CD723" s="52"/>
      <c r="CE723" s="52"/>
      <c r="CF723" s="52"/>
      <c r="CG723" s="52"/>
      <c r="CH723" s="52"/>
    </row>
    <row r="724">
      <c r="K724" s="51"/>
      <c r="Y724" s="52"/>
      <c r="Z724" s="51"/>
      <c r="AA724" s="51"/>
      <c r="AK724" s="52"/>
      <c r="AL724" s="52"/>
      <c r="AM724" s="52"/>
      <c r="AN724" s="52"/>
      <c r="AO724" s="52"/>
      <c r="AP724" s="53"/>
      <c r="AQ724" s="53"/>
      <c r="AR724" s="54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4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52"/>
      <c r="BY724" s="52"/>
      <c r="BZ724" s="52"/>
      <c r="CA724" s="52"/>
      <c r="CB724" s="52"/>
      <c r="CC724" s="52"/>
      <c r="CD724" s="52"/>
      <c r="CE724" s="52"/>
      <c r="CF724" s="52"/>
      <c r="CG724" s="52"/>
      <c r="CH724" s="52"/>
    </row>
    <row r="725">
      <c r="K725" s="51"/>
      <c r="Y725" s="52"/>
      <c r="Z725" s="51"/>
      <c r="AA725" s="51"/>
      <c r="AK725" s="52"/>
      <c r="AL725" s="52"/>
      <c r="AM725" s="52"/>
      <c r="AN725" s="52"/>
      <c r="AO725" s="52"/>
      <c r="AP725" s="53"/>
      <c r="AQ725" s="53"/>
      <c r="AR725" s="54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4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  <c r="CE725" s="52"/>
      <c r="CF725" s="52"/>
      <c r="CG725" s="52"/>
      <c r="CH725" s="52"/>
    </row>
    <row r="726">
      <c r="K726" s="51"/>
      <c r="Y726" s="52"/>
      <c r="Z726" s="51"/>
      <c r="AA726" s="51"/>
      <c r="AK726" s="52"/>
      <c r="AL726" s="52"/>
      <c r="AM726" s="52"/>
      <c r="AN726" s="52"/>
      <c r="AO726" s="52"/>
      <c r="AP726" s="53"/>
      <c r="AQ726" s="53"/>
      <c r="AR726" s="54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4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</row>
    <row r="727">
      <c r="K727" s="51"/>
      <c r="Y727" s="52"/>
      <c r="Z727" s="51"/>
      <c r="AA727" s="51"/>
      <c r="AK727" s="52"/>
      <c r="AL727" s="52"/>
      <c r="AM727" s="52"/>
      <c r="AN727" s="52"/>
      <c r="AO727" s="52"/>
      <c r="AP727" s="53"/>
      <c r="AQ727" s="53"/>
      <c r="AR727" s="54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4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</row>
    <row r="728">
      <c r="K728" s="51"/>
      <c r="Y728" s="52"/>
      <c r="Z728" s="51"/>
      <c r="AA728" s="51"/>
      <c r="AK728" s="52"/>
      <c r="AL728" s="52"/>
      <c r="AM728" s="52"/>
      <c r="AN728" s="52"/>
      <c r="AO728" s="52"/>
      <c r="AP728" s="53"/>
      <c r="AQ728" s="53"/>
      <c r="AR728" s="54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4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  <c r="CE728" s="52"/>
      <c r="CF728" s="52"/>
      <c r="CG728" s="52"/>
      <c r="CH728" s="52"/>
    </row>
    <row r="729">
      <c r="K729" s="51"/>
      <c r="Y729" s="52"/>
      <c r="Z729" s="51"/>
      <c r="AA729" s="51"/>
      <c r="AK729" s="52"/>
      <c r="AL729" s="52"/>
      <c r="AM729" s="52"/>
      <c r="AN729" s="52"/>
      <c r="AO729" s="52"/>
      <c r="AP729" s="53"/>
      <c r="AQ729" s="53"/>
      <c r="AR729" s="54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4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</row>
    <row r="730">
      <c r="K730" s="51"/>
      <c r="Y730" s="52"/>
      <c r="Z730" s="51"/>
      <c r="AA730" s="51"/>
      <c r="AK730" s="52"/>
      <c r="AL730" s="52"/>
      <c r="AM730" s="52"/>
      <c r="AN730" s="52"/>
      <c r="AO730" s="52"/>
      <c r="AP730" s="53"/>
      <c r="AQ730" s="53"/>
      <c r="AR730" s="54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4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</row>
    <row r="731">
      <c r="K731" s="51"/>
      <c r="Y731" s="52"/>
      <c r="Z731" s="51"/>
      <c r="AA731" s="51"/>
      <c r="AK731" s="52"/>
      <c r="AL731" s="52"/>
      <c r="AM731" s="52"/>
      <c r="AN731" s="52"/>
      <c r="AO731" s="52"/>
      <c r="AP731" s="53"/>
      <c r="AQ731" s="53"/>
      <c r="AR731" s="54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4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</row>
    <row r="732">
      <c r="K732" s="51"/>
      <c r="Y732" s="52"/>
      <c r="Z732" s="51"/>
      <c r="AA732" s="51"/>
      <c r="AK732" s="52"/>
      <c r="AL732" s="52"/>
      <c r="AM732" s="52"/>
      <c r="AN732" s="52"/>
      <c r="AO732" s="52"/>
      <c r="AP732" s="53"/>
      <c r="AQ732" s="53"/>
      <c r="AR732" s="54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4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</row>
    <row r="733">
      <c r="K733" s="51"/>
      <c r="Y733" s="52"/>
      <c r="Z733" s="51"/>
      <c r="AA733" s="51"/>
      <c r="AK733" s="52"/>
      <c r="AL733" s="52"/>
      <c r="AM733" s="52"/>
      <c r="AN733" s="52"/>
      <c r="AO733" s="52"/>
      <c r="AP733" s="53"/>
      <c r="AQ733" s="53"/>
      <c r="AR733" s="54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4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</row>
    <row r="734">
      <c r="K734" s="51"/>
      <c r="Y734" s="52"/>
      <c r="Z734" s="51"/>
      <c r="AA734" s="51"/>
      <c r="AK734" s="52"/>
      <c r="AL734" s="52"/>
      <c r="AM734" s="52"/>
      <c r="AN734" s="52"/>
      <c r="AO734" s="52"/>
      <c r="AP734" s="53"/>
      <c r="AQ734" s="53"/>
      <c r="AR734" s="54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4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</row>
    <row r="735">
      <c r="K735" s="51"/>
      <c r="Y735" s="52"/>
      <c r="Z735" s="51"/>
      <c r="AA735" s="51"/>
      <c r="AK735" s="52"/>
      <c r="AL735" s="52"/>
      <c r="AM735" s="52"/>
      <c r="AN735" s="52"/>
      <c r="AO735" s="52"/>
      <c r="AP735" s="53"/>
      <c r="AQ735" s="53"/>
      <c r="AR735" s="54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4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</row>
    <row r="736">
      <c r="K736" s="51"/>
      <c r="Y736" s="52"/>
      <c r="Z736" s="51"/>
      <c r="AA736" s="51"/>
      <c r="AK736" s="52"/>
      <c r="AL736" s="52"/>
      <c r="AM736" s="52"/>
      <c r="AN736" s="52"/>
      <c r="AO736" s="52"/>
      <c r="AP736" s="53"/>
      <c r="AQ736" s="53"/>
      <c r="AR736" s="54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4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</row>
    <row r="737">
      <c r="K737" s="51"/>
      <c r="Y737" s="52"/>
      <c r="Z737" s="51"/>
      <c r="AA737" s="51"/>
      <c r="AK737" s="52"/>
      <c r="AL737" s="52"/>
      <c r="AM737" s="52"/>
      <c r="AN737" s="52"/>
      <c r="AO737" s="52"/>
      <c r="AP737" s="53"/>
      <c r="AQ737" s="53"/>
      <c r="AR737" s="54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4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</row>
    <row r="738">
      <c r="K738" s="51"/>
      <c r="Y738" s="52"/>
      <c r="Z738" s="51"/>
      <c r="AA738" s="51"/>
      <c r="AK738" s="52"/>
      <c r="AL738" s="52"/>
      <c r="AM738" s="52"/>
      <c r="AN738" s="52"/>
      <c r="AO738" s="52"/>
      <c r="AP738" s="53"/>
      <c r="AQ738" s="53"/>
      <c r="AR738" s="54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4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</row>
    <row r="739">
      <c r="K739" s="51"/>
      <c r="Y739" s="52"/>
      <c r="Z739" s="51"/>
      <c r="AA739" s="51"/>
      <c r="AK739" s="52"/>
      <c r="AL739" s="52"/>
      <c r="AM739" s="52"/>
      <c r="AN739" s="52"/>
      <c r="AO739" s="52"/>
      <c r="AP739" s="53"/>
      <c r="AQ739" s="53"/>
      <c r="AR739" s="54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4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</row>
    <row r="740">
      <c r="K740" s="51"/>
      <c r="Y740" s="52"/>
      <c r="Z740" s="51"/>
      <c r="AA740" s="51"/>
      <c r="AK740" s="52"/>
      <c r="AL740" s="52"/>
      <c r="AM740" s="52"/>
      <c r="AN740" s="52"/>
      <c r="AO740" s="52"/>
      <c r="AP740" s="53"/>
      <c r="AQ740" s="53"/>
      <c r="AR740" s="54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4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  <c r="CE740" s="52"/>
      <c r="CF740" s="52"/>
      <c r="CG740" s="52"/>
      <c r="CH740" s="52"/>
    </row>
    <row r="741">
      <c r="K741" s="51"/>
      <c r="Y741" s="52"/>
      <c r="Z741" s="51"/>
      <c r="AA741" s="51"/>
      <c r="AK741" s="52"/>
      <c r="AL741" s="52"/>
      <c r="AM741" s="52"/>
      <c r="AN741" s="52"/>
      <c r="AO741" s="52"/>
      <c r="AP741" s="53"/>
      <c r="AQ741" s="53"/>
      <c r="AR741" s="54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4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52"/>
      <c r="BY741" s="52"/>
      <c r="BZ741" s="52"/>
      <c r="CA741" s="52"/>
      <c r="CB741" s="52"/>
      <c r="CC741" s="52"/>
      <c r="CD741" s="52"/>
      <c r="CE741" s="52"/>
      <c r="CF741" s="52"/>
      <c r="CG741" s="52"/>
      <c r="CH741" s="52"/>
    </row>
    <row r="742">
      <c r="K742" s="51"/>
      <c r="Y742" s="52"/>
      <c r="Z742" s="51"/>
      <c r="AA742" s="51"/>
      <c r="AK742" s="52"/>
      <c r="AL742" s="52"/>
      <c r="AM742" s="52"/>
      <c r="AN742" s="52"/>
      <c r="AO742" s="52"/>
      <c r="AP742" s="53"/>
      <c r="AQ742" s="53"/>
      <c r="AR742" s="54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4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52"/>
      <c r="BY742" s="52"/>
      <c r="BZ742" s="52"/>
      <c r="CA742" s="52"/>
      <c r="CB742" s="52"/>
      <c r="CC742" s="52"/>
      <c r="CD742" s="52"/>
      <c r="CE742" s="52"/>
      <c r="CF742" s="52"/>
      <c r="CG742" s="52"/>
      <c r="CH742" s="52"/>
    </row>
    <row r="743">
      <c r="K743" s="51"/>
      <c r="Y743" s="52"/>
      <c r="Z743" s="51"/>
      <c r="AA743" s="51"/>
      <c r="AK743" s="52"/>
      <c r="AL743" s="52"/>
      <c r="AM743" s="52"/>
      <c r="AN743" s="52"/>
      <c r="AO743" s="52"/>
      <c r="AP743" s="53"/>
      <c r="AQ743" s="53"/>
      <c r="AR743" s="54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4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  <c r="CE743" s="52"/>
      <c r="CF743" s="52"/>
      <c r="CG743" s="52"/>
      <c r="CH743" s="52"/>
    </row>
    <row r="744">
      <c r="K744" s="51"/>
      <c r="Y744" s="52"/>
      <c r="Z744" s="51"/>
      <c r="AA744" s="51"/>
      <c r="AK744" s="52"/>
      <c r="AL744" s="52"/>
      <c r="AM744" s="52"/>
      <c r="AN744" s="52"/>
      <c r="AO744" s="52"/>
      <c r="AP744" s="53"/>
      <c r="AQ744" s="53"/>
      <c r="AR744" s="54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4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52"/>
      <c r="BY744" s="52"/>
      <c r="BZ744" s="52"/>
      <c r="CA744" s="52"/>
      <c r="CB744" s="52"/>
      <c r="CC744" s="52"/>
      <c r="CD744" s="52"/>
      <c r="CE744" s="52"/>
      <c r="CF744" s="52"/>
      <c r="CG744" s="52"/>
      <c r="CH744" s="52"/>
    </row>
    <row r="745">
      <c r="K745" s="51"/>
      <c r="Y745" s="52"/>
      <c r="Z745" s="51"/>
      <c r="AA745" s="51"/>
      <c r="AK745" s="52"/>
      <c r="AL745" s="52"/>
      <c r="AM745" s="52"/>
      <c r="AN745" s="52"/>
      <c r="AO745" s="52"/>
      <c r="AP745" s="53"/>
      <c r="AQ745" s="53"/>
      <c r="AR745" s="54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4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  <c r="BW745" s="52"/>
      <c r="BX745" s="52"/>
      <c r="BY745" s="52"/>
      <c r="BZ745" s="52"/>
      <c r="CA745" s="52"/>
      <c r="CB745" s="52"/>
      <c r="CC745" s="52"/>
      <c r="CD745" s="52"/>
      <c r="CE745" s="52"/>
      <c r="CF745" s="52"/>
      <c r="CG745" s="52"/>
      <c r="CH745" s="52"/>
    </row>
    <row r="746">
      <c r="K746" s="51"/>
      <c r="Y746" s="52"/>
      <c r="Z746" s="51"/>
      <c r="AA746" s="51"/>
      <c r="AK746" s="52"/>
      <c r="AL746" s="52"/>
      <c r="AM746" s="52"/>
      <c r="AN746" s="52"/>
      <c r="AO746" s="52"/>
      <c r="AP746" s="53"/>
      <c r="AQ746" s="53"/>
      <c r="AR746" s="54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4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  <c r="BW746" s="52"/>
      <c r="BX746" s="52"/>
      <c r="BY746" s="52"/>
      <c r="BZ746" s="52"/>
      <c r="CA746" s="52"/>
      <c r="CB746" s="52"/>
      <c r="CC746" s="52"/>
      <c r="CD746" s="52"/>
      <c r="CE746" s="52"/>
      <c r="CF746" s="52"/>
      <c r="CG746" s="52"/>
      <c r="CH746" s="52"/>
    </row>
    <row r="747">
      <c r="K747" s="51"/>
      <c r="Y747" s="52"/>
      <c r="Z747" s="51"/>
      <c r="AA747" s="51"/>
      <c r="AK747" s="52"/>
      <c r="AL747" s="52"/>
      <c r="AM747" s="52"/>
      <c r="AN747" s="52"/>
      <c r="AO747" s="52"/>
      <c r="AP747" s="53"/>
      <c r="AQ747" s="53"/>
      <c r="AR747" s="54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4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  <c r="BW747" s="52"/>
      <c r="BX747" s="52"/>
      <c r="BY747" s="52"/>
      <c r="BZ747" s="52"/>
      <c r="CA747" s="52"/>
      <c r="CB747" s="52"/>
      <c r="CC747" s="52"/>
      <c r="CD747" s="52"/>
      <c r="CE747" s="52"/>
      <c r="CF747" s="52"/>
      <c r="CG747" s="52"/>
      <c r="CH747" s="52"/>
    </row>
    <row r="748">
      <c r="K748" s="51"/>
      <c r="Y748" s="52"/>
      <c r="Z748" s="51"/>
      <c r="AA748" s="51"/>
      <c r="AK748" s="52"/>
      <c r="AL748" s="52"/>
      <c r="AM748" s="52"/>
      <c r="AN748" s="52"/>
      <c r="AO748" s="52"/>
      <c r="AP748" s="53"/>
      <c r="AQ748" s="53"/>
      <c r="AR748" s="54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4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  <c r="BW748" s="52"/>
      <c r="BX748" s="52"/>
      <c r="BY748" s="52"/>
      <c r="BZ748" s="52"/>
      <c r="CA748" s="52"/>
      <c r="CB748" s="52"/>
      <c r="CC748" s="52"/>
      <c r="CD748" s="52"/>
      <c r="CE748" s="52"/>
      <c r="CF748" s="52"/>
      <c r="CG748" s="52"/>
      <c r="CH748" s="52"/>
    </row>
    <row r="749">
      <c r="K749" s="51"/>
      <c r="Y749" s="52"/>
      <c r="Z749" s="51"/>
      <c r="AA749" s="51"/>
      <c r="AK749" s="52"/>
      <c r="AL749" s="52"/>
      <c r="AM749" s="52"/>
      <c r="AN749" s="52"/>
      <c r="AO749" s="52"/>
      <c r="AP749" s="53"/>
      <c r="AQ749" s="53"/>
      <c r="AR749" s="54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4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</row>
    <row r="750">
      <c r="K750" s="51"/>
      <c r="Y750" s="52"/>
      <c r="Z750" s="51"/>
      <c r="AA750" s="51"/>
      <c r="AK750" s="52"/>
      <c r="AL750" s="52"/>
      <c r="AM750" s="52"/>
      <c r="AN750" s="52"/>
      <c r="AO750" s="52"/>
      <c r="AP750" s="53"/>
      <c r="AQ750" s="53"/>
      <c r="AR750" s="54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4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  <c r="BW750" s="52"/>
      <c r="BX750" s="52"/>
      <c r="BY750" s="52"/>
      <c r="BZ750" s="52"/>
      <c r="CA750" s="52"/>
      <c r="CB750" s="52"/>
      <c r="CC750" s="52"/>
      <c r="CD750" s="52"/>
      <c r="CE750" s="52"/>
      <c r="CF750" s="52"/>
      <c r="CG750" s="52"/>
      <c r="CH750" s="52"/>
    </row>
    <row r="751">
      <c r="K751" s="51"/>
      <c r="Y751" s="52"/>
      <c r="Z751" s="51"/>
      <c r="AA751" s="51"/>
      <c r="AK751" s="52"/>
      <c r="AL751" s="52"/>
      <c r="AM751" s="52"/>
      <c r="AN751" s="52"/>
      <c r="AO751" s="52"/>
      <c r="AP751" s="53"/>
      <c r="AQ751" s="53"/>
      <c r="AR751" s="54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4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  <c r="BW751" s="52"/>
      <c r="BX751" s="52"/>
      <c r="BY751" s="52"/>
      <c r="BZ751" s="52"/>
      <c r="CA751" s="52"/>
      <c r="CB751" s="52"/>
      <c r="CC751" s="52"/>
      <c r="CD751" s="52"/>
      <c r="CE751" s="52"/>
      <c r="CF751" s="52"/>
      <c r="CG751" s="52"/>
      <c r="CH751" s="52"/>
    </row>
    <row r="752">
      <c r="K752" s="51"/>
      <c r="Y752" s="52"/>
      <c r="Z752" s="51"/>
      <c r="AA752" s="51"/>
      <c r="AK752" s="52"/>
      <c r="AL752" s="52"/>
      <c r="AM752" s="52"/>
      <c r="AN752" s="52"/>
      <c r="AO752" s="52"/>
      <c r="AP752" s="53"/>
      <c r="AQ752" s="53"/>
      <c r="AR752" s="54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4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  <c r="BW752" s="52"/>
      <c r="BX752" s="52"/>
      <c r="BY752" s="52"/>
      <c r="BZ752" s="52"/>
      <c r="CA752" s="52"/>
      <c r="CB752" s="52"/>
      <c r="CC752" s="52"/>
      <c r="CD752" s="52"/>
      <c r="CE752" s="52"/>
      <c r="CF752" s="52"/>
      <c r="CG752" s="52"/>
      <c r="CH752" s="52"/>
    </row>
    <row r="753">
      <c r="K753" s="51"/>
      <c r="Y753" s="52"/>
      <c r="Z753" s="51"/>
      <c r="AA753" s="51"/>
      <c r="AK753" s="52"/>
      <c r="AL753" s="52"/>
      <c r="AM753" s="52"/>
      <c r="AN753" s="52"/>
      <c r="AO753" s="52"/>
      <c r="AP753" s="53"/>
      <c r="AQ753" s="53"/>
      <c r="AR753" s="54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4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52"/>
      <c r="BY753" s="52"/>
      <c r="BZ753" s="52"/>
      <c r="CA753" s="52"/>
      <c r="CB753" s="52"/>
      <c r="CC753" s="52"/>
      <c r="CD753" s="52"/>
      <c r="CE753" s="52"/>
      <c r="CF753" s="52"/>
      <c r="CG753" s="52"/>
      <c r="CH753" s="52"/>
    </row>
    <row r="754">
      <c r="K754" s="51"/>
      <c r="Y754" s="52"/>
      <c r="Z754" s="51"/>
      <c r="AA754" s="51"/>
      <c r="AK754" s="52"/>
      <c r="AL754" s="52"/>
      <c r="AM754" s="52"/>
      <c r="AN754" s="52"/>
      <c r="AO754" s="52"/>
      <c r="AP754" s="53"/>
      <c r="AQ754" s="53"/>
      <c r="AR754" s="54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4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  <c r="BW754" s="52"/>
      <c r="BX754" s="52"/>
      <c r="BY754" s="52"/>
      <c r="BZ754" s="52"/>
      <c r="CA754" s="52"/>
      <c r="CB754" s="52"/>
      <c r="CC754" s="52"/>
      <c r="CD754" s="52"/>
      <c r="CE754" s="52"/>
      <c r="CF754" s="52"/>
      <c r="CG754" s="52"/>
      <c r="CH754" s="52"/>
    </row>
    <row r="755">
      <c r="K755" s="51"/>
      <c r="Y755" s="52"/>
      <c r="Z755" s="51"/>
      <c r="AA755" s="51"/>
      <c r="AK755" s="52"/>
      <c r="AL755" s="52"/>
      <c r="AM755" s="52"/>
      <c r="AN755" s="52"/>
      <c r="AO755" s="52"/>
      <c r="AP755" s="53"/>
      <c r="AQ755" s="53"/>
      <c r="AR755" s="54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4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  <c r="BW755" s="52"/>
      <c r="BX755" s="52"/>
      <c r="BY755" s="52"/>
      <c r="BZ755" s="52"/>
      <c r="CA755" s="52"/>
      <c r="CB755" s="52"/>
      <c r="CC755" s="52"/>
      <c r="CD755" s="52"/>
      <c r="CE755" s="52"/>
      <c r="CF755" s="52"/>
      <c r="CG755" s="52"/>
      <c r="CH755" s="52"/>
    </row>
    <row r="756">
      <c r="K756" s="51"/>
      <c r="Y756" s="52"/>
      <c r="Z756" s="51"/>
      <c r="AA756" s="51"/>
      <c r="AK756" s="52"/>
      <c r="AL756" s="52"/>
      <c r="AM756" s="52"/>
      <c r="AN756" s="52"/>
      <c r="AO756" s="52"/>
      <c r="AP756" s="53"/>
      <c r="AQ756" s="53"/>
      <c r="AR756" s="54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4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  <c r="BW756" s="52"/>
      <c r="BX756" s="52"/>
      <c r="BY756" s="52"/>
      <c r="BZ756" s="52"/>
      <c r="CA756" s="52"/>
      <c r="CB756" s="52"/>
      <c r="CC756" s="52"/>
      <c r="CD756" s="52"/>
      <c r="CE756" s="52"/>
      <c r="CF756" s="52"/>
      <c r="CG756" s="52"/>
      <c r="CH756" s="52"/>
    </row>
    <row r="757">
      <c r="K757" s="51"/>
      <c r="Y757" s="52"/>
      <c r="Z757" s="51"/>
      <c r="AA757" s="51"/>
      <c r="AK757" s="52"/>
      <c r="AL757" s="52"/>
      <c r="AM757" s="52"/>
      <c r="AN757" s="52"/>
      <c r="AO757" s="52"/>
      <c r="AP757" s="53"/>
      <c r="AQ757" s="53"/>
      <c r="AR757" s="54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4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  <c r="BW757" s="52"/>
      <c r="BX757" s="52"/>
      <c r="BY757" s="52"/>
      <c r="BZ757" s="52"/>
      <c r="CA757" s="52"/>
      <c r="CB757" s="52"/>
      <c r="CC757" s="52"/>
      <c r="CD757" s="52"/>
      <c r="CE757" s="52"/>
      <c r="CF757" s="52"/>
      <c r="CG757" s="52"/>
      <c r="CH757" s="52"/>
    </row>
    <row r="758">
      <c r="K758" s="51"/>
      <c r="Y758" s="52"/>
      <c r="Z758" s="51"/>
      <c r="AA758" s="51"/>
      <c r="AK758" s="52"/>
      <c r="AL758" s="52"/>
      <c r="AM758" s="52"/>
      <c r="AN758" s="52"/>
      <c r="AO758" s="52"/>
      <c r="AP758" s="53"/>
      <c r="AQ758" s="53"/>
      <c r="AR758" s="54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4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  <c r="BW758" s="52"/>
      <c r="BX758" s="52"/>
      <c r="BY758" s="52"/>
      <c r="BZ758" s="52"/>
      <c r="CA758" s="52"/>
      <c r="CB758" s="52"/>
      <c r="CC758" s="52"/>
      <c r="CD758" s="52"/>
      <c r="CE758" s="52"/>
      <c r="CF758" s="52"/>
      <c r="CG758" s="52"/>
      <c r="CH758" s="52"/>
    </row>
    <row r="759">
      <c r="K759" s="51"/>
      <c r="Y759" s="52"/>
      <c r="Z759" s="51"/>
      <c r="AA759" s="51"/>
      <c r="AK759" s="52"/>
      <c r="AL759" s="52"/>
      <c r="AM759" s="52"/>
      <c r="AN759" s="52"/>
      <c r="AO759" s="52"/>
      <c r="AP759" s="53"/>
      <c r="AQ759" s="53"/>
      <c r="AR759" s="54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4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  <c r="BW759" s="52"/>
      <c r="BX759" s="52"/>
      <c r="BY759" s="52"/>
      <c r="BZ759" s="52"/>
      <c r="CA759" s="52"/>
      <c r="CB759" s="52"/>
      <c r="CC759" s="52"/>
      <c r="CD759" s="52"/>
      <c r="CE759" s="52"/>
      <c r="CF759" s="52"/>
      <c r="CG759" s="52"/>
      <c r="CH759" s="52"/>
    </row>
    <row r="760">
      <c r="K760" s="51"/>
      <c r="Y760" s="52"/>
      <c r="Z760" s="51"/>
      <c r="AA760" s="51"/>
      <c r="AK760" s="52"/>
      <c r="AL760" s="52"/>
      <c r="AM760" s="52"/>
      <c r="AN760" s="52"/>
      <c r="AO760" s="52"/>
      <c r="AP760" s="53"/>
      <c r="AQ760" s="53"/>
      <c r="AR760" s="54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4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  <c r="BW760" s="52"/>
      <c r="BX760" s="52"/>
      <c r="BY760" s="52"/>
      <c r="BZ760" s="52"/>
      <c r="CA760" s="52"/>
      <c r="CB760" s="52"/>
      <c r="CC760" s="52"/>
      <c r="CD760" s="52"/>
      <c r="CE760" s="52"/>
      <c r="CF760" s="52"/>
      <c r="CG760" s="52"/>
      <c r="CH760" s="52"/>
    </row>
    <row r="761">
      <c r="K761" s="51"/>
      <c r="Y761" s="52"/>
      <c r="Z761" s="51"/>
      <c r="AA761" s="51"/>
      <c r="AK761" s="52"/>
      <c r="AL761" s="52"/>
      <c r="AM761" s="52"/>
      <c r="AN761" s="52"/>
      <c r="AO761" s="52"/>
      <c r="AP761" s="53"/>
      <c r="AQ761" s="53"/>
      <c r="AR761" s="54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4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  <c r="BW761" s="52"/>
      <c r="BX761" s="52"/>
      <c r="BY761" s="52"/>
      <c r="BZ761" s="52"/>
      <c r="CA761" s="52"/>
      <c r="CB761" s="52"/>
      <c r="CC761" s="52"/>
      <c r="CD761" s="52"/>
      <c r="CE761" s="52"/>
      <c r="CF761" s="52"/>
      <c r="CG761" s="52"/>
      <c r="CH761" s="52"/>
    </row>
    <row r="762">
      <c r="K762" s="51"/>
      <c r="Y762" s="52"/>
      <c r="Z762" s="51"/>
      <c r="AA762" s="51"/>
      <c r="AK762" s="52"/>
      <c r="AL762" s="52"/>
      <c r="AM762" s="52"/>
      <c r="AN762" s="52"/>
      <c r="AO762" s="52"/>
      <c r="AP762" s="53"/>
      <c r="AQ762" s="53"/>
      <c r="AR762" s="54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4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  <c r="BW762" s="52"/>
      <c r="BX762" s="52"/>
      <c r="BY762" s="52"/>
      <c r="BZ762" s="52"/>
      <c r="CA762" s="52"/>
      <c r="CB762" s="52"/>
      <c r="CC762" s="52"/>
      <c r="CD762" s="52"/>
      <c r="CE762" s="52"/>
      <c r="CF762" s="52"/>
      <c r="CG762" s="52"/>
      <c r="CH762" s="52"/>
    </row>
    <row r="763">
      <c r="K763" s="51"/>
      <c r="Y763" s="52"/>
      <c r="Z763" s="51"/>
      <c r="AA763" s="51"/>
      <c r="AK763" s="52"/>
      <c r="AL763" s="52"/>
      <c r="AM763" s="52"/>
      <c r="AN763" s="52"/>
      <c r="AO763" s="52"/>
      <c r="AP763" s="53"/>
      <c r="AQ763" s="53"/>
      <c r="AR763" s="54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4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  <c r="BW763" s="52"/>
      <c r="BX763" s="52"/>
      <c r="BY763" s="52"/>
      <c r="BZ763" s="52"/>
      <c r="CA763" s="52"/>
      <c r="CB763" s="52"/>
      <c r="CC763" s="52"/>
      <c r="CD763" s="52"/>
      <c r="CE763" s="52"/>
      <c r="CF763" s="52"/>
      <c r="CG763" s="52"/>
      <c r="CH763" s="52"/>
    </row>
    <row r="764">
      <c r="K764" s="51"/>
      <c r="Y764" s="52"/>
      <c r="Z764" s="51"/>
      <c r="AA764" s="51"/>
      <c r="AK764" s="52"/>
      <c r="AL764" s="52"/>
      <c r="AM764" s="52"/>
      <c r="AN764" s="52"/>
      <c r="AO764" s="52"/>
      <c r="AP764" s="53"/>
      <c r="AQ764" s="53"/>
      <c r="AR764" s="54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4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  <c r="BW764" s="52"/>
      <c r="BX764" s="52"/>
      <c r="BY764" s="52"/>
      <c r="BZ764" s="52"/>
      <c r="CA764" s="52"/>
      <c r="CB764" s="52"/>
      <c r="CC764" s="52"/>
      <c r="CD764" s="52"/>
      <c r="CE764" s="52"/>
      <c r="CF764" s="52"/>
      <c r="CG764" s="52"/>
      <c r="CH764" s="52"/>
    </row>
    <row r="765">
      <c r="K765" s="51"/>
      <c r="Y765" s="52"/>
      <c r="Z765" s="51"/>
      <c r="AA765" s="51"/>
      <c r="AK765" s="52"/>
      <c r="AL765" s="52"/>
      <c r="AM765" s="52"/>
      <c r="AN765" s="52"/>
      <c r="AO765" s="52"/>
      <c r="AP765" s="53"/>
      <c r="AQ765" s="53"/>
      <c r="AR765" s="54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4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  <c r="BW765" s="52"/>
      <c r="BX765" s="52"/>
      <c r="BY765" s="52"/>
      <c r="BZ765" s="52"/>
      <c r="CA765" s="52"/>
      <c r="CB765" s="52"/>
      <c r="CC765" s="52"/>
      <c r="CD765" s="52"/>
      <c r="CE765" s="52"/>
      <c r="CF765" s="52"/>
      <c r="CG765" s="52"/>
      <c r="CH765" s="52"/>
    </row>
    <row r="766">
      <c r="K766" s="51"/>
      <c r="Y766" s="52"/>
      <c r="Z766" s="51"/>
      <c r="AA766" s="51"/>
      <c r="AK766" s="52"/>
      <c r="AL766" s="52"/>
      <c r="AM766" s="52"/>
      <c r="AN766" s="52"/>
      <c r="AO766" s="52"/>
      <c r="AP766" s="53"/>
      <c r="AQ766" s="53"/>
      <c r="AR766" s="54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4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</row>
    <row r="767">
      <c r="K767" s="51"/>
      <c r="Y767" s="52"/>
      <c r="Z767" s="51"/>
      <c r="AA767" s="51"/>
      <c r="AK767" s="52"/>
      <c r="AL767" s="52"/>
      <c r="AM767" s="52"/>
      <c r="AN767" s="52"/>
      <c r="AO767" s="52"/>
      <c r="AP767" s="53"/>
      <c r="AQ767" s="53"/>
      <c r="AR767" s="54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4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</row>
    <row r="768">
      <c r="K768" s="51"/>
      <c r="Y768" s="52"/>
      <c r="Z768" s="51"/>
      <c r="AA768" s="51"/>
      <c r="AK768" s="52"/>
      <c r="AL768" s="52"/>
      <c r="AM768" s="52"/>
      <c r="AN768" s="52"/>
      <c r="AO768" s="52"/>
      <c r="AP768" s="53"/>
      <c r="AQ768" s="53"/>
      <c r="AR768" s="54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4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52"/>
      <c r="BY768" s="52"/>
      <c r="BZ768" s="52"/>
      <c r="CA768" s="52"/>
      <c r="CB768" s="52"/>
      <c r="CC768" s="52"/>
      <c r="CD768" s="52"/>
      <c r="CE768" s="52"/>
      <c r="CF768" s="52"/>
      <c r="CG768" s="52"/>
      <c r="CH768" s="52"/>
    </row>
    <row r="769">
      <c r="K769" s="51"/>
      <c r="Y769" s="52"/>
      <c r="Z769" s="51"/>
      <c r="AA769" s="51"/>
      <c r="AK769" s="52"/>
      <c r="AL769" s="52"/>
      <c r="AM769" s="52"/>
      <c r="AN769" s="52"/>
      <c r="AO769" s="52"/>
      <c r="AP769" s="53"/>
      <c r="AQ769" s="53"/>
      <c r="AR769" s="54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4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</row>
    <row r="770">
      <c r="K770" s="51"/>
      <c r="Y770" s="52"/>
      <c r="Z770" s="51"/>
      <c r="AA770" s="51"/>
      <c r="AK770" s="52"/>
      <c r="AL770" s="52"/>
      <c r="AM770" s="52"/>
      <c r="AN770" s="52"/>
      <c r="AO770" s="52"/>
      <c r="AP770" s="53"/>
      <c r="AQ770" s="53"/>
      <c r="AR770" s="54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4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</row>
    <row r="771">
      <c r="K771" s="51"/>
      <c r="Y771" s="52"/>
      <c r="Z771" s="51"/>
      <c r="AA771" s="51"/>
      <c r="AK771" s="52"/>
      <c r="AL771" s="52"/>
      <c r="AM771" s="52"/>
      <c r="AN771" s="52"/>
      <c r="AO771" s="52"/>
      <c r="AP771" s="53"/>
      <c r="AQ771" s="53"/>
      <c r="AR771" s="54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4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</row>
    <row r="772">
      <c r="K772" s="51"/>
      <c r="Y772" s="52"/>
      <c r="Z772" s="51"/>
      <c r="AA772" s="51"/>
      <c r="AK772" s="52"/>
      <c r="AL772" s="52"/>
      <c r="AM772" s="52"/>
      <c r="AN772" s="52"/>
      <c r="AO772" s="52"/>
      <c r="AP772" s="53"/>
      <c r="AQ772" s="53"/>
      <c r="AR772" s="54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4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</row>
    <row r="773">
      <c r="K773" s="51"/>
      <c r="Y773" s="52"/>
      <c r="Z773" s="51"/>
      <c r="AA773" s="51"/>
      <c r="AK773" s="52"/>
      <c r="AL773" s="52"/>
      <c r="AM773" s="52"/>
      <c r="AN773" s="52"/>
      <c r="AO773" s="52"/>
      <c r="AP773" s="53"/>
      <c r="AQ773" s="53"/>
      <c r="AR773" s="54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4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</row>
    <row r="774">
      <c r="K774" s="51"/>
      <c r="Y774" s="52"/>
      <c r="Z774" s="51"/>
      <c r="AA774" s="51"/>
      <c r="AK774" s="52"/>
      <c r="AL774" s="52"/>
      <c r="AM774" s="52"/>
      <c r="AN774" s="52"/>
      <c r="AO774" s="52"/>
      <c r="AP774" s="53"/>
      <c r="AQ774" s="53"/>
      <c r="AR774" s="54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4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</row>
    <row r="775">
      <c r="K775" s="51"/>
      <c r="Y775" s="52"/>
      <c r="Z775" s="51"/>
      <c r="AA775" s="51"/>
      <c r="AK775" s="52"/>
      <c r="AL775" s="52"/>
      <c r="AM775" s="52"/>
      <c r="AN775" s="52"/>
      <c r="AO775" s="52"/>
      <c r="AP775" s="53"/>
      <c r="AQ775" s="53"/>
      <c r="AR775" s="54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4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</row>
    <row r="776">
      <c r="K776" s="51"/>
      <c r="Y776" s="52"/>
      <c r="Z776" s="51"/>
      <c r="AA776" s="51"/>
      <c r="AK776" s="52"/>
      <c r="AL776" s="52"/>
      <c r="AM776" s="52"/>
      <c r="AN776" s="52"/>
      <c r="AO776" s="52"/>
      <c r="AP776" s="53"/>
      <c r="AQ776" s="53"/>
      <c r="AR776" s="54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4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</row>
    <row r="777">
      <c r="K777" s="51"/>
      <c r="Y777" s="52"/>
      <c r="Z777" s="51"/>
      <c r="AA777" s="51"/>
      <c r="AK777" s="52"/>
      <c r="AL777" s="52"/>
      <c r="AM777" s="52"/>
      <c r="AN777" s="52"/>
      <c r="AO777" s="52"/>
      <c r="AP777" s="53"/>
      <c r="AQ777" s="53"/>
      <c r="AR777" s="54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4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</row>
    <row r="778">
      <c r="K778" s="51"/>
      <c r="Y778" s="52"/>
      <c r="Z778" s="51"/>
      <c r="AA778" s="51"/>
      <c r="AK778" s="52"/>
      <c r="AL778" s="52"/>
      <c r="AM778" s="52"/>
      <c r="AN778" s="52"/>
      <c r="AO778" s="52"/>
      <c r="AP778" s="53"/>
      <c r="AQ778" s="53"/>
      <c r="AR778" s="54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4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</row>
    <row r="779">
      <c r="K779" s="51"/>
      <c r="Y779" s="52"/>
      <c r="Z779" s="51"/>
      <c r="AA779" s="51"/>
      <c r="AK779" s="52"/>
      <c r="AL779" s="52"/>
      <c r="AM779" s="52"/>
      <c r="AN779" s="52"/>
      <c r="AO779" s="52"/>
      <c r="AP779" s="53"/>
      <c r="AQ779" s="53"/>
      <c r="AR779" s="54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4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</row>
    <row r="780">
      <c r="K780" s="51"/>
      <c r="Y780" s="52"/>
      <c r="Z780" s="51"/>
      <c r="AA780" s="51"/>
      <c r="AK780" s="52"/>
      <c r="AL780" s="52"/>
      <c r="AM780" s="52"/>
      <c r="AN780" s="52"/>
      <c r="AO780" s="52"/>
      <c r="AP780" s="53"/>
      <c r="AQ780" s="53"/>
      <c r="AR780" s="54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4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  <c r="BX780" s="52"/>
      <c r="BY780" s="52"/>
      <c r="BZ780" s="52"/>
      <c r="CA780" s="52"/>
      <c r="CB780" s="52"/>
      <c r="CC780" s="52"/>
      <c r="CD780" s="52"/>
      <c r="CE780" s="52"/>
      <c r="CF780" s="52"/>
      <c r="CG780" s="52"/>
      <c r="CH780" s="52"/>
    </row>
    <row r="781">
      <c r="K781" s="51"/>
      <c r="Y781" s="52"/>
      <c r="Z781" s="51"/>
      <c r="AA781" s="51"/>
      <c r="AK781" s="52"/>
      <c r="AL781" s="52"/>
      <c r="AM781" s="52"/>
      <c r="AN781" s="52"/>
      <c r="AO781" s="52"/>
      <c r="AP781" s="53"/>
      <c r="AQ781" s="53"/>
      <c r="AR781" s="54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4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  <c r="BW781" s="52"/>
      <c r="BX781" s="52"/>
      <c r="BY781" s="52"/>
      <c r="BZ781" s="52"/>
      <c r="CA781" s="52"/>
      <c r="CB781" s="52"/>
      <c r="CC781" s="52"/>
      <c r="CD781" s="52"/>
      <c r="CE781" s="52"/>
      <c r="CF781" s="52"/>
      <c r="CG781" s="52"/>
      <c r="CH781" s="52"/>
    </row>
    <row r="782">
      <c r="K782" s="51"/>
      <c r="Y782" s="52"/>
      <c r="Z782" s="51"/>
      <c r="AA782" s="51"/>
      <c r="AK782" s="52"/>
      <c r="AL782" s="52"/>
      <c r="AM782" s="52"/>
      <c r="AN782" s="52"/>
      <c r="AO782" s="52"/>
      <c r="AP782" s="53"/>
      <c r="AQ782" s="53"/>
      <c r="AR782" s="54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4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  <c r="BW782" s="52"/>
      <c r="BX782" s="52"/>
      <c r="BY782" s="52"/>
      <c r="BZ782" s="52"/>
      <c r="CA782" s="52"/>
      <c r="CB782" s="52"/>
      <c r="CC782" s="52"/>
      <c r="CD782" s="52"/>
      <c r="CE782" s="52"/>
      <c r="CF782" s="52"/>
      <c r="CG782" s="52"/>
      <c r="CH782" s="52"/>
    </row>
    <row r="783">
      <c r="K783" s="51"/>
      <c r="Y783" s="52"/>
      <c r="Z783" s="51"/>
      <c r="AA783" s="51"/>
      <c r="AK783" s="52"/>
      <c r="AL783" s="52"/>
      <c r="AM783" s="52"/>
      <c r="AN783" s="52"/>
      <c r="AO783" s="52"/>
      <c r="AP783" s="53"/>
      <c r="AQ783" s="53"/>
      <c r="AR783" s="54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4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  <c r="BW783" s="52"/>
      <c r="BX783" s="52"/>
      <c r="BY783" s="52"/>
      <c r="BZ783" s="52"/>
      <c r="CA783" s="52"/>
      <c r="CB783" s="52"/>
      <c r="CC783" s="52"/>
      <c r="CD783" s="52"/>
      <c r="CE783" s="52"/>
      <c r="CF783" s="52"/>
      <c r="CG783" s="52"/>
      <c r="CH783" s="52"/>
    </row>
    <row r="784">
      <c r="K784" s="51"/>
      <c r="Y784" s="52"/>
      <c r="Z784" s="51"/>
      <c r="AA784" s="51"/>
      <c r="AK784" s="52"/>
      <c r="AL784" s="52"/>
      <c r="AM784" s="52"/>
      <c r="AN784" s="52"/>
      <c r="AO784" s="52"/>
      <c r="AP784" s="53"/>
      <c r="AQ784" s="53"/>
      <c r="AR784" s="54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4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  <c r="BW784" s="52"/>
      <c r="BX784" s="52"/>
      <c r="BY784" s="52"/>
      <c r="BZ784" s="52"/>
      <c r="CA784" s="52"/>
      <c r="CB784" s="52"/>
      <c r="CC784" s="52"/>
      <c r="CD784" s="52"/>
      <c r="CE784" s="52"/>
      <c r="CF784" s="52"/>
      <c r="CG784" s="52"/>
      <c r="CH784" s="52"/>
    </row>
    <row r="785">
      <c r="K785" s="51"/>
      <c r="Y785" s="52"/>
      <c r="Z785" s="51"/>
      <c r="AA785" s="51"/>
      <c r="AK785" s="52"/>
      <c r="AL785" s="52"/>
      <c r="AM785" s="52"/>
      <c r="AN785" s="52"/>
      <c r="AO785" s="52"/>
      <c r="AP785" s="53"/>
      <c r="AQ785" s="53"/>
      <c r="AR785" s="54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4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  <c r="BW785" s="52"/>
      <c r="BX785" s="52"/>
      <c r="BY785" s="52"/>
      <c r="BZ785" s="52"/>
      <c r="CA785" s="52"/>
      <c r="CB785" s="52"/>
      <c r="CC785" s="52"/>
      <c r="CD785" s="52"/>
      <c r="CE785" s="52"/>
      <c r="CF785" s="52"/>
      <c r="CG785" s="52"/>
      <c r="CH785" s="52"/>
    </row>
    <row r="786">
      <c r="K786" s="51"/>
      <c r="Y786" s="52"/>
      <c r="Z786" s="51"/>
      <c r="AA786" s="51"/>
      <c r="AK786" s="52"/>
      <c r="AL786" s="52"/>
      <c r="AM786" s="52"/>
      <c r="AN786" s="52"/>
      <c r="AO786" s="52"/>
      <c r="AP786" s="53"/>
      <c r="AQ786" s="53"/>
      <c r="AR786" s="54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4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  <c r="BW786" s="52"/>
      <c r="BX786" s="52"/>
      <c r="BY786" s="52"/>
      <c r="BZ786" s="52"/>
      <c r="CA786" s="52"/>
      <c r="CB786" s="52"/>
      <c r="CC786" s="52"/>
      <c r="CD786" s="52"/>
      <c r="CE786" s="52"/>
      <c r="CF786" s="52"/>
      <c r="CG786" s="52"/>
      <c r="CH786" s="52"/>
    </row>
    <row r="787">
      <c r="K787" s="51"/>
      <c r="Y787" s="52"/>
      <c r="Z787" s="51"/>
      <c r="AA787" s="51"/>
      <c r="AK787" s="52"/>
      <c r="AL787" s="52"/>
      <c r="AM787" s="52"/>
      <c r="AN787" s="52"/>
      <c r="AO787" s="52"/>
      <c r="AP787" s="53"/>
      <c r="AQ787" s="53"/>
      <c r="AR787" s="54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4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  <c r="BW787" s="52"/>
      <c r="BX787" s="52"/>
      <c r="BY787" s="52"/>
      <c r="BZ787" s="52"/>
      <c r="CA787" s="52"/>
      <c r="CB787" s="52"/>
      <c r="CC787" s="52"/>
      <c r="CD787" s="52"/>
      <c r="CE787" s="52"/>
      <c r="CF787" s="52"/>
      <c r="CG787" s="52"/>
      <c r="CH787" s="52"/>
    </row>
    <row r="788">
      <c r="K788" s="51"/>
      <c r="Y788" s="52"/>
      <c r="Z788" s="51"/>
      <c r="AA788" s="51"/>
      <c r="AK788" s="52"/>
      <c r="AL788" s="52"/>
      <c r="AM788" s="52"/>
      <c r="AN788" s="52"/>
      <c r="AO788" s="52"/>
      <c r="AP788" s="53"/>
      <c r="AQ788" s="53"/>
      <c r="AR788" s="54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4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  <c r="BW788" s="52"/>
      <c r="BX788" s="52"/>
      <c r="BY788" s="52"/>
      <c r="BZ788" s="52"/>
      <c r="CA788" s="52"/>
      <c r="CB788" s="52"/>
      <c r="CC788" s="52"/>
      <c r="CD788" s="52"/>
      <c r="CE788" s="52"/>
      <c r="CF788" s="52"/>
      <c r="CG788" s="52"/>
      <c r="CH788" s="52"/>
    </row>
    <row r="789">
      <c r="K789" s="51"/>
      <c r="Y789" s="52"/>
      <c r="Z789" s="51"/>
      <c r="AA789" s="51"/>
      <c r="AK789" s="52"/>
      <c r="AL789" s="52"/>
      <c r="AM789" s="52"/>
      <c r="AN789" s="52"/>
      <c r="AO789" s="52"/>
      <c r="AP789" s="53"/>
      <c r="AQ789" s="53"/>
      <c r="AR789" s="54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4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  <c r="BW789" s="52"/>
      <c r="BX789" s="52"/>
      <c r="BY789" s="52"/>
      <c r="BZ789" s="52"/>
      <c r="CA789" s="52"/>
      <c r="CB789" s="52"/>
      <c r="CC789" s="52"/>
      <c r="CD789" s="52"/>
      <c r="CE789" s="52"/>
      <c r="CF789" s="52"/>
      <c r="CG789" s="52"/>
      <c r="CH789" s="52"/>
    </row>
    <row r="790">
      <c r="K790" s="51"/>
      <c r="Y790" s="52"/>
      <c r="Z790" s="51"/>
      <c r="AA790" s="51"/>
      <c r="AK790" s="52"/>
      <c r="AL790" s="52"/>
      <c r="AM790" s="52"/>
      <c r="AN790" s="52"/>
      <c r="AO790" s="52"/>
      <c r="AP790" s="53"/>
      <c r="AQ790" s="53"/>
      <c r="AR790" s="54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4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  <c r="BW790" s="52"/>
      <c r="BX790" s="52"/>
      <c r="BY790" s="52"/>
      <c r="BZ790" s="52"/>
      <c r="CA790" s="52"/>
      <c r="CB790" s="52"/>
      <c r="CC790" s="52"/>
      <c r="CD790" s="52"/>
      <c r="CE790" s="52"/>
      <c r="CF790" s="52"/>
      <c r="CG790" s="52"/>
      <c r="CH790" s="52"/>
    </row>
    <row r="791">
      <c r="K791" s="51"/>
      <c r="Y791" s="52"/>
      <c r="Z791" s="51"/>
      <c r="AA791" s="51"/>
      <c r="AK791" s="52"/>
      <c r="AL791" s="52"/>
      <c r="AM791" s="52"/>
      <c r="AN791" s="52"/>
      <c r="AO791" s="52"/>
      <c r="AP791" s="53"/>
      <c r="AQ791" s="53"/>
      <c r="AR791" s="54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4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  <c r="BW791" s="52"/>
      <c r="BX791" s="52"/>
      <c r="BY791" s="52"/>
      <c r="BZ791" s="52"/>
      <c r="CA791" s="52"/>
      <c r="CB791" s="52"/>
      <c r="CC791" s="52"/>
      <c r="CD791" s="52"/>
      <c r="CE791" s="52"/>
      <c r="CF791" s="52"/>
      <c r="CG791" s="52"/>
      <c r="CH791" s="52"/>
    </row>
    <row r="792">
      <c r="K792" s="51"/>
      <c r="Y792" s="52"/>
      <c r="Z792" s="51"/>
      <c r="AA792" s="51"/>
      <c r="AK792" s="52"/>
      <c r="AL792" s="52"/>
      <c r="AM792" s="52"/>
      <c r="AN792" s="52"/>
      <c r="AO792" s="52"/>
      <c r="AP792" s="53"/>
      <c r="AQ792" s="53"/>
      <c r="AR792" s="54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4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  <c r="BW792" s="52"/>
      <c r="BX792" s="52"/>
      <c r="BY792" s="52"/>
      <c r="BZ792" s="52"/>
      <c r="CA792" s="52"/>
      <c r="CB792" s="52"/>
      <c r="CC792" s="52"/>
      <c r="CD792" s="52"/>
      <c r="CE792" s="52"/>
      <c r="CF792" s="52"/>
      <c r="CG792" s="52"/>
      <c r="CH792" s="52"/>
    </row>
    <row r="793">
      <c r="K793" s="51"/>
      <c r="Y793" s="52"/>
      <c r="Z793" s="51"/>
      <c r="AA793" s="51"/>
      <c r="AK793" s="52"/>
      <c r="AL793" s="52"/>
      <c r="AM793" s="52"/>
      <c r="AN793" s="52"/>
      <c r="AO793" s="52"/>
      <c r="AP793" s="53"/>
      <c r="AQ793" s="53"/>
      <c r="AR793" s="54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4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  <c r="BW793" s="52"/>
      <c r="BX793" s="52"/>
      <c r="BY793" s="52"/>
      <c r="BZ793" s="52"/>
      <c r="CA793" s="52"/>
      <c r="CB793" s="52"/>
      <c r="CC793" s="52"/>
      <c r="CD793" s="52"/>
      <c r="CE793" s="52"/>
      <c r="CF793" s="52"/>
      <c r="CG793" s="52"/>
      <c r="CH793" s="52"/>
    </row>
    <row r="794">
      <c r="K794" s="51"/>
      <c r="Y794" s="52"/>
      <c r="Z794" s="51"/>
      <c r="AA794" s="51"/>
      <c r="AK794" s="52"/>
      <c r="AL794" s="52"/>
      <c r="AM794" s="52"/>
      <c r="AN794" s="52"/>
      <c r="AO794" s="52"/>
      <c r="AP794" s="53"/>
      <c r="AQ794" s="53"/>
      <c r="AR794" s="54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4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  <c r="BW794" s="52"/>
      <c r="BX794" s="52"/>
      <c r="BY794" s="52"/>
      <c r="BZ794" s="52"/>
      <c r="CA794" s="52"/>
      <c r="CB794" s="52"/>
      <c r="CC794" s="52"/>
      <c r="CD794" s="52"/>
      <c r="CE794" s="52"/>
      <c r="CF794" s="52"/>
      <c r="CG794" s="52"/>
      <c r="CH794" s="52"/>
    </row>
    <row r="795">
      <c r="K795" s="51"/>
      <c r="Y795" s="52"/>
      <c r="Z795" s="51"/>
      <c r="AA795" s="51"/>
      <c r="AK795" s="52"/>
      <c r="AL795" s="52"/>
      <c r="AM795" s="52"/>
      <c r="AN795" s="52"/>
      <c r="AO795" s="52"/>
      <c r="AP795" s="53"/>
      <c r="AQ795" s="53"/>
      <c r="AR795" s="54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4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  <c r="BW795" s="52"/>
      <c r="BX795" s="52"/>
      <c r="BY795" s="52"/>
      <c r="BZ795" s="52"/>
      <c r="CA795" s="52"/>
      <c r="CB795" s="52"/>
      <c r="CC795" s="52"/>
      <c r="CD795" s="52"/>
      <c r="CE795" s="52"/>
      <c r="CF795" s="52"/>
      <c r="CG795" s="52"/>
      <c r="CH795" s="52"/>
    </row>
    <row r="796">
      <c r="K796" s="51"/>
      <c r="Y796" s="52"/>
      <c r="Z796" s="51"/>
      <c r="AA796" s="51"/>
      <c r="AK796" s="52"/>
      <c r="AL796" s="52"/>
      <c r="AM796" s="52"/>
      <c r="AN796" s="52"/>
      <c r="AO796" s="52"/>
      <c r="AP796" s="53"/>
      <c r="AQ796" s="53"/>
      <c r="AR796" s="54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4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  <c r="BW796" s="52"/>
      <c r="BX796" s="52"/>
      <c r="BY796" s="52"/>
      <c r="BZ796" s="52"/>
      <c r="CA796" s="52"/>
      <c r="CB796" s="52"/>
      <c r="CC796" s="52"/>
      <c r="CD796" s="52"/>
      <c r="CE796" s="52"/>
      <c r="CF796" s="52"/>
      <c r="CG796" s="52"/>
      <c r="CH796" s="52"/>
    </row>
    <row r="797">
      <c r="K797" s="51"/>
      <c r="Y797" s="52"/>
      <c r="Z797" s="51"/>
      <c r="AA797" s="51"/>
      <c r="AK797" s="52"/>
      <c r="AL797" s="52"/>
      <c r="AM797" s="52"/>
      <c r="AN797" s="52"/>
      <c r="AO797" s="52"/>
      <c r="AP797" s="53"/>
      <c r="AQ797" s="53"/>
      <c r="AR797" s="54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4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  <c r="BW797" s="52"/>
      <c r="BX797" s="52"/>
      <c r="BY797" s="52"/>
      <c r="BZ797" s="52"/>
      <c r="CA797" s="52"/>
      <c r="CB797" s="52"/>
      <c r="CC797" s="52"/>
      <c r="CD797" s="52"/>
      <c r="CE797" s="52"/>
      <c r="CF797" s="52"/>
      <c r="CG797" s="52"/>
      <c r="CH797" s="52"/>
    </row>
    <row r="798">
      <c r="K798" s="51"/>
      <c r="Y798" s="52"/>
      <c r="Z798" s="51"/>
      <c r="AA798" s="51"/>
      <c r="AK798" s="52"/>
      <c r="AL798" s="52"/>
      <c r="AM798" s="52"/>
      <c r="AN798" s="52"/>
      <c r="AO798" s="52"/>
      <c r="AP798" s="53"/>
      <c r="AQ798" s="53"/>
      <c r="AR798" s="54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4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  <c r="BW798" s="52"/>
      <c r="BX798" s="52"/>
      <c r="BY798" s="52"/>
      <c r="BZ798" s="52"/>
      <c r="CA798" s="52"/>
      <c r="CB798" s="52"/>
      <c r="CC798" s="52"/>
      <c r="CD798" s="52"/>
      <c r="CE798" s="52"/>
      <c r="CF798" s="52"/>
      <c r="CG798" s="52"/>
      <c r="CH798" s="52"/>
    </row>
    <row r="799">
      <c r="K799" s="51"/>
      <c r="Y799" s="52"/>
      <c r="Z799" s="51"/>
      <c r="AA799" s="51"/>
      <c r="AK799" s="52"/>
      <c r="AL799" s="52"/>
      <c r="AM799" s="52"/>
      <c r="AN799" s="52"/>
      <c r="AO799" s="52"/>
      <c r="AP799" s="53"/>
      <c r="AQ799" s="53"/>
      <c r="AR799" s="54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4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  <c r="BW799" s="52"/>
      <c r="BX799" s="52"/>
      <c r="BY799" s="52"/>
      <c r="BZ799" s="52"/>
      <c r="CA799" s="52"/>
      <c r="CB799" s="52"/>
      <c r="CC799" s="52"/>
      <c r="CD799" s="52"/>
      <c r="CE799" s="52"/>
      <c r="CF799" s="52"/>
      <c r="CG799" s="52"/>
      <c r="CH799" s="52"/>
    </row>
    <row r="800">
      <c r="K800" s="51"/>
      <c r="Y800" s="52"/>
      <c r="Z800" s="51"/>
      <c r="AA800" s="51"/>
      <c r="AK800" s="52"/>
      <c r="AL800" s="52"/>
      <c r="AM800" s="52"/>
      <c r="AN800" s="52"/>
      <c r="AO800" s="52"/>
      <c r="AP800" s="53"/>
      <c r="AQ800" s="53"/>
      <c r="AR800" s="54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4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  <c r="BW800" s="52"/>
      <c r="BX800" s="52"/>
      <c r="BY800" s="52"/>
      <c r="BZ800" s="52"/>
      <c r="CA800" s="52"/>
      <c r="CB800" s="52"/>
      <c r="CC800" s="52"/>
      <c r="CD800" s="52"/>
      <c r="CE800" s="52"/>
      <c r="CF800" s="52"/>
      <c r="CG800" s="52"/>
      <c r="CH800" s="52"/>
    </row>
    <row r="801">
      <c r="K801" s="51"/>
      <c r="Y801" s="52"/>
      <c r="Z801" s="51"/>
      <c r="AA801" s="51"/>
      <c r="AK801" s="52"/>
      <c r="AL801" s="52"/>
      <c r="AM801" s="52"/>
      <c r="AN801" s="52"/>
      <c r="AO801" s="52"/>
      <c r="AP801" s="53"/>
      <c r="AQ801" s="53"/>
      <c r="AR801" s="54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4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  <c r="BW801" s="52"/>
      <c r="BX801" s="52"/>
      <c r="BY801" s="52"/>
      <c r="BZ801" s="52"/>
      <c r="CA801" s="52"/>
      <c r="CB801" s="52"/>
      <c r="CC801" s="52"/>
      <c r="CD801" s="52"/>
      <c r="CE801" s="52"/>
      <c r="CF801" s="52"/>
      <c r="CG801" s="52"/>
      <c r="CH801" s="52"/>
    </row>
    <row r="802">
      <c r="K802" s="51"/>
      <c r="Y802" s="52"/>
      <c r="Z802" s="51"/>
      <c r="AA802" s="51"/>
      <c r="AK802" s="52"/>
      <c r="AL802" s="52"/>
      <c r="AM802" s="52"/>
      <c r="AN802" s="52"/>
      <c r="AO802" s="52"/>
      <c r="AP802" s="53"/>
      <c r="AQ802" s="53"/>
      <c r="AR802" s="54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4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  <c r="BW802" s="52"/>
      <c r="BX802" s="52"/>
      <c r="BY802" s="52"/>
      <c r="BZ802" s="52"/>
      <c r="CA802" s="52"/>
      <c r="CB802" s="52"/>
      <c r="CC802" s="52"/>
      <c r="CD802" s="52"/>
      <c r="CE802" s="52"/>
      <c r="CF802" s="52"/>
      <c r="CG802" s="52"/>
      <c r="CH802" s="52"/>
    </row>
    <row r="803">
      <c r="K803" s="51"/>
      <c r="Y803" s="52"/>
      <c r="Z803" s="51"/>
      <c r="AA803" s="51"/>
      <c r="AK803" s="52"/>
      <c r="AL803" s="52"/>
      <c r="AM803" s="52"/>
      <c r="AN803" s="52"/>
      <c r="AO803" s="52"/>
      <c r="AP803" s="53"/>
      <c r="AQ803" s="53"/>
      <c r="AR803" s="54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4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  <c r="BW803" s="52"/>
      <c r="BX803" s="52"/>
      <c r="BY803" s="52"/>
      <c r="BZ803" s="52"/>
      <c r="CA803" s="52"/>
      <c r="CB803" s="52"/>
      <c r="CC803" s="52"/>
      <c r="CD803" s="52"/>
      <c r="CE803" s="52"/>
      <c r="CF803" s="52"/>
      <c r="CG803" s="52"/>
      <c r="CH803" s="52"/>
    </row>
    <row r="804">
      <c r="K804" s="51"/>
      <c r="Y804" s="52"/>
      <c r="Z804" s="51"/>
      <c r="AA804" s="51"/>
      <c r="AK804" s="52"/>
      <c r="AL804" s="52"/>
      <c r="AM804" s="52"/>
      <c r="AN804" s="52"/>
      <c r="AO804" s="52"/>
      <c r="AP804" s="53"/>
      <c r="AQ804" s="53"/>
      <c r="AR804" s="54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4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  <c r="BW804" s="52"/>
      <c r="BX804" s="52"/>
      <c r="BY804" s="52"/>
      <c r="BZ804" s="52"/>
      <c r="CA804" s="52"/>
      <c r="CB804" s="52"/>
      <c r="CC804" s="52"/>
      <c r="CD804" s="52"/>
      <c r="CE804" s="52"/>
      <c r="CF804" s="52"/>
      <c r="CG804" s="52"/>
      <c r="CH804" s="52"/>
    </row>
    <row r="805">
      <c r="K805" s="51"/>
      <c r="Y805" s="52"/>
      <c r="Z805" s="51"/>
      <c r="AA805" s="51"/>
      <c r="AK805" s="52"/>
      <c r="AL805" s="52"/>
      <c r="AM805" s="52"/>
      <c r="AN805" s="52"/>
      <c r="AO805" s="52"/>
      <c r="AP805" s="53"/>
      <c r="AQ805" s="53"/>
      <c r="AR805" s="54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4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  <c r="BW805" s="52"/>
      <c r="BX805" s="52"/>
      <c r="BY805" s="52"/>
      <c r="BZ805" s="52"/>
      <c r="CA805" s="52"/>
      <c r="CB805" s="52"/>
      <c r="CC805" s="52"/>
      <c r="CD805" s="52"/>
      <c r="CE805" s="52"/>
      <c r="CF805" s="52"/>
      <c r="CG805" s="52"/>
      <c r="CH805" s="52"/>
    </row>
    <row r="806">
      <c r="K806" s="51"/>
      <c r="Y806" s="52"/>
      <c r="Z806" s="51"/>
      <c r="AA806" s="51"/>
      <c r="AK806" s="52"/>
      <c r="AL806" s="52"/>
      <c r="AM806" s="52"/>
      <c r="AN806" s="52"/>
      <c r="AO806" s="52"/>
      <c r="AP806" s="53"/>
      <c r="AQ806" s="53"/>
      <c r="AR806" s="54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4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</row>
    <row r="807">
      <c r="K807" s="51"/>
      <c r="Y807" s="52"/>
      <c r="Z807" s="51"/>
      <c r="AA807" s="51"/>
      <c r="AK807" s="52"/>
      <c r="AL807" s="52"/>
      <c r="AM807" s="52"/>
      <c r="AN807" s="52"/>
      <c r="AO807" s="52"/>
      <c r="AP807" s="53"/>
      <c r="AQ807" s="53"/>
      <c r="AR807" s="54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4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</row>
    <row r="808">
      <c r="K808" s="51"/>
      <c r="Y808" s="52"/>
      <c r="Z808" s="51"/>
      <c r="AA808" s="51"/>
      <c r="AK808" s="52"/>
      <c r="AL808" s="52"/>
      <c r="AM808" s="52"/>
      <c r="AN808" s="52"/>
      <c r="AO808" s="52"/>
      <c r="AP808" s="53"/>
      <c r="AQ808" s="53"/>
      <c r="AR808" s="54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4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  <c r="BW808" s="52"/>
      <c r="BX808" s="52"/>
      <c r="BY808" s="52"/>
      <c r="BZ808" s="52"/>
      <c r="CA808" s="52"/>
      <c r="CB808" s="52"/>
      <c r="CC808" s="52"/>
      <c r="CD808" s="52"/>
      <c r="CE808" s="52"/>
      <c r="CF808" s="52"/>
      <c r="CG808" s="52"/>
      <c r="CH808" s="52"/>
    </row>
    <row r="809">
      <c r="K809" s="51"/>
      <c r="Y809" s="52"/>
      <c r="Z809" s="51"/>
      <c r="AA809" s="51"/>
      <c r="AK809" s="52"/>
      <c r="AL809" s="52"/>
      <c r="AM809" s="52"/>
      <c r="AN809" s="52"/>
      <c r="AO809" s="52"/>
      <c r="AP809" s="53"/>
      <c r="AQ809" s="53"/>
      <c r="AR809" s="54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4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</row>
    <row r="810">
      <c r="K810" s="51"/>
      <c r="Y810" s="52"/>
      <c r="Z810" s="51"/>
      <c r="AA810" s="51"/>
      <c r="AK810" s="52"/>
      <c r="AL810" s="52"/>
      <c r="AM810" s="52"/>
      <c r="AN810" s="52"/>
      <c r="AO810" s="52"/>
      <c r="AP810" s="53"/>
      <c r="AQ810" s="53"/>
      <c r="AR810" s="54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4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</row>
    <row r="811">
      <c r="K811" s="51"/>
      <c r="Y811" s="52"/>
      <c r="Z811" s="51"/>
      <c r="AA811" s="51"/>
      <c r="AK811" s="52"/>
      <c r="AL811" s="52"/>
      <c r="AM811" s="52"/>
      <c r="AN811" s="52"/>
      <c r="AO811" s="52"/>
      <c r="AP811" s="53"/>
      <c r="AQ811" s="53"/>
      <c r="AR811" s="54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4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</row>
    <row r="812">
      <c r="K812" s="51"/>
      <c r="Y812" s="52"/>
      <c r="Z812" s="51"/>
      <c r="AA812" s="51"/>
      <c r="AK812" s="52"/>
      <c r="AL812" s="52"/>
      <c r="AM812" s="52"/>
      <c r="AN812" s="52"/>
      <c r="AO812" s="52"/>
      <c r="AP812" s="53"/>
      <c r="AQ812" s="53"/>
      <c r="AR812" s="54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4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</row>
    <row r="813">
      <c r="K813" s="51"/>
      <c r="Y813" s="52"/>
      <c r="Z813" s="51"/>
      <c r="AA813" s="51"/>
      <c r="AK813" s="52"/>
      <c r="AL813" s="52"/>
      <c r="AM813" s="52"/>
      <c r="AN813" s="52"/>
      <c r="AO813" s="52"/>
      <c r="AP813" s="53"/>
      <c r="AQ813" s="53"/>
      <c r="AR813" s="54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4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</row>
    <row r="814">
      <c r="K814" s="51"/>
      <c r="Y814" s="52"/>
      <c r="Z814" s="51"/>
      <c r="AA814" s="51"/>
      <c r="AK814" s="52"/>
      <c r="AL814" s="52"/>
      <c r="AM814" s="52"/>
      <c r="AN814" s="52"/>
      <c r="AO814" s="52"/>
      <c r="AP814" s="53"/>
      <c r="AQ814" s="53"/>
      <c r="AR814" s="54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4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</row>
    <row r="815">
      <c r="K815" s="51"/>
      <c r="Y815" s="52"/>
      <c r="Z815" s="51"/>
      <c r="AA815" s="51"/>
      <c r="AK815" s="52"/>
      <c r="AL815" s="52"/>
      <c r="AM815" s="52"/>
      <c r="AN815" s="52"/>
      <c r="AO815" s="52"/>
      <c r="AP815" s="53"/>
      <c r="AQ815" s="53"/>
      <c r="AR815" s="54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4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</row>
    <row r="816">
      <c r="K816" s="51"/>
      <c r="Y816" s="52"/>
      <c r="Z816" s="51"/>
      <c r="AA816" s="51"/>
      <c r="AK816" s="52"/>
      <c r="AL816" s="52"/>
      <c r="AM816" s="52"/>
      <c r="AN816" s="52"/>
      <c r="AO816" s="52"/>
      <c r="AP816" s="53"/>
      <c r="AQ816" s="53"/>
      <c r="AR816" s="54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4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</row>
    <row r="817">
      <c r="K817" s="51"/>
      <c r="Y817" s="52"/>
      <c r="Z817" s="51"/>
      <c r="AA817" s="51"/>
      <c r="AK817" s="52"/>
      <c r="AL817" s="52"/>
      <c r="AM817" s="52"/>
      <c r="AN817" s="52"/>
      <c r="AO817" s="52"/>
      <c r="AP817" s="53"/>
      <c r="AQ817" s="53"/>
      <c r="AR817" s="54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4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</row>
    <row r="818">
      <c r="K818" s="51"/>
      <c r="Y818" s="52"/>
      <c r="Z818" s="51"/>
      <c r="AA818" s="51"/>
      <c r="AK818" s="52"/>
      <c r="AL818" s="52"/>
      <c r="AM818" s="52"/>
      <c r="AN818" s="52"/>
      <c r="AO818" s="52"/>
      <c r="AP818" s="53"/>
      <c r="AQ818" s="53"/>
      <c r="AR818" s="54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4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</row>
    <row r="819">
      <c r="K819" s="51"/>
      <c r="Y819" s="52"/>
      <c r="Z819" s="51"/>
      <c r="AA819" s="51"/>
      <c r="AK819" s="52"/>
      <c r="AL819" s="52"/>
      <c r="AM819" s="52"/>
      <c r="AN819" s="52"/>
      <c r="AO819" s="52"/>
      <c r="AP819" s="53"/>
      <c r="AQ819" s="53"/>
      <c r="AR819" s="54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4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</row>
    <row r="820">
      <c r="K820" s="51"/>
      <c r="Y820" s="52"/>
      <c r="Z820" s="51"/>
      <c r="AA820" s="51"/>
      <c r="AK820" s="52"/>
      <c r="AL820" s="52"/>
      <c r="AM820" s="52"/>
      <c r="AN820" s="52"/>
      <c r="AO820" s="52"/>
      <c r="AP820" s="53"/>
      <c r="AQ820" s="53"/>
      <c r="AR820" s="54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4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  <c r="BW820" s="52"/>
      <c r="BX820" s="52"/>
      <c r="BY820" s="52"/>
      <c r="BZ820" s="52"/>
      <c r="CA820" s="52"/>
      <c r="CB820" s="52"/>
      <c r="CC820" s="52"/>
      <c r="CD820" s="52"/>
      <c r="CE820" s="52"/>
      <c r="CF820" s="52"/>
      <c r="CG820" s="52"/>
      <c r="CH820" s="52"/>
    </row>
    <row r="821">
      <c r="K821" s="51"/>
      <c r="Y821" s="52"/>
      <c r="Z821" s="51"/>
      <c r="AA821" s="51"/>
      <c r="AK821" s="52"/>
      <c r="AL821" s="52"/>
      <c r="AM821" s="52"/>
      <c r="AN821" s="52"/>
      <c r="AO821" s="52"/>
      <c r="AP821" s="53"/>
      <c r="AQ821" s="53"/>
      <c r="AR821" s="54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4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  <c r="BW821" s="52"/>
      <c r="BX821" s="52"/>
      <c r="BY821" s="52"/>
      <c r="BZ821" s="52"/>
      <c r="CA821" s="52"/>
      <c r="CB821" s="52"/>
      <c r="CC821" s="52"/>
      <c r="CD821" s="52"/>
      <c r="CE821" s="52"/>
      <c r="CF821" s="52"/>
      <c r="CG821" s="52"/>
      <c r="CH821" s="52"/>
    </row>
    <row r="822">
      <c r="K822" s="51"/>
      <c r="Y822" s="52"/>
      <c r="Z822" s="51"/>
      <c r="AA822" s="51"/>
      <c r="AK822" s="52"/>
      <c r="AL822" s="52"/>
      <c r="AM822" s="52"/>
      <c r="AN822" s="52"/>
      <c r="AO822" s="52"/>
      <c r="AP822" s="53"/>
      <c r="AQ822" s="53"/>
      <c r="AR822" s="54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4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  <c r="BW822" s="52"/>
      <c r="BX822" s="52"/>
      <c r="BY822" s="52"/>
      <c r="BZ822" s="52"/>
      <c r="CA822" s="52"/>
      <c r="CB822" s="52"/>
      <c r="CC822" s="52"/>
      <c r="CD822" s="52"/>
      <c r="CE822" s="52"/>
      <c r="CF822" s="52"/>
      <c r="CG822" s="52"/>
      <c r="CH822" s="52"/>
    </row>
    <row r="823">
      <c r="K823" s="51"/>
      <c r="Y823" s="52"/>
      <c r="Z823" s="51"/>
      <c r="AA823" s="51"/>
      <c r="AK823" s="52"/>
      <c r="AL823" s="52"/>
      <c r="AM823" s="52"/>
      <c r="AN823" s="52"/>
      <c r="AO823" s="52"/>
      <c r="AP823" s="53"/>
      <c r="AQ823" s="53"/>
      <c r="AR823" s="54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4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  <c r="BW823" s="52"/>
      <c r="BX823" s="52"/>
      <c r="BY823" s="52"/>
      <c r="BZ823" s="52"/>
      <c r="CA823" s="52"/>
      <c r="CB823" s="52"/>
      <c r="CC823" s="52"/>
      <c r="CD823" s="52"/>
      <c r="CE823" s="52"/>
      <c r="CF823" s="52"/>
      <c r="CG823" s="52"/>
      <c r="CH823" s="52"/>
    </row>
    <row r="824">
      <c r="K824" s="51"/>
      <c r="Y824" s="52"/>
      <c r="Z824" s="51"/>
      <c r="AA824" s="51"/>
      <c r="AK824" s="52"/>
      <c r="AL824" s="52"/>
      <c r="AM824" s="52"/>
      <c r="AN824" s="52"/>
      <c r="AO824" s="52"/>
      <c r="AP824" s="53"/>
      <c r="AQ824" s="53"/>
      <c r="AR824" s="54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4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</row>
    <row r="825">
      <c r="K825" s="51"/>
      <c r="Y825" s="52"/>
      <c r="Z825" s="51"/>
      <c r="AA825" s="51"/>
      <c r="AK825" s="52"/>
      <c r="AL825" s="52"/>
      <c r="AM825" s="52"/>
      <c r="AN825" s="52"/>
      <c r="AO825" s="52"/>
      <c r="AP825" s="53"/>
      <c r="AQ825" s="53"/>
      <c r="AR825" s="54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4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  <c r="BW825" s="52"/>
      <c r="BX825" s="52"/>
      <c r="BY825" s="52"/>
      <c r="BZ825" s="52"/>
      <c r="CA825" s="52"/>
      <c r="CB825" s="52"/>
      <c r="CC825" s="52"/>
      <c r="CD825" s="52"/>
      <c r="CE825" s="52"/>
      <c r="CF825" s="52"/>
      <c r="CG825" s="52"/>
      <c r="CH825" s="52"/>
    </row>
    <row r="826">
      <c r="K826" s="51"/>
      <c r="Y826" s="52"/>
      <c r="Z826" s="51"/>
      <c r="AA826" s="51"/>
      <c r="AK826" s="52"/>
      <c r="AL826" s="52"/>
      <c r="AM826" s="52"/>
      <c r="AN826" s="52"/>
      <c r="AO826" s="52"/>
      <c r="AP826" s="53"/>
      <c r="AQ826" s="53"/>
      <c r="AR826" s="54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4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  <c r="BW826" s="52"/>
      <c r="BX826" s="52"/>
      <c r="BY826" s="52"/>
      <c r="BZ826" s="52"/>
      <c r="CA826" s="52"/>
      <c r="CB826" s="52"/>
      <c r="CC826" s="52"/>
      <c r="CD826" s="52"/>
      <c r="CE826" s="52"/>
      <c r="CF826" s="52"/>
      <c r="CG826" s="52"/>
      <c r="CH826" s="52"/>
    </row>
    <row r="827">
      <c r="K827" s="51"/>
      <c r="Y827" s="52"/>
      <c r="Z827" s="51"/>
      <c r="AA827" s="51"/>
      <c r="AK827" s="52"/>
      <c r="AL827" s="52"/>
      <c r="AM827" s="52"/>
      <c r="AN827" s="52"/>
      <c r="AO827" s="52"/>
      <c r="AP827" s="53"/>
      <c r="AQ827" s="53"/>
      <c r="AR827" s="54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4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  <c r="BW827" s="52"/>
      <c r="BX827" s="52"/>
      <c r="BY827" s="52"/>
      <c r="BZ827" s="52"/>
      <c r="CA827" s="52"/>
      <c r="CB827" s="52"/>
      <c r="CC827" s="52"/>
      <c r="CD827" s="52"/>
      <c r="CE827" s="52"/>
      <c r="CF827" s="52"/>
      <c r="CG827" s="52"/>
      <c r="CH827" s="52"/>
    </row>
    <row r="828">
      <c r="K828" s="51"/>
      <c r="Y828" s="52"/>
      <c r="Z828" s="51"/>
      <c r="AA828" s="51"/>
      <c r="AK828" s="52"/>
      <c r="AL828" s="52"/>
      <c r="AM828" s="52"/>
      <c r="AN828" s="52"/>
      <c r="AO828" s="52"/>
      <c r="AP828" s="53"/>
      <c r="AQ828" s="53"/>
      <c r="AR828" s="54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4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  <c r="BW828" s="52"/>
      <c r="BX828" s="52"/>
      <c r="BY828" s="52"/>
      <c r="BZ828" s="52"/>
      <c r="CA828" s="52"/>
      <c r="CB828" s="52"/>
      <c r="CC828" s="52"/>
      <c r="CD828" s="52"/>
      <c r="CE828" s="52"/>
      <c r="CF828" s="52"/>
      <c r="CG828" s="52"/>
      <c r="CH828" s="52"/>
    </row>
    <row r="829">
      <c r="K829" s="51"/>
      <c r="Y829" s="52"/>
      <c r="Z829" s="51"/>
      <c r="AA829" s="51"/>
      <c r="AK829" s="52"/>
      <c r="AL829" s="52"/>
      <c r="AM829" s="52"/>
      <c r="AN829" s="52"/>
      <c r="AO829" s="52"/>
      <c r="AP829" s="53"/>
      <c r="AQ829" s="53"/>
      <c r="AR829" s="54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4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52"/>
      <c r="BY829" s="52"/>
      <c r="BZ829" s="52"/>
      <c r="CA829" s="52"/>
      <c r="CB829" s="52"/>
      <c r="CC829" s="52"/>
      <c r="CD829" s="52"/>
      <c r="CE829" s="52"/>
      <c r="CF829" s="52"/>
      <c r="CG829" s="52"/>
      <c r="CH829" s="52"/>
    </row>
    <row r="830">
      <c r="K830" s="51"/>
      <c r="Y830" s="52"/>
      <c r="Z830" s="51"/>
      <c r="AA830" s="51"/>
      <c r="AK830" s="52"/>
      <c r="AL830" s="52"/>
      <c r="AM830" s="52"/>
      <c r="AN830" s="52"/>
      <c r="AO830" s="52"/>
      <c r="AP830" s="53"/>
      <c r="AQ830" s="53"/>
      <c r="AR830" s="54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4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  <c r="BW830" s="52"/>
      <c r="BX830" s="52"/>
      <c r="BY830" s="52"/>
      <c r="BZ830" s="52"/>
      <c r="CA830" s="52"/>
      <c r="CB830" s="52"/>
      <c r="CC830" s="52"/>
      <c r="CD830" s="52"/>
      <c r="CE830" s="52"/>
      <c r="CF830" s="52"/>
      <c r="CG830" s="52"/>
      <c r="CH830" s="52"/>
    </row>
    <row r="831">
      <c r="K831" s="51"/>
      <c r="Y831" s="52"/>
      <c r="Z831" s="51"/>
      <c r="AA831" s="51"/>
      <c r="AK831" s="52"/>
      <c r="AL831" s="52"/>
      <c r="AM831" s="52"/>
      <c r="AN831" s="52"/>
      <c r="AO831" s="52"/>
      <c r="AP831" s="53"/>
      <c r="AQ831" s="53"/>
      <c r="AR831" s="54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4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  <c r="BW831" s="52"/>
      <c r="BX831" s="52"/>
      <c r="BY831" s="52"/>
      <c r="BZ831" s="52"/>
      <c r="CA831" s="52"/>
      <c r="CB831" s="52"/>
      <c r="CC831" s="52"/>
      <c r="CD831" s="52"/>
      <c r="CE831" s="52"/>
      <c r="CF831" s="52"/>
      <c r="CG831" s="52"/>
      <c r="CH831" s="52"/>
    </row>
    <row r="832">
      <c r="K832" s="51"/>
      <c r="Y832" s="52"/>
      <c r="Z832" s="51"/>
      <c r="AA832" s="51"/>
      <c r="AK832" s="52"/>
      <c r="AL832" s="52"/>
      <c r="AM832" s="52"/>
      <c r="AN832" s="52"/>
      <c r="AO832" s="52"/>
      <c r="AP832" s="53"/>
      <c r="AQ832" s="53"/>
      <c r="AR832" s="54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4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  <c r="BW832" s="52"/>
      <c r="BX832" s="52"/>
      <c r="BY832" s="52"/>
      <c r="BZ832" s="52"/>
      <c r="CA832" s="52"/>
      <c r="CB832" s="52"/>
      <c r="CC832" s="52"/>
      <c r="CD832" s="52"/>
      <c r="CE832" s="52"/>
      <c r="CF832" s="52"/>
      <c r="CG832" s="52"/>
      <c r="CH832" s="52"/>
    </row>
    <row r="833">
      <c r="K833" s="51"/>
      <c r="Y833" s="52"/>
      <c r="Z833" s="51"/>
      <c r="AA833" s="51"/>
      <c r="AK833" s="52"/>
      <c r="AL833" s="52"/>
      <c r="AM833" s="52"/>
      <c r="AN833" s="52"/>
      <c r="AO833" s="52"/>
      <c r="AP833" s="53"/>
      <c r="AQ833" s="53"/>
      <c r="AR833" s="54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4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  <c r="BW833" s="52"/>
      <c r="BX833" s="52"/>
      <c r="BY833" s="52"/>
      <c r="BZ833" s="52"/>
      <c r="CA833" s="52"/>
      <c r="CB833" s="52"/>
      <c r="CC833" s="52"/>
      <c r="CD833" s="52"/>
      <c r="CE833" s="52"/>
      <c r="CF833" s="52"/>
      <c r="CG833" s="52"/>
      <c r="CH833" s="52"/>
    </row>
    <row r="834">
      <c r="K834" s="51"/>
      <c r="Y834" s="52"/>
      <c r="Z834" s="51"/>
      <c r="AA834" s="51"/>
      <c r="AK834" s="52"/>
      <c r="AL834" s="52"/>
      <c r="AM834" s="52"/>
      <c r="AN834" s="52"/>
      <c r="AO834" s="52"/>
      <c r="AP834" s="53"/>
      <c r="AQ834" s="53"/>
      <c r="AR834" s="54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4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52"/>
      <c r="BY834" s="52"/>
      <c r="BZ834" s="52"/>
      <c r="CA834" s="52"/>
      <c r="CB834" s="52"/>
      <c r="CC834" s="52"/>
      <c r="CD834" s="52"/>
      <c r="CE834" s="52"/>
      <c r="CF834" s="52"/>
      <c r="CG834" s="52"/>
      <c r="CH834" s="52"/>
    </row>
    <row r="835">
      <c r="K835" s="51"/>
      <c r="Y835" s="52"/>
      <c r="Z835" s="51"/>
      <c r="AA835" s="51"/>
      <c r="AK835" s="52"/>
      <c r="AL835" s="52"/>
      <c r="AM835" s="52"/>
      <c r="AN835" s="52"/>
      <c r="AO835" s="52"/>
      <c r="AP835" s="53"/>
      <c r="AQ835" s="53"/>
      <c r="AR835" s="54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4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  <c r="BW835" s="52"/>
      <c r="BX835" s="52"/>
      <c r="BY835" s="52"/>
      <c r="BZ835" s="52"/>
      <c r="CA835" s="52"/>
      <c r="CB835" s="52"/>
      <c r="CC835" s="52"/>
      <c r="CD835" s="52"/>
      <c r="CE835" s="52"/>
      <c r="CF835" s="52"/>
      <c r="CG835" s="52"/>
      <c r="CH835" s="52"/>
    </row>
    <row r="836">
      <c r="K836" s="51"/>
      <c r="Y836" s="52"/>
      <c r="Z836" s="51"/>
      <c r="AA836" s="51"/>
      <c r="AK836" s="52"/>
      <c r="AL836" s="52"/>
      <c r="AM836" s="52"/>
      <c r="AN836" s="52"/>
      <c r="AO836" s="52"/>
      <c r="AP836" s="53"/>
      <c r="AQ836" s="53"/>
      <c r="AR836" s="54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4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  <c r="BW836" s="52"/>
      <c r="BX836" s="52"/>
      <c r="BY836" s="52"/>
      <c r="BZ836" s="52"/>
      <c r="CA836" s="52"/>
      <c r="CB836" s="52"/>
      <c r="CC836" s="52"/>
      <c r="CD836" s="52"/>
      <c r="CE836" s="52"/>
      <c r="CF836" s="52"/>
      <c r="CG836" s="52"/>
      <c r="CH836" s="52"/>
    </row>
    <row r="837">
      <c r="K837" s="51"/>
      <c r="Y837" s="52"/>
      <c r="Z837" s="51"/>
      <c r="AA837" s="51"/>
      <c r="AK837" s="52"/>
      <c r="AL837" s="52"/>
      <c r="AM837" s="52"/>
      <c r="AN837" s="52"/>
      <c r="AO837" s="52"/>
      <c r="AP837" s="53"/>
      <c r="AQ837" s="53"/>
      <c r="AR837" s="54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4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  <c r="BW837" s="52"/>
      <c r="BX837" s="52"/>
      <c r="BY837" s="52"/>
      <c r="BZ837" s="52"/>
      <c r="CA837" s="52"/>
      <c r="CB837" s="52"/>
      <c r="CC837" s="52"/>
      <c r="CD837" s="52"/>
      <c r="CE837" s="52"/>
      <c r="CF837" s="52"/>
      <c r="CG837" s="52"/>
      <c r="CH837" s="52"/>
    </row>
    <row r="838">
      <c r="K838" s="51"/>
      <c r="Y838" s="52"/>
      <c r="Z838" s="51"/>
      <c r="AA838" s="51"/>
      <c r="AK838" s="52"/>
      <c r="AL838" s="52"/>
      <c r="AM838" s="52"/>
      <c r="AN838" s="52"/>
      <c r="AO838" s="52"/>
      <c r="AP838" s="53"/>
      <c r="AQ838" s="53"/>
      <c r="AR838" s="54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4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  <c r="BW838" s="52"/>
      <c r="BX838" s="52"/>
      <c r="BY838" s="52"/>
      <c r="BZ838" s="52"/>
      <c r="CA838" s="52"/>
      <c r="CB838" s="52"/>
      <c r="CC838" s="52"/>
      <c r="CD838" s="52"/>
      <c r="CE838" s="52"/>
      <c r="CF838" s="52"/>
      <c r="CG838" s="52"/>
      <c r="CH838" s="52"/>
    </row>
    <row r="839">
      <c r="K839" s="51"/>
      <c r="Y839" s="52"/>
      <c r="Z839" s="51"/>
      <c r="AA839" s="51"/>
      <c r="AK839" s="52"/>
      <c r="AL839" s="52"/>
      <c r="AM839" s="52"/>
      <c r="AN839" s="52"/>
      <c r="AO839" s="52"/>
      <c r="AP839" s="53"/>
      <c r="AQ839" s="53"/>
      <c r="AR839" s="54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4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</row>
    <row r="840">
      <c r="K840" s="51"/>
      <c r="Y840" s="52"/>
      <c r="Z840" s="51"/>
      <c r="AA840" s="51"/>
      <c r="AK840" s="52"/>
      <c r="AL840" s="52"/>
      <c r="AM840" s="52"/>
      <c r="AN840" s="52"/>
      <c r="AO840" s="52"/>
      <c r="AP840" s="53"/>
      <c r="AQ840" s="53"/>
      <c r="AR840" s="54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4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  <c r="BW840" s="52"/>
      <c r="BX840" s="52"/>
      <c r="BY840" s="52"/>
      <c r="BZ840" s="52"/>
      <c r="CA840" s="52"/>
      <c r="CB840" s="52"/>
      <c r="CC840" s="52"/>
      <c r="CD840" s="52"/>
      <c r="CE840" s="52"/>
      <c r="CF840" s="52"/>
      <c r="CG840" s="52"/>
      <c r="CH840" s="52"/>
    </row>
    <row r="841">
      <c r="K841" s="51"/>
      <c r="Y841" s="52"/>
      <c r="Z841" s="51"/>
      <c r="AA841" s="51"/>
      <c r="AK841" s="52"/>
      <c r="AL841" s="52"/>
      <c r="AM841" s="52"/>
      <c r="AN841" s="52"/>
      <c r="AO841" s="52"/>
      <c r="AP841" s="53"/>
      <c r="AQ841" s="53"/>
      <c r="AR841" s="54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4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  <c r="BW841" s="52"/>
      <c r="BX841" s="52"/>
      <c r="BY841" s="52"/>
      <c r="BZ841" s="52"/>
      <c r="CA841" s="52"/>
      <c r="CB841" s="52"/>
      <c r="CC841" s="52"/>
      <c r="CD841" s="52"/>
      <c r="CE841" s="52"/>
      <c r="CF841" s="52"/>
      <c r="CG841" s="52"/>
      <c r="CH841" s="52"/>
    </row>
    <row r="842">
      <c r="K842" s="51"/>
      <c r="Y842" s="52"/>
      <c r="Z842" s="51"/>
      <c r="AA842" s="51"/>
      <c r="AK842" s="52"/>
      <c r="AL842" s="52"/>
      <c r="AM842" s="52"/>
      <c r="AN842" s="52"/>
      <c r="AO842" s="52"/>
      <c r="AP842" s="53"/>
      <c r="AQ842" s="53"/>
      <c r="AR842" s="54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4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  <c r="BW842" s="52"/>
      <c r="BX842" s="52"/>
      <c r="BY842" s="52"/>
      <c r="BZ842" s="52"/>
      <c r="CA842" s="52"/>
      <c r="CB842" s="52"/>
      <c r="CC842" s="52"/>
      <c r="CD842" s="52"/>
      <c r="CE842" s="52"/>
      <c r="CF842" s="52"/>
      <c r="CG842" s="52"/>
      <c r="CH842" s="52"/>
    </row>
    <row r="843">
      <c r="K843" s="51"/>
      <c r="Y843" s="52"/>
      <c r="Z843" s="51"/>
      <c r="AA843" s="51"/>
      <c r="AK843" s="52"/>
      <c r="AL843" s="52"/>
      <c r="AM843" s="52"/>
      <c r="AN843" s="52"/>
      <c r="AO843" s="52"/>
      <c r="AP843" s="53"/>
      <c r="AQ843" s="53"/>
      <c r="AR843" s="54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4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  <c r="BW843" s="52"/>
      <c r="BX843" s="52"/>
      <c r="BY843" s="52"/>
      <c r="BZ843" s="52"/>
      <c r="CA843" s="52"/>
      <c r="CB843" s="52"/>
      <c r="CC843" s="52"/>
      <c r="CD843" s="52"/>
      <c r="CE843" s="52"/>
      <c r="CF843" s="52"/>
      <c r="CG843" s="52"/>
      <c r="CH843" s="52"/>
    </row>
    <row r="844">
      <c r="K844" s="51"/>
      <c r="Y844" s="52"/>
      <c r="Z844" s="51"/>
      <c r="AA844" s="51"/>
      <c r="AK844" s="52"/>
      <c r="AL844" s="52"/>
      <c r="AM844" s="52"/>
      <c r="AN844" s="52"/>
      <c r="AO844" s="52"/>
      <c r="AP844" s="53"/>
      <c r="AQ844" s="53"/>
      <c r="AR844" s="54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4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52"/>
      <c r="BY844" s="52"/>
      <c r="BZ844" s="52"/>
      <c r="CA844" s="52"/>
      <c r="CB844" s="52"/>
      <c r="CC844" s="52"/>
      <c r="CD844" s="52"/>
      <c r="CE844" s="52"/>
      <c r="CF844" s="52"/>
      <c r="CG844" s="52"/>
      <c r="CH844" s="52"/>
    </row>
    <row r="845">
      <c r="K845" s="51"/>
      <c r="Y845" s="52"/>
      <c r="Z845" s="51"/>
      <c r="AA845" s="51"/>
      <c r="AK845" s="52"/>
      <c r="AL845" s="52"/>
      <c r="AM845" s="52"/>
      <c r="AN845" s="52"/>
      <c r="AO845" s="52"/>
      <c r="AP845" s="53"/>
      <c r="AQ845" s="53"/>
      <c r="AR845" s="54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4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  <c r="BW845" s="52"/>
      <c r="BX845" s="52"/>
      <c r="BY845" s="52"/>
      <c r="BZ845" s="52"/>
      <c r="CA845" s="52"/>
      <c r="CB845" s="52"/>
      <c r="CC845" s="52"/>
      <c r="CD845" s="52"/>
      <c r="CE845" s="52"/>
      <c r="CF845" s="52"/>
      <c r="CG845" s="52"/>
      <c r="CH845" s="52"/>
    </row>
    <row r="846">
      <c r="K846" s="51"/>
      <c r="Y846" s="52"/>
      <c r="Z846" s="51"/>
      <c r="AA846" s="51"/>
      <c r="AK846" s="52"/>
      <c r="AL846" s="52"/>
      <c r="AM846" s="52"/>
      <c r="AN846" s="52"/>
      <c r="AO846" s="52"/>
      <c r="AP846" s="53"/>
      <c r="AQ846" s="53"/>
      <c r="AR846" s="54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4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</row>
    <row r="847">
      <c r="K847" s="51"/>
      <c r="Y847" s="52"/>
      <c r="Z847" s="51"/>
      <c r="AA847" s="51"/>
      <c r="AK847" s="52"/>
      <c r="AL847" s="52"/>
      <c r="AM847" s="52"/>
      <c r="AN847" s="52"/>
      <c r="AO847" s="52"/>
      <c r="AP847" s="53"/>
      <c r="AQ847" s="53"/>
      <c r="AR847" s="54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4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</row>
    <row r="848">
      <c r="K848" s="51"/>
      <c r="Y848" s="52"/>
      <c r="Z848" s="51"/>
      <c r="AA848" s="51"/>
      <c r="AK848" s="52"/>
      <c r="AL848" s="52"/>
      <c r="AM848" s="52"/>
      <c r="AN848" s="52"/>
      <c r="AO848" s="52"/>
      <c r="AP848" s="53"/>
      <c r="AQ848" s="53"/>
      <c r="AR848" s="54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4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  <c r="BW848" s="52"/>
      <c r="BX848" s="52"/>
      <c r="BY848" s="52"/>
      <c r="BZ848" s="52"/>
      <c r="CA848" s="52"/>
      <c r="CB848" s="52"/>
      <c r="CC848" s="52"/>
      <c r="CD848" s="52"/>
      <c r="CE848" s="52"/>
      <c r="CF848" s="52"/>
      <c r="CG848" s="52"/>
      <c r="CH848" s="52"/>
    </row>
    <row r="849">
      <c r="K849" s="51"/>
      <c r="Y849" s="52"/>
      <c r="Z849" s="51"/>
      <c r="AA849" s="51"/>
      <c r="AK849" s="52"/>
      <c r="AL849" s="52"/>
      <c r="AM849" s="52"/>
      <c r="AN849" s="52"/>
      <c r="AO849" s="52"/>
      <c r="AP849" s="53"/>
      <c r="AQ849" s="53"/>
      <c r="AR849" s="54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4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</row>
    <row r="850">
      <c r="K850" s="51"/>
      <c r="Y850" s="52"/>
      <c r="Z850" s="51"/>
      <c r="AA850" s="51"/>
      <c r="AK850" s="52"/>
      <c r="AL850" s="52"/>
      <c r="AM850" s="52"/>
      <c r="AN850" s="52"/>
      <c r="AO850" s="52"/>
      <c r="AP850" s="53"/>
      <c r="AQ850" s="53"/>
      <c r="AR850" s="54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4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</row>
    <row r="851">
      <c r="K851" s="51"/>
      <c r="Y851" s="52"/>
      <c r="Z851" s="51"/>
      <c r="AA851" s="51"/>
      <c r="AK851" s="52"/>
      <c r="AL851" s="52"/>
      <c r="AM851" s="52"/>
      <c r="AN851" s="52"/>
      <c r="AO851" s="52"/>
      <c r="AP851" s="53"/>
      <c r="AQ851" s="53"/>
      <c r="AR851" s="54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4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</row>
    <row r="852">
      <c r="K852" s="51"/>
      <c r="Y852" s="52"/>
      <c r="Z852" s="51"/>
      <c r="AA852" s="51"/>
      <c r="AK852" s="52"/>
      <c r="AL852" s="52"/>
      <c r="AM852" s="52"/>
      <c r="AN852" s="52"/>
      <c r="AO852" s="52"/>
      <c r="AP852" s="53"/>
      <c r="AQ852" s="53"/>
      <c r="AR852" s="54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4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</row>
    <row r="853">
      <c r="K853" s="51"/>
      <c r="Y853" s="52"/>
      <c r="Z853" s="51"/>
      <c r="AA853" s="51"/>
      <c r="AK853" s="52"/>
      <c r="AL853" s="52"/>
      <c r="AM853" s="52"/>
      <c r="AN853" s="52"/>
      <c r="AO853" s="52"/>
      <c r="AP853" s="53"/>
      <c r="AQ853" s="53"/>
      <c r="AR853" s="54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4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</row>
    <row r="854">
      <c r="K854" s="51"/>
      <c r="Y854" s="52"/>
      <c r="Z854" s="51"/>
      <c r="AA854" s="51"/>
      <c r="AK854" s="52"/>
      <c r="AL854" s="52"/>
      <c r="AM854" s="52"/>
      <c r="AN854" s="52"/>
      <c r="AO854" s="52"/>
      <c r="AP854" s="53"/>
      <c r="AQ854" s="53"/>
      <c r="AR854" s="54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4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</row>
    <row r="855">
      <c r="K855" s="51"/>
      <c r="Y855" s="52"/>
      <c r="Z855" s="51"/>
      <c r="AA855" s="51"/>
      <c r="AK855" s="52"/>
      <c r="AL855" s="52"/>
      <c r="AM855" s="52"/>
      <c r="AN855" s="52"/>
      <c r="AO855" s="52"/>
      <c r="AP855" s="53"/>
      <c r="AQ855" s="53"/>
      <c r="AR855" s="54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4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</row>
    <row r="856">
      <c r="K856" s="51"/>
      <c r="Y856" s="52"/>
      <c r="Z856" s="51"/>
      <c r="AA856" s="51"/>
      <c r="AK856" s="52"/>
      <c r="AL856" s="52"/>
      <c r="AM856" s="52"/>
      <c r="AN856" s="52"/>
      <c r="AO856" s="52"/>
      <c r="AP856" s="53"/>
      <c r="AQ856" s="53"/>
      <c r="AR856" s="54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4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</row>
    <row r="857">
      <c r="K857" s="51"/>
      <c r="Y857" s="52"/>
      <c r="Z857" s="51"/>
      <c r="AA857" s="51"/>
      <c r="AK857" s="52"/>
      <c r="AL857" s="52"/>
      <c r="AM857" s="52"/>
      <c r="AN857" s="52"/>
      <c r="AO857" s="52"/>
      <c r="AP857" s="53"/>
      <c r="AQ857" s="53"/>
      <c r="AR857" s="54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4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</row>
    <row r="858">
      <c r="K858" s="51"/>
      <c r="Y858" s="52"/>
      <c r="Z858" s="51"/>
      <c r="AA858" s="51"/>
      <c r="AK858" s="52"/>
      <c r="AL858" s="52"/>
      <c r="AM858" s="52"/>
      <c r="AN858" s="52"/>
      <c r="AO858" s="52"/>
      <c r="AP858" s="53"/>
      <c r="AQ858" s="53"/>
      <c r="AR858" s="54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4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</row>
    <row r="859">
      <c r="K859" s="51"/>
      <c r="Y859" s="52"/>
      <c r="Z859" s="51"/>
      <c r="AA859" s="51"/>
      <c r="AK859" s="52"/>
      <c r="AL859" s="52"/>
      <c r="AM859" s="52"/>
      <c r="AN859" s="52"/>
      <c r="AO859" s="52"/>
      <c r="AP859" s="53"/>
      <c r="AQ859" s="53"/>
      <c r="AR859" s="54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4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</row>
    <row r="860">
      <c r="K860" s="51"/>
      <c r="Y860" s="52"/>
      <c r="Z860" s="51"/>
      <c r="AA860" s="51"/>
      <c r="AK860" s="52"/>
      <c r="AL860" s="52"/>
      <c r="AM860" s="52"/>
      <c r="AN860" s="52"/>
      <c r="AO860" s="52"/>
      <c r="AP860" s="53"/>
      <c r="AQ860" s="53"/>
      <c r="AR860" s="54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4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  <c r="BW860" s="52"/>
      <c r="BX860" s="52"/>
      <c r="BY860" s="52"/>
      <c r="BZ860" s="52"/>
      <c r="CA860" s="52"/>
      <c r="CB860" s="52"/>
      <c r="CC860" s="52"/>
      <c r="CD860" s="52"/>
      <c r="CE860" s="52"/>
      <c r="CF860" s="52"/>
      <c r="CG860" s="52"/>
      <c r="CH860" s="52"/>
    </row>
    <row r="861">
      <c r="K861" s="51"/>
      <c r="Y861" s="52"/>
      <c r="Z861" s="51"/>
      <c r="AA861" s="51"/>
      <c r="AK861" s="52"/>
      <c r="AL861" s="52"/>
      <c r="AM861" s="52"/>
      <c r="AN861" s="52"/>
      <c r="AO861" s="52"/>
      <c r="AP861" s="53"/>
      <c r="AQ861" s="53"/>
      <c r="AR861" s="54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4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  <c r="BW861" s="52"/>
      <c r="BX861" s="52"/>
      <c r="BY861" s="52"/>
      <c r="BZ861" s="52"/>
      <c r="CA861" s="52"/>
      <c r="CB861" s="52"/>
      <c r="CC861" s="52"/>
      <c r="CD861" s="52"/>
      <c r="CE861" s="52"/>
      <c r="CF861" s="52"/>
      <c r="CG861" s="52"/>
      <c r="CH861" s="52"/>
    </row>
    <row r="862">
      <c r="K862" s="51"/>
      <c r="Y862" s="52"/>
      <c r="Z862" s="51"/>
      <c r="AA862" s="51"/>
      <c r="AK862" s="52"/>
      <c r="AL862" s="52"/>
      <c r="AM862" s="52"/>
      <c r="AN862" s="52"/>
      <c r="AO862" s="52"/>
      <c r="AP862" s="53"/>
      <c r="AQ862" s="53"/>
      <c r="AR862" s="54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4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  <c r="BW862" s="52"/>
      <c r="BX862" s="52"/>
      <c r="BY862" s="52"/>
      <c r="BZ862" s="52"/>
      <c r="CA862" s="52"/>
      <c r="CB862" s="52"/>
      <c r="CC862" s="52"/>
      <c r="CD862" s="52"/>
      <c r="CE862" s="52"/>
      <c r="CF862" s="52"/>
      <c r="CG862" s="52"/>
      <c r="CH862" s="52"/>
    </row>
    <row r="863">
      <c r="K863" s="51"/>
      <c r="Y863" s="52"/>
      <c r="Z863" s="51"/>
      <c r="AA863" s="51"/>
      <c r="AK863" s="52"/>
      <c r="AL863" s="52"/>
      <c r="AM863" s="52"/>
      <c r="AN863" s="52"/>
      <c r="AO863" s="52"/>
      <c r="AP863" s="53"/>
      <c r="AQ863" s="53"/>
      <c r="AR863" s="54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4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  <c r="BW863" s="52"/>
      <c r="BX863" s="52"/>
      <c r="BY863" s="52"/>
      <c r="BZ863" s="52"/>
      <c r="CA863" s="52"/>
      <c r="CB863" s="52"/>
      <c r="CC863" s="52"/>
      <c r="CD863" s="52"/>
      <c r="CE863" s="52"/>
      <c r="CF863" s="52"/>
      <c r="CG863" s="52"/>
      <c r="CH863" s="52"/>
    </row>
    <row r="864">
      <c r="K864" s="51"/>
      <c r="Y864" s="52"/>
      <c r="Z864" s="51"/>
      <c r="AA864" s="51"/>
      <c r="AK864" s="52"/>
      <c r="AL864" s="52"/>
      <c r="AM864" s="52"/>
      <c r="AN864" s="52"/>
      <c r="AO864" s="52"/>
      <c r="AP864" s="53"/>
      <c r="AQ864" s="53"/>
      <c r="AR864" s="54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4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  <c r="BW864" s="52"/>
      <c r="BX864" s="52"/>
      <c r="BY864" s="52"/>
      <c r="BZ864" s="52"/>
      <c r="CA864" s="52"/>
      <c r="CB864" s="52"/>
      <c r="CC864" s="52"/>
      <c r="CD864" s="52"/>
      <c r="CE864" s="52"/>
      <c r="CF864" s="52"/>
      <c r="CG864" s="52"/>
      <c r="CH864" s="52"/>
    </row>
    <row r="865">
      <c r="K865" s="51"/>
      <c r="Y865" s="52"/>
      <c r="Z865" s="51"/>
      <c r="AA865" s="51"/>
      <c r="AK865" s="52"/>
      <c r="AL865" s="52"/>
      <c r="AM865" s="52"/>
      <c r="AN865" s="52"/>
      <c r="AO865" s="52"/>
      <c r="AP865" s="53"/>
      <c r="AQ865" s="53"/>
      <c r="AR865" s="54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4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  <c r="BX865" s="52"/>
      <c r="BY865" s="52"/>
      <c r="BZ865" s="52"/>
      <c r="CA865" s="52"/>
      <c r="CB865" s="52"/>
      <c r="CC865" s="52"/>
      <c r="CD865" s="52"/>
      <c r="CE865" s="52"/>
      <c r="CF865" s="52"/>
      <c r="CG865" s="52"/>
      <c r="CH865" s="52"/>
    </row>
    <row r="866">
      <c r="K866" s="51"/>
      <c r="Y866" s="52"/>
      <c r="Z866" s="51"/>
      <c r="AA866" s="51"/>
      <c r="AK866" s="52"/>
      <c r="AL866" s="52"/>
      <c r="AM866" s="52"/>
      <c r="AN866" s="52"/>
      <c r="AO866" s="52"/>
      <c r="AP866" s="53"/>
      <c r="AQ866" s="53"/>
      <c r="AR866" s="54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4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  <c r="BW866" s="52"/>
      <c r="BX866" s="52"/>
      <c r="BY866" s="52"/>
      <c r="BZ866" s="52"/>
      <c r="CA866" s="52"/>
      <c r="CB866" s="52"/>
      <c r="CC866" s="52"/>
      <c r="CD866" s="52"/>
      <c r="CE866" s="52"/>
      <c r="CF866" s="52"/>
      <c r="CG866" s="52"/>
      <c r="CH866" s="52"/>
    </row>
    <row r="867">
      <c r="K867" s="51"/>
      <c r="Y867" s="52"/>
      <c r="Z867" s="51"/>
      <c r="AA867" s="51"/>
      <c r="AK867" s="52"/>
      <c r="AL867" s="52"/>
      <c r="AM867" s="52"/>
      <c r="AN867" s="52"/>
      <c r="AO867" s="52"/>
      <c r="AP867" s="53"/>
      <c r="AQ867" s="53"/>
      <c r="AR867" s="54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4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  <c r="BW867" s="52"/>
      <c r="BX867" s="52"/>
      <c r="BY867" s="52"/>
      <c r="BZ867" s="52"/>
      <c r="CA867" s="52"/>
      <c r="CB867" s="52"/>
      <c r="CC867" s="52"/>
      <c r="CD867" s="52"/>
      <c r="CE867" s="52"/>
      <c r="CF867" s="52"/>
      <c r="CG867" s="52"/>
      <c r="CH867" s="52"/>
    </row>
    <row r="868">
      <c r="K868" s="51"/>
      <c r="Y868" s="52"/>
      <c r="Z868" s="51"/>
      <c r="AA868" s="51"/>
      <c r="AK868" s="52"/>
      <c r="AL868" s="52"/>
      <c r="AM868" s="52"/>
      <c r="AN868" s="52"/>
      <c r="AO868" s="52"/>
      <c r="AP868" s="53"/>
      <c r="AQ868" s="53"/>
      <c r="AR868" s="54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4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  <c r="BW868" s="52"/>
      <c r="BX868" s="52"/>
      <c r="BY868" s="52"/>
      <c r="BZ868" s="52"/>
      <c r="CA868" s="52"/>
      <c r="CB868" s="52"/>
      <c r="CC868" s="52"/>
      <c r="CD868" s="52"/>
      <c r="CE868" s="52"/>
      <c r="CF868" s="52"/>
      <c r="CG868" s="52"/>
      <c r="CH868" s="52"/>
    </row>
    <row r="869">
      <c r="K869" s="51"/>
      <c r="Y869" s="52"/>
      <c r="Z869" s="51"/>
      <c r="AA869" s="51"/>
      <c r="AK869" s="52"/>
      <c r="AL869" s="52"/>
      <c r="AM869" s="52"/>
      <c r="AN869" s="52"/>
      <c r="AO869" s="52"/>
      <c r="AP869" s="53"/>
      <c r="AQ869" s="53"/>
      <c r="AR869" s="54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4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  <c r="BW869" s="52"/>
      <c r="BX869" s="52"/>
      <c r="BY869" s="52"/>
      <c r="BZ869" s="52"/>
      <c r="CA869" s="52"/>
      <c r="CB869" s="52"/>
      <c r="CC869" s="52"/>
      <c r="CD869" s="52"/>
      <c r="CE869" s="52"/>
      <c r="CF869" s="52"/>
      <c r="CG869" s="52"/>
      <c r="CH869" s="52"/>
    </row>
    <row r="870">
      <c r="K870" s="51"/>
      <c r="Y870" s="52"/>
      <c r="Z870" s="51"/>
      <c r="AA870" s="51"/>
      <c r="AK870" s="52"/>
      <c r="AL870" s="52"/>
      <c r="AM870" s="52"/>
      <c r="AN870" s="52"/>
      <c r="AO870" s="52"/>
      <c r="AP870" s="53"/>
      <c r="AQ870" s="53"/>
      <c r="AR870" s="54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4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  <c r="BX870" s="52"/>
      <c r="BY870" s="52"/>
      <c r="BZ870" s="52"/>
      <c r="CA870" s="52"/>
      <c r="CB870" s="52"/>
      <c r="CC870" s="52"/>
      <c r="CD870" s="52"/>
      <c r="CE870" s="52"/>
      <c r="CF870" s="52"/>
      <c r="CG870" s="52"/>
      <c r="CH870" s="52"/>
    </row>
    <row r="871">
      <c r="K871" s="51"/>
      <c r="Y871" s="52"/>
      <c r="Z871" s="51"/>
      <c r="AA871" s="51"/>
      <c r="AK871" s="52"/>
      <c r="AL871" s="52"/>
      <c r="AM871" s="52"/>
      <c r="AN871" s="52"/>
      <c r="AO871" s="52"/>
      <c r="AP871" s="53"/>
      <c r="AQ871" s="53"/>
      <c r="AR871" s="54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4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  <c r="BW871" s="52"/>
      <c r="BX871" s="52"/>
      <c r="BY871" s="52"/>
      <c r="BZ871" s="52"/>
      <c r="CA871" s="52"/>
      <c r="CB871" s="52"/>
      <c r="CC871" s="52"/>
      <c r="CD871" s="52"/>
      <c r="CE871" s="52"/>
      <c r="CF871" s="52"/>
      <c r="CG871" s="52"/>
      <c r="CH871" s="52"/>
    </row>
    <row r="872">
      <c r="K872" s="51"/>
      <c r="Y872" s="52"/>
      <c r="Z872" s="51"/>
      <c r="AA872" s="51"/>
      <c r="AK872" s="52"/>
      <c r="AL872" s="52"/>
      <c r="AM872" s="52"/>
      <c r="AN872" s="52"/>
      <c r="AO872" s="52"/>
      <c r="AP872" s="53"/>
      <c r="AQ872" s="53"/>
      <c r="AR872" s="54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4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  <c r="BW872" s="52"/>
      <c r="BX872" s="52"/>
      <c r="BY872" s="52"/>
      <c r="BZ872" s="52"/>
      <c r="CA872" s="52"/>
      <c r="CB872" s="52"/>
      <c r="CC872" s="52"/>
      <c r="CD872" s="52"/>
      <c r="CE872" s="52"/>
      <c r="CF872" s="52"/>
      <c r="CG872" s="52"/>
      <c r="CH872" s="52"/>
    </row>
    <row r="873">
      <c r="K873" s="51"/>
      <c r="Y873" s="52"/>
      <c r="Z873" s="51"/>
      <c r="AA873" s="51"/>
      <c r="AK873" s="52"/>
      <c r="AL873" s="52"/>
      <c r="AM873" s="52"/>
      <c r="AN873" s="52"/>
      <c r="AO873" s="52"/>
      <c r="AP873" s="53"/>
      <c r="AQ873" s="53"/>
      <c r="AR873" s="54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4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  <c r="BW873" s="52"/>
      <c r="BX873" s="52"/>
      <c r="BY873" s="52"/>
      <c r="BZ873" s="52"/>
      <c r="CA873" s="52"/>
      <c r="CB873" s="52"/>
      <c r="CC873" s="52"/>
      <c r="CD873" s="52"/>
      <c r="CE873" s="52"/>
      <c r="CF873" s="52"/>
      <c r="CG873" s="52"/>
      <c r="CH873" s="52"/>
    </row>
    <row r="874">
      <c r="K874" s="51"/>
      <c r="Y874" s="52"/>
      <c r="Z874" s="51"/>
      <c r="AA874" s="51"/>
      <c r="AK874" s="52"/>
      <c r="AL874" s="52"/>
      <c r="AM874" s="52"/>
      <c r="AN874" s="52"/>
      <c r="AO874" s="52"/>
      <c r="AP874" s="53"/>
      <c r="AQ874" s="53"/>
      <c r="AR874" s="54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4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  <c r="BW874" s="52"/>
      <c r="BX874" s="52"/>
      <c r="BY874" s="52"/>
      <c r="BZ874" s="52"/>
      <c r="CA874" s="52"/>
      <c r="CB874" s="52"/>
      <c r="CC874" s="52"/>
      <c r="CD874" s="52"/>
      <c r="CE874" s="52"/>
      <c r="CF874" s="52"/>
      <c r="CG874" s="52"/>
      <c r="CH874" s="52"/>
    </row>
    <row r="875">
      <c r="K875" s="51"/>
      <c r="Y875" s="52"/>
      <c r="Z875" s="51"/>
      <c r="AA875" s="51"/>
      <c r="AK875" s="52"/>
      <c r="AL875" s="52"/>
      <c r="AM875" s="52"/>
      <c r="AN875" s="52"/>
      <c r="AO875" s="52"/>
      <c r="AP875" s="53"/>
      <c r="AQ875" s="53"/>
      <c r="AR875" s="54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4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  <c r="BW875" s="52"/>
      <c r="BX875" s="52"/>
      <c r="BY875" s="52"/>
      <c r="BZ875" s="52"/>
      <c r="CA875" s="52"/>
      <c r="CB875" s="52"/>
      <c r="CC875" s="52"/>
      <c r="CD875" s="52"/>
      <c r="CE875" s="52"/>
      <c r="CF875" s="52"/>
      <c r="CG875" s="52"/>
      <c r="CH875" s="52"/>
    </row>
    <row r="876">
      <c r="K876" s="51"/>
      <c r="Y876" s="52"/>
      <c r="Z876" s="51"/>
      <c r="AA876" s="51"/>
      <c r="AK876" s="52"/>
      <c r="AL876" s="52"/>
      <c r="AM876" s="52"/>
      <c r="AN876" s="52"/>
      <c r="AO876" s="52"/>
      <c r="AP876" s="53"/>
      <c r="AQ876" s="53"/>
      <c r="AR876" s="54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4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  <c r="BW876" s="52"/>
      <c r="BX876" s="52"/>
      <c r="BY876" s="52"/>
      <c r="BZ876" s="52"/>
      <c r="CA876" s="52"/>
      <c r="CB876" s="52"/>
      <c r="CC876" s="52"/>
      <c r="CD876" s="52"/>
      <c r="CE876" s="52"/>
      <c r="CF876" s="52"/>
      <c r="CG876" s="52"/>
      <c r="CH876" s="52"/>
    </row>
    <row r="877">
      <c r="K877" s="51"/>
      <c r="Y877" s="52"/>
      <c r="Z877" s="51"/>
      <c r="AA877" s="51"/>
      <c r="AK877" s="52"/>
      <c r="AL877" s="52"/>
      <c r="AM877" s="52"/>
      <c r="AN877" s="52"/>
      <c r="AO877" s="52"/>
      <c r="AP877" s="53"/>
      <c r="AQ877" s="53"/>
      <c r="AR877" s="54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4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  <c r="BX877" s="52"/>
      <c r="BY877" s="52"/>
      <c r="BZ877" s="52"/>
      <c r="CA877" s="52"/>
      <c r="CB877" s="52"/>
      <c r="CC877" s="52"/>
      <c r="CD877" s="52"/>
      <c r="CE877" s="52"/>
      <c r="CF877" s="52"/>
      <c r="CG877" s="52"/>
      <c r="CH877" s="52"/>
    </row>
    <row r="878">
      <c r="K878" s="51"/>
      <c r="Y878" s="52"/>
      <c r="Z878" s="51"/>
      <c r="AA878" s="51"/>
      <c r="AK878" s="52"/>
      <c r="AL878" s="52"/>
      <c r="AM878" s="52"/>
      <c r="AN878" s="52"/>
      <c r="AO878" s="52"/>
      <c r="AP878" s="53"/>
      <c r="AQ878" s="53"/>
      <c r="AR878" s="54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4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  <c r="BW878" s="52"/>
      <c r="BX878" s="52"/>
      <c r="BY878" s="52"/>
      <c r="BZ878" s="52"/>
      <c r="CA878" s="52"/>
      <c r="CB878" s="52"/>
      <c r="CC878" s="52"/>
      <c r="CD878" s="52"/>
      <c r="CE878" s="52"/>
      <c r="CF878" s="52"/>
      <c r="CG878" s="52"/>
      <c r="CH878" s="52"/>
    </row>
    <row r="879">
      <c r="K879" s="51"/>
      <c r="Y879" s="52"/>
      <c r="Z879" s="51"/>
      <c r="AA879" s="51"/>
      <c r="AK879" s="52"/>
      <c r="AL879" s="52"/>
      <c r="AM879" s="52"/>
      <c r="AN879" s="52"/>
      <c r="AO879" s="52"/>
      <c r="AP879" s="53"/>
      <c r="AQ879" s="53"/>
      <c r="AR879" s="54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4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  <c r="BW879" s="52"/>
      <c r="BX879" s="52"/>
      <c r="BY879" s="52"/>
      <c r="BZ879" s="52"/>
      <c r="CA879" s="52"/>
      <c r="CB879" s="52"/>
      <c r="CC879" s="52"/>
      <c r="CD879" s="52"/>
      <c r="CE879" s="52"/>
      <c r="CF879" s="52"/>
      <c r="CG879" s="52"/>
      <c r="CH879" s="52"/>
    </row>
    <row r="880">
      <c r="K880" s="51"/>
      <c r="Y880" s="52"/>
      <c r="Z880" s="51"/>
      <c r="AA880" s="51"/>
      <c r="AK880" s="52"/>
      <c r="AL880" s="52"/>
      <c r="AM880" s="52"/>
      <c r="AN880" s="52"/>
      <c r="AO880" s="52"/>
      <c r="AP880" s="53"/>
      <c r="AQ880" s="53"/>
      <c r="AR880" s="54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4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  <c r="BW880" s="52"/>
      <c r="BX880" s="52"/>
      <c r="BY880" s="52"/>
      <c r="BZ880" s="52"/>
      <c r="CA880" s="52"/>
      <c r="CB880" s="52"/>
      <c r="CC880" s="52"/>
      <c r="CD880" s="52"/>
      <c r="CE880" s="52"/>
      <c r="CF880" s="52"/>
      <c r="CG880" s="52"/>
      <c r="CH880" s="52"/>
    </row>
    <row r="881">
      <c r="K881" s="51"/>
      <c r="Y881" s="52"/>
      <c r="Z881" s="51"/>
      <c r="AA881" s="51"/>
      <c r="AK881" s="52"/>
      <c r="AL881" s="52"/>
      <c r="AM881" s="52"/>
      <c r="AN881" s="52"/>
      <c r="AO881" s="52"/>
      <c r="AP881" s="53"/>
      <c r="AQ881" s="53"/>
      <c r="AR881" s="54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4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  <c r="BW881" s="52"/>
      <c r="BX881" s="52"/>
      <c r="BY881" s="52"/>
      <c r="BZ881" s="52"/>
      <c r="CA881" s="52"/>
      <c r="CB881" s="52"/>
      <c r="CC881" s="52"/>
      <c r="CD881" s="52"/>
      <c r="CE881" s="52"/>
      <c r="CF881" s="52"/>
      <c r="CG881" s="52"/>
      <c r="CH881" s="52"/>
    </row>
    <row r="882">
      <c r="K882" s="51"/>
      <c r="Y882" s="52"/>
      <c r="Z882" s="51"/>
      <c r="AA882" s="51"/>
      <c r="AK882" s="52"/>
      <c r="AL882" s="52"/>
      <c r="AM882" s="52"/>
      <c r="AN882" s="52"/>
      <c r="AO882" s="52"/>
      <c r="AP882" s="53"/>
      <c r="AQ882" s="53"/>
      <c r="AR882" s="54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4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  <c r="BW882" s="52"/>
      <c r="BX882" s="52"/>
      <c r="BY882" s="52"/>
      <c r="BZ882" s="52"/>
      <c r="CA882" s="52"/>
      <c r="CB882" s="52"/>
      <c r="CC882" s="52"/>
      <c r="CD882" s="52"/>
      <c r="CE882" s="52"/>
      <c r="CF882" s="52"/>
      <c r="CG882" s="52"/>
      <c r="CH882" s="52"/>
    </row>
    <row r="883">
      <c r="K883" s="51"/>
      <c r="Y883" s="52"/>
      <c r="Z883" s="51"/>
      <c r="AA883" s="51"/>
      <c r="AK883" s="52"/>
      <c r="AL883" s="52"/>
      <c r="AM883" s="52"/>
      <c r="AN883" s="52"/>
      <c r="AO883" s="52"/>
      <c r="AP883" s="53"/>
      <c r="AQ883" s="53"/>
      <c r="AR883" s="54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4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  <c r="BW883" s="52"/>
      <c r="BX883" s="52"/>
      <c r="BY883" s="52"/>
      <c r="BZ883" s="52"/>
      <c r="CA883" s="52"/>
      <c r="CB883" s="52"/>
      <c r="CC883" s="52"/>
      <c r="CD883" s="52"/>
      <c r="CE883" s="52"/>
      <c r="CF883" s="52"/>
      <c r="CG883" s="52"/>
      <c r="CH883" s="52"/>
    </row>
    <row r="884">
      <c r="K884" s="51"/>
      <c r="Y884" s="52"/>
      <c r="Z884" s="51"/>
      <c r="AA884" s="51"/>
      <c r="AK884" s="52"/>
      <c r="AL884" s="52"/>
      <c r="AM884" s="52"/>
      <c r="AN884" s="52"/>
      <c r="AO884" s="52"/>
      <c r="AP884" s="53"/>
      <c r="AQ884" s="53"/>
      <c r="AR884" s="54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4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  <c r="BW884" s="52"/>
      <c r="BX884" s="52"/>
      <c r="BY884" s="52"/>
      <c r="BZ884" s="52"/>
      <c r="CA884" s="52"/>
      <c r="CB884" s="52"/>
      <c r="CC884" s="52"/>
      <c r="CD884" s="52"/>
      <c r="CE884" s="52"/>
      <c r="CF884" s="52"/>
      <c r="CG884" s="52"/>
      <c r="CH884" s="52"/>
    </row>
    <row r="885">
      <c r="K885" s="51"/>
      <c r="Y885" s="52"/>
      <c r="Z885" s="51"/>
      <c r="AA885" s="51"/>
      <c r="AK885" s="52"/>
      <c r="AL885" s="52"/>
      <c r="AM885" s="52"/>
      <c r="AN885" s="52"/>
      <c r="AO885" s="52"/>
      <c r="AP885" s="53"/>
      <c r="AQ885" s="53"/>
      <c r="AR885" s="54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4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  <c r="BW885" s="52"/>
      <c r="BX885" s="52"/>
      <c r="BY885" s="52"/>
      <c r="BZ885" s="52"/>
      <c r="CA885" s="52"/>
      <c r="CB885" s="52"/>
      <c r="CC885" s="52"/>
      <c r="CD885" s="52"/>
      <c r="CE885" s="52"/>
      <c r="CF885" s="52"/>
      <c r="CG885" s="52"/>
      <c r="CH885" s="52"/>
    </row>
    <row r="886">
      <c r="K886" s="51"/>
      <c r="Y886" s="52"/>
      <c r="Z886" s="51"/>
      <c r="AA886" s="51"/>
      <c r="AK886" s="52"/>
      <c r="AL886" s="52"/>
      <c r="AM886" s="52"/>
      <c r="AN886" s="52"/>
      <c r="AO886" s="52"/>
      <c r="AP886" s="53"/>
      <c r="AQ886" s="53"/>
      <c r="AR886" s="54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4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</row>
    <row r="887">
      <c r="K887" s="51"/>
      <c r="Y887" s="52"/>
      <c r="Z887" s="51"/>
      <c r="AA887" s="51"/>
      <c r="AK887" s="52"/>
      <c r="AL887" s="52"/>
      <c r="AM887" s="52"/>
      <c r="AN887" s="52"/>
      <c r="AO887" s="52"/>
      <c r="AP887" s="53"/>
      <c r="AQ887" s="53"/>
      <c r="AR887" s="54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4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</row>
    <row r="888">
      <c r="K888" s="51"/>
      <c r="Y888" s="52"/>
      <c r="Z888" s="51"/>
      <c r="AA888" s="51"/>
      <c r="AK888" s="52"/>
      <c r="AL888" s="52"/>
      <c r="AM888" s="52"/>
      <c r="AN888" s="52"/>
      <c r="AO888" s="52"/>
      <c r="AP888" s="53"/>
      <c r="AQ888" s="53"/>
      <c r="AR888" s="54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4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  <c r="BW888" s="52"/>
      <c r="BX888" s="52"/>
      <c r="BY888" s="52"/>
      <c r="BZ888" s="52"/>
      <c r="CA888" s="52"/>
      <c r="CB888" s="52"/>
      <c r="CC888" s="52"/>
      <c r="CD888" s="52"/>
      <c r="CE888" s="52"/>
      <c r="CF888" s="52"/>
      <c r="CG888" s="52"/>
      <c r="CH888" s="52"/>
    </row>
    <row r="889">
      <c r="K889" s="51"/>
      <c r="Y889" s="52"/>
      <c r="Z889" s="51"/>
      <c r="AA889" s="51"/>
      <c r="AK889" s="52"/>
      <c r="AL889" s="52"/>
      <c r="AM889" s="52"/>
      <c r="AN889" s="52"/>
      <c r="AO889" s="52"/>
      <c r="AP889" s="53"/>
      <c r="AQ889" s="53"/>
      <c r="AR889" s="54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4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</row>
    <row r="890">
      <c r="K890" s="51"/>
      <c r="Y890" s="52"/>
      <c r="Z890" s="51"/>
      <c r="AA890" s="51"/>
      <c r="AK890" s="52"/>
      <c r="AL890" s="52"/>
      <c r="AM890" s="52"/>
      <c r="AN890" s="52"/>
      <c r="AO890" s="52"/>
      <c r="AP890" s="53"/>
      <c r="AQ890" s="53"/>
      <c r="AR890" s="54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4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</row>
    <row r="891">
      <c r="K891" s="51"/>
      <c r="Y891" s="52"/>
      <c r="Z891" s="51"/>
      <c r="AA891" s="51"/>
      <c r="AK891" s="52"/>
      <c r="AL891" s="52"/>
      <c r="AM891" s="52"/>
      <c r="AN891" s="52"/>
      <c r="AO891" s="52"/>
      <c r="AP891" s="53"/>
      <c r="AQ891" s="53"/>
      <c r="AR891" s="54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4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</row>
    <row r="892">
      <c r="K892" s="51"/>
      <c r="Y892" s="52"/>
      <c r="Z892" s="51"/>
      <c r="AA892" s="51"/>
      <c r="AK892" s="52"/>
      <c r="AL892" s="52"/>
      <c r="AM892" s="52"/>
      <c r="AN892" s="52"/>
      <c r="AO892" s="52"/>
      <c r="AP892" s="53"/>
      <c r="AQ892" s="53"/>
      <c r="AR892" s="54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4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</row>
    <row r="893">
      <c r="K893" s="51"/>
      <c r="Y893" s="52"/>
      <c r="Z893" s="51"/>
      <c r="AA893" s="51"/>
      <c r="AK893" s="52"/>
      <c r="AL893" s="52"/>
      <c r="AM893" s="52"/>
      <c r="AN893" s="52"/>
      <c r="AO893" s="52"/>
      <c r="AP893" s="53"/>
      <c r="AQ893" s="53"/>
      <c r="AR893" s="54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4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</row>
    <row r="894">
      <c r="K894" s="51"/>
      <c r="Y894" s="52"/>
      <c r="Z894" s="51"/>
      <c r="AA894" s="51"/>
      <c r="AK894" s="52"/>
      <c r="AL894" s="52"/>
      <c r="AM894" s="52"/>
      <c r="AN894" s="52"/>
      <c r="AO894" s="52"/>
      <c r="AP894" s="53"/>
      <c r="AQ894" s="53"/>
      <c r="AR894" s="54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4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</row>
    <row r="895">
      <c r="K895" s="51"/>
      <c r="Y895" s="52"/>
      <c r="Z895" s="51"/>
      <c r="AA895" s="51"/>
      <c r="AK895" s="52"/>
      <c r="AL895" s="52"/>
      <c r="AM895" s="52"/>
      <c r="AN895" s="52"/>
      <c r="AO895" s="52"/>
      <c r="AP895" s="53"/>
      <c r="AQ895" s="53"/>
      <c r="AR895" s="54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4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</row>
    <row r="896">
      <c r="K896" s="51"/>
      <c r="Y896" s="52"/>
      <c r="Z896" s="51"/>
      <c r="AA896" s="51"/>
      <c r="AK896" s="52"/>
      <c r="AL896" s="52"/>
      <c r="AM896" s="52"/>
      <c r="AN896" s="52"/>
      <c r="AO896" s="52"/>
      <c r="AP896" s="53"/>
      <c r="AQ896" s="53"/>
      <c r="AR896" s="54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4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</row>
    <row r="897">
      <c r="K897" s="51"/>
      <c r="Y897" s="52"/>
      <c r="Z897" s="51"/>
      <c r="AA897" s="51"/>
      <c r="AK897" s="52"/>
      <c r="AL897" s="52"/>
      <c r="AM897" s="52"/>
      <c r="AN897" s="52"/>
      <c r="AO897" s="52"/>
      <c r="AP897" s="53"/>
      <c r="AQ897" s="53"/>
      <c r="AR897" s="54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4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</row>
    <row r="898">
      <c r="K898" s="51"/>
      <c r="Y898" s="52"/>
      <c r="Z898" s="51"/>
      <c r="AA898" s="51"/>
      <c r="AK898" s="52"/>
      <c r="AL898" s="52"/>
      <c r="AM898" s="52"/>
      <c r="AN898" s="52"/>
      <c r="AO898" s="52"/>
      <c r="AP898" s="53"/>
      <c r="AQ898" s="53"/>
      <c r="AR898" s="54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4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</row>
    <row r="899">
      <c r="K899" s="51"/>
      <c r="Y899" s="52"/>
      <c r="Z899" s="51"/>
      <c r="AA899" s="51"/>
      <c r="AK899" s="52"/>
      <c r="AL899" s="52"/>
      <c r="AM899" s="52"/>
      <c r="AN899" s="52"/>
      <c r="AO899" s="52"/>
      <c r="AP899" s="53"/>
      <c r="AQ899" s="53"/>
      <c r="AR899" s="54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4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</row>
    <row r="900">
      <c r="K900" s="51"/>
      <c r="Y900" s="52"/>
      <c r="Z900" s="51"/>
      <c r="AA900" s="51"/>
      <c r="AK900" s="52"/>
      <c r="AL900" s="52"/>
      <c r="AM900" s="52"/>
      <c r="AN900" s="52"/>
      <c r="AO900" s="52"/>
      <c r="AP900" s="53"/>
      <c r="AQ900" s="53"/>
      <c r="AR900" s="54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4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  <c r="BW900" s="52"/>
      <c r="BX900" s="52"/>
      <c r="BY900" s="52"/>
      <c r="BZ900" s="52"/>
      <c r="CA900" s="52"/>
      <c r="CB900" s="52"/>
      <c r="CC900" s="52"/>
      <c r="CD900" s="52"/>
      <c r="CE900" s="52"/>
      <c r="CF900" s="52"/>
      <c r="CG900" s="52"/>
      <c r="CH900" s="52"/>
    </row>
    <row r="901">
      <c r="K901" s="51"/>
      <c r="Y901" s="52"/>
      <c r="Z901" s="51"/>
      <c r="AA901" s="51"/>
      <c r="AK901" s="52"/>
      <c r="AL901" s="52"/>
      <c r="AM901" s="52"/>
      <c r="AN901" s="52"/>
      <c r="AO901" s="52"/>
      <c r="AP901" s="53"/>
      <c r="AQ901" s="53"/>
      <c r="AR901" s="54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4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  <c r="BW901" s="52"/>
      <c r="BX901" s="52"/>
      <c r="BY901" s="52"/>
      <c r="BZ901" s="52"/>
      <c r="CA901" s="52"/>
      <c r="CB901" s="52"/>
      <c r="CC901" s="52"/>
      <c r="CD901" s="52"/>
      <c r="CE901" s="52"/>
      <c r="CF901" s="52"/>
      <c r="CG901" s="52"/>
      <c r="CH901" s="52"/>
    </row>
    <row r="902">
      <c r="K902" s="51"/>
      <c r="Y902" s="52"/>
      <c r="Z902" s="51"/>
      <c r="AA902" s="51"/>
      <c r="AK902" s="52"/>
      <c r="AL902" s="52"/>
      <c r="AM902" s="52"/>
      <c r="AN902" s="52"/>
      <c r="AO902" s="52"/>
      <c r="AP902" s="53"/>
      <c r="AQ902" s="53"/>
      <c r="AR902" s="54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4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</row>
    <row r="903">
      <c r="K903" s="51"/>
      <c r="Y903" s="52"/>
      <c r="Z903" s="51"/>
      <c r="AA903" s="51"/>
      <c r="AK903" s="52"/>
      <c r="AL903" s="52"/>
      <c r="AM903" s="52"/>
      <c r="AN903" s="52"/>
      <c r="AO903" s="52"/>
      <c r="AP903" s="53"/>
      <c r="AQ903" s="53"/>
      <c r="AR903" s="54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4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  <c r="BW903" s="52"/>
      <c r="BX903" s="52"/>
      <c r="BY903" s="52"/>
      <c r="BZ903" s="52"/>
      <c r="CA903" s="52"/>
      <c r="CB903" s="52"/>
      <c r="CC903" s="52"/>
      <c r="CD903" s="52"/>
      <c r="CE903" s="52"/>
      <c r="CF903" s="52"/>
      <c r="CG903" s="52"/>
      <c r="CH903" s="52"/>
    </row>
    <row r="904">
      <c r="K904" s="51"/>
      <c r="Y904" s="52"/>
      <c r="Z904" s="51"/>
      <c r="AA904" s="51"/>
      <c r="AK904" s="52"/>
      <c r="AL904" s="52"/>
      <c r="AM904" s="52"/>
      <c r="AN904" s="52"/>
      <c r="AO904" s="52"/>
      <c r="AP904" s="53"/>
      <c r="AQ904" s="53"/>
      <c r="AR904" s="54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4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  <c r="BW904" s="52"/>
      <c r="BX904" s="52"/>
      <c r="BY904" s="52"/>
      <c r="BZ904" s="52"/>
      <c r="CA904" s="52"/>
      <c r="CB904" s="52"/>
      <c r="CC904" s="52"/>
      <c r="CD904" s="52"/>
      <c r="CE904" s="52"/>
      <c r="CF904" s="52"/>
      <c r="CG904" s="52"/>
      <c r="CH904" s="52"/>
    </row>
    <row r="905">
      <c r="K905" s="51"/>
      <c r="Y905" s="52"/>
      <c r="Z905" s="51"/>
      <c r="AA905" s="51"/>
      <c r="AK905" s="52"/>
      <c r="AL905" s="52"/>
      <c r="AM905" s="52"/>
      <c r="AN905" s="52"/>
      <c r="AO905" s="52"/>
      <c r="AP905" s="53"/>
      <c r="AQ905" s="53"/>
      <c r="AR905" s="54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4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</row>
    <row r="906">
      <c r="K906" s="51"/>
      <c r="Y906" s="52"/>
      <c r="Z906" s="51"/>
      <c r="AA906" s="51"/>
      <c r="AK906" s="52"/>
      <c r="AL906" s="52"/>
      <c r="AM906" s="52"/>
      <c r="AN906" s="52"/>
      <c r="AO906" s="52"/>
      <c r="AP906" s="53"/>
      <c r="AQ906" s="53"/>
      <c r="AR906" s="54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4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  <c r="BW906" s="52"/>
      <c r="BX906" s="52"/>
      <c r="BY906" s="52"/>
      <c r="BZ906" s="52"/>
      <c r="CA906" s="52"/>
      <c r="CB906" s="52"/>
      <c r="CC906" s="52"/>
      <c r="CD906" s="52"/>
      <c r="CE906" s="52"/>
      <c r="CF906" s="52"/>
      <c r="CG906" s="52"/>
      <c r="CH906" s="52"/>
    </row>
    <row r="907">
      <c r="K907" s="51"/>
      <c r="Y907" s="52"/>
      <c r="Z907" s="51"/>
      <c r="AA907" s="51"/>
      <c r="AK907" s="52"/>
      <c r="AL907" s="52"/>
      <c r="AM907" s="52"/>
      <c r="AN907" s="52"/>
      <c r="AO907" s="52"/>
      <c r="AP907" s="53"/>
      <c r="AQ907" s="53"/>
      <c r="AR907" s="54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4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  <c r="BW907" s="52"/>
      <c r="BX907" s="52"/>
      <c r="BY907" s="52"/>
      <c r="BZ907" s="52"/>
      <c r="CA907" s="52"/>
      <c r="CB907" s="52"/>
      <c r="CC907" s="52"/>
      <c r="CD907" s="52"/>
      <c r="CE907" s="52"/>
      <c r="CF907" s="52"/>
      <c r="CG907" s="52"/>
      <c r="CH907" s="52"/>
    </row>
    <row r="908">
      <c r="K908" s="51"/>
      <c r="Y908" s="52"/>
      <c r="Z908" s="51"/>
      <c r="AA908" s="51"/>
      <c r="AK908" s="52"/>
      <c r="AL908" s="52"/>
      <c r="AM908" s="52"/>
      <c r="AN908" s="52"/>
      <c r="AO908" s="52"/>
      <c r="AP908" s="53"/>
      <c r="AQ908" s="53"/>
      <c r="AR908" s="54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4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  <c r="BW908" s="52"/>
      <c r="BX908" s="52"/>
      <c r="BY908" s="52"/>
      <c r="BZ908" s="52"/>
      <c r="CA908" s="52"/>
      <c r="CB908" s="52"/>
      <c r="CC908" s="52"/>
      <c r="CD908" s="52"/>
      <c r="CE908" s="52"/>
      <c r="CF908" s="52"/>
      <c r="CG908" s="52"/>
      <c r="CH908" s="52"/>
    </row>
    <row r="909">
      <c r="K909" s="51"/>
      <c r="Y909" s="52"/>
      <c r="Z909" s="51"/>
      <c r="AA909" s="51"/>
      <c r="AK909" s="52"/>
      <c r="AL909" s="52"/>
      <c r="AM909" s="52"/>
      <c r="AN909" s="52"/>
      <c r="AO909" s="52"/>
      <c r="AP909" s="53"/>
      <c r="AQ909" s="53"/>
      <c r="AR909" s="54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4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  <c r="BW909" s="52"/>
      <c r="BX909" s="52"/>
      <c r="BY909" s="52"/>
      <c r="BZ909" s="52"/>
      <c r="CA909" s="52"/>
      <c r="CB909" s="52"/>
      <c r="CC909" s="52"/>
      <c r="CD909" s="52"/>
      <c r="CE909" s="52"/>
      <c r="CF909" s="52"/>
      <c r="CG909" s="52"/>
      <c r="CH909" s="52"/>
    </row>
    <row r="910">
      <c r="K910" s="51"/>
      <c r="Y910" s="52"/>
      <c r="Z910" s="51"/>
      <c r="AA910" s="51"/>
      <c r="AK910" s="52"/>
      <c r="AL910" s="52"/>
      <c r="AM910" s="52"/>
      <c r="AN910" s="52"/>
      <c r="AO910" s="52"/>
      <c r="AP910" s="53"/>
      <c r="AQ910" s="53"/>
      <c r="AR910" s="54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4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  <c r="BW910" s="52"/>
      <c r="BX910" s="52"/>
      <c r="BY910" s="52"/>
      <c r="BZ910" s="52"/>
      <c r="CA910" s="52"/>
      <c r="CB910" s="52"/>
      <c r="CC910" s="52"/>
      <c r="CD910" s="52"/>
      <c r="CE910" s="52"/>
      <c r="CF910" s="52"/>
      <c r="CG910" s="52"/>
      <c r="CH910" s="52"/>
    </row>
    <row r="911">
      <c r="K911" s="51"/>
      <c r="Y911" s="52"/>
      <c r="Z911" s="51"/>
      <c r="AA911" s="51"/>
      <c r="AK911" s="52"/>
      <c r="AL911" s="52"/>
      <c r="AM911" s="52"/>
      <c r="AN911" s="52"/>
      <c r="AO911" s="52"/>
      <c r="AP911" s="53"/>
      <c r="AQ911" s="53"/>
      <c r="AR911" s="54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4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</row>
    <row r="912">
      <c r="K912" s="51"/>
      <c r="Y912" s="52"/>
      <c r="Z912" s="51"/>
      <c r="AA912" s="51"/>
      <c r="AK912" s="52"/>
      <c r="AL912" s="52"/>
      <c r="AM912" s="52"/>
      <c r="AN912" s="52"/>
      <c r="AO912" s="52"/>
      <c r="AP912" s="53"/>
      <c r="AQ912" s="53"/>
      <c r="AR912" s="54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4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  <c r="BW912" s="52"/>
      <c r="BX912" s="52"/>
      <c r="BY912" s="52"/>
      <c r="BZ912" s="52"/>
      <c r="CA912" s="52"/>
      <c r="CB912" s="52"/>
      <c r="CC912" s="52"/>
      <c r="CD912" s="52"/>
      <c r="CE912" s="52"/>
      <c r="CF912" s="52"/>
      <c r="CG912" s="52"/>
      <c r="CH912" s="52"/>
    </row>
    <row r="913">
      <c r="K913" s="51"/>
      <c r="Y913" s="52"/>
      <c r="Z913" s="51"/>
      <c r="AA913" s="51"/>
      <c r="AK913" s="52"/>
      <c r="AL913" s="52"/>
      <c r="AM913" s="52"/>
      <c r="AN913" s="52"/>
      <c r="AO913" s="52"/>
      <c r="AP913" s="53"/>
      <c r="AQ913" s="53"/>
      <c r="AR913" s="54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4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  <c r="BW913" s="52"/>
      <c r="BX913" s="52"/>
      <c r="BY913" s="52"/>
      <c r="BZ913" s="52"/>
      <c r="CA913" s="52"/>
      <c r="CB913" s="52"/>
      <c r="CC913" s="52"/>
      <c r="CD913" s="52"/>
      <c r="CE913" s="52"/>
      <c r="CF913" s="52"/>
      <c r="CG913" s="52"/>
      <c r="CH913" s="52"/>
    </row>
    <row r="914">
      <c r="K914" s="51"/>
      <c r="Y914" s="52"/>
      <c r="Z914" s="51"/>
      <c r="AA914" s="51"/>
      <c r="AK914" s="52"/>
      <c r="AL914" s="52"/>
      <c r="AM914" s="52"/>
      <c r="AN914" s="52"/>
      <c r="AO914" s="52"/>
      <c r="AP914" s="53"/>
      <c r="AQ914" s="53"/>
      <c r="AR914" s="54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4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</row>
    <row r="915">
      <c r="K915" s="51"/>
      <c r="Y915" s="52"/>
      <c r="Z915" s="51"/>
      <c r="AA915" s="51"/>
      <c r="AK915" s="52"/>
      <c r="AL915" s="52"/>
      <c r="AM915" s="52"/>
      <c r="AN915" s="52"/>
      <c r="AO915" s="52"/>
      <c r="AP915" s="53"/>
      <c r="AQ915" s="53"/>
      <c r="AR915" s="54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4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  <c r="BW915" s="52"/>
      <c r="BX915" s="52"/>
      <c r="BY915" s="52"/>
      <c r="BZ915" s="52"/>
      <c r="CA915" s="52"/>
      <c r="CB915" s="52"/>
      <c r="CC915" s="52"/>
      <c r="CD915" s="52"/>
      <c r="CE915" s="52"/>
      <c r="CF915" s="52"/>
      <c r="CG915" s="52"/>
      <c r="CH915" s="52"/>
    </row>
    <row r="916">
      <c r="K916" s="51"/>
      <c r="Y916" s="52"/>
      <c r="Z916" s="51"/>
      <c r="AA916" s="51"/>
      <c r="AK916" s="52"/>
      <c r="AL916" s="52"/>
      <c r="AM916" s="52"/>
      <c r="AN916" s="52"/>
      <c r="AO916" s="52"/>
      <c r="AP916" s="53"/>
      <c r="AQ916" s="53"/>
      <c r="AR916" s="54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4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  <c r="BW916" s="52"/>
      <c r="BX916" s="52"/>
      <c r="BY916" s="52"/>
      <c r="BZ916" s="52"/>
      <c r="CA916" s="52"/>
      <c r="CB916" s="52"/>
      <c r="CC916" s="52"/>
      <c r="CD916" s="52"/>
      <c r="CE916" s="52"/>
      <c r="CF916" s="52"/>
      <c r="CG916" s="52"/>
      <c r="CH916" s="52"/>
    </row>
    <row r="917">
      <c r="K917" s="51"/>
      <c r="Y917" s="52"/>
      <c r="Z917" s="51"/>
      <c r="AA917" s="51"/>
      <c r="AK917" s="52"/>
      <c r="AL917" s="52"/>
      <c r="AM917" s="52"/>
      <c r="AN917" s="52"/>
      <c r="AO917" s="52"/>
      <c r="AP917" s="53"/>
      <c r="AQ917" s="53"/>
      <c r="AR917" s="54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4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</row>
    <row r="918">
      <c r="K918" s="51"/>
      <c r="Y918" s="52"/>
      <c r="Z918" s="51"/>
      <c r="AA918" s="51"/>
      <c r="AK918" s="52"/>
      <c r="AL918" s="52"/>
      <c r="AM918" s="52"/>
      <c r="AN918" s="52"/>
      <c r="AO918" s="52"/>
      <c r="AP918" s="53"/>
      <c r="AQ918" s="53"/>
      <c r="AR918" s="54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4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  <c r="BW918" s="52"/>
      <c r="BX918" s="52"/>
      <c r="BY918" s="52"/>
      <c r="BZ918" s="52"/>
      <c r="CA918" s="52"/>
      <c r="CB918" s="52"/>
      <c r="CC918" s="52"/>
      <c r="CD918" s="52"/>
      <c r="CE918" s="52"/>
      <c r="CF918" s="52"/>
      <c r="CG918" s="52"/>
      <c r="CH918" s="52"/>
    </row>
    <row r="919">
      <c r="K919" s="51"/>
      <c r="Y919" s="52"/>
      <c r="Z919" s="51"/>
      <c r="AA919" s="51"/>
      <c r="AK919" s="52"/>
      <c r="AL919" s="52"/>
      <c r="AM919" s="52"/>
      <c r="AN919" s="52"/>
      <c r="AO919" s="52"/>
      <c r="AP919" s="53"/>
      <c r="AQ919" s="53"/>
      <c r="AR919" s="54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4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  <c r="BW919" s="52"/>
      <c r="BX919" s="52"/>
      <c r="BY919" s="52"/>
      <c r="BZ919" s="52"/>
      <c r="CA919" s="52"/>
      <c r="CB919" s="52"/>
      <c r="CC919" s="52"/>
      <c r="CD919" s="52"/>
      <c r="CE919" s="52"/>
      <c r="CF919" s="52"/>
      <c r="CG919" s="52"/>
      <c r="CH919" s="52"/>
    </row>
    <row r="920">
      <c r="K920" s="51"/>
      <c r="Y920" s="52"/>
      <c r="Z920" s="51"/>
      <c r="AA920" s="51"/>
      <c r="AK920" s="52"/>
      <c r="AL920" s="52"/>
      <c r="AM920" s="52"/>
      <c r="AN920" s="52"/>
      <c r="AO920" s="52"/>
      <c r="AP920" s="53"/>
      <c r="AQ920" s="53"/>
      <c r="AR920" s="54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4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</row>
    <row r="921">
      <c r="K921" s="51"/>
      <c r="Y921" s="52"/>
      <c r="Z921" s="51"/>
      <c r="AA921" s="51"/>
      <c r="AK921" s="52"/>
      <c r="AL921" s="52"/>
      <c r="AM921" s="52"/>
      <c r="AN921" s="52"/>
      <c r="AO921" s="52"/>
      <c r="AP921" s="53"/>
      <c r="AQ921" s="53"/>
      <c r="AR921" s="54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4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  <c r="BW921" s="52"/>
      <c r="BX921" s="52"/>
      <c r="BY921" s="52"/>
      <c r="BZ921" s="52"/>
      <c r="CA921" s="52"/>
      <c r="CB921" s="52"/>
      <c r="CC921" s="52"/>
      <c r="CD921" s="52"/>
      <c r="CE921" s="52"/>
      <c r="CF921" s="52"/>
      <c r="CG921" s="52"/>
      <c r="CH921" s="52"/>
    </row>
    <row r="922">
      <c r="K922" s="51"/>
      <c r="Y922" s="52"/>
      <c r="Z922" s="51"/>
      <c r="AA922" s="51"/>
      <c r="AK922" s="52"/>
      <c r="AL922" s="52"/>
      <c r="AM922" s="52"/>
      <c r="AN922" s="52"/>
      <c r="AO922" s="52"/>
      <c r="AP922" s="53"/>
      <c r="AQ922" s="53"/>
      <c r="AR922" s="54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4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  <c r="BW922" s="52"/>
      <c r="BX922" s="52"/>
      <c r="BY922" s="52"/>
      <c r="BZ922" s="52"/>
      <c r="CA922" s="52"/>
      <c r="CB922" s="52"/>
      <c r="CC922" s="52"/>
      <c r="CD922" s="52"/>
      <c r="CE922" s="52"/>
      <c r="CF922" s="52"/>
      <c r="CG922" s="52"/>
      <c r="CH922" s="52"/>
    </row>
    <row r="923">
      <c r="K923" s="51"/>
      <c r="Y923" s="52"/>
      <c r="Z923" s="51"/>
      <c r="AA923" s="51"/>
      <c r="AK923" s="52"/>
      <c r="AL923" s="52"/>
      <c r="AM923" s="52"/>
      <c r="AN923" s="52"/>
      <c r="AO923" s="52"/>
      <c r="AP923" s="53"/>
      <c r="AQ923" s="53"/>
      <c r="AR923" s="54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4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</row>
    <row r="924">
      <c r="K924" s="51"/>
      <c r="Y924" s="52"/>
      <c r="Z924" s="51"/>
      <c r="AA924" s="51"/>
      <c r="AK924" s="52"/>
      <c r="AL924" s="52"/>
      <c r="AM924" s="52"/>
      <c r="AN924" s="52"/>
      <c r="AO924" s="52"/>
      <c r="AP924" s="53"/>
      <c r="AQ924" s="53"/>
      <c r="AR924" s="54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4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  <c r="BW924" s="52"/>
      <c r="BX924" s="52"/>
      <c r="BY924" s="52"/>
      <c r="BZ924" s="52"/>
      <c r="CA924" s="52"/>
      <c r="CB924" s="52"/>
      <c r="CC924" s="52"/>
      <c r="CD924" s="52"/>
      <c r="CE924" s="52"/>
      <c r="CF924" s="52"/>
      <c r="CG924" s="52"/>
      <c r="CH924" s="52"/>
    </row>
    <row r="925">
      <c r="K925" s="51"/>
      <c r="Y925" s="52"/>
      <c r="Z925" s="51"/>
      <c r="AA925" s="51"/>
      <c r="AK925" s="52"/>
      <c r="AL925" s="52"/>
      <c r="AM925" s="52"/>
      <c r="AN925" s="52"/>
      <c r="AO925" s="52"/>
      <c r="AP925" s="53"/>
      <c r="AQ925" s="53"/>
      <c r="AR925" s="54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4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  <c r="BW925" s="52"/>
      <c r="BX925" s="52"/>
      <c r="BY925" s="52"/>
      <c r="BZ925" s="52"/>
      <c r="CA925" s="52"/>
      <c r="CB925" s="52"/>
      <c r="CC925" s="52"/>
      <c r="CD925" s="52"/>
      <c r="CE925" s="52"/>
      <c r="CF925" s="52"/>
      <c r="CG925" s="52"/>
      <c r="CH925" s="52"/>
    </row>
    <row r="926">
      <c r="K926" s="51"/>
      <c r="Y926" s="52"/>
      <c r="Z926" s="51"/>
      <c r="AA926" s="51"/>
      <c r="AK926" s="52"/>
      <c r="AL926" s="52"/>
      <c r="AM926" s="52"/>
      <c r="AN926" s="52"/>
      <c r="AO926" s="52"/>
      <c r="AP926" s="53"/>
      <c r="AQ926" s="53"/>
      <c r="AR926" s="54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4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</row>
    <row r="927">
      <c r="K927" s="51"/>
      <c r="Y927" s="52"/>
      <c r="Z927" s="51"/>
      <c r="AA927" s="51"/>
      <c r="AK927" s="52"/>
      <c r="AL927" s="52"/>
      <c r="AM927" s="52"/>
      <c r="AN927" s="52"/>
      <c r="AO927" s="52"/>
      <c r="AP927" s="53"/>
      <c r="AQ927" s="53"/>
      <c r="AR927" s="54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4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</row>
    <row r="928">
      <c r="K928" s="51"/>
      <c r="Y928" s="52"/>
      <c r="Z928" s="51"/>
      <c r="AA928" s="51"/>
      <c r="AK928" s="52"/>
      <c r="AL928" s="52"/>
      <c r="AM928" s="52"/>
      <c r="AN928" s="52"/>
      <c r="AO928" s="52"/>
      <c r="AP928" s="53"/>
      <c r="AQ928" s="53"/>
      <c r="AR928" s="54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4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  <c r="BW928" s="52"/>
      <c r="BX928" s="52"/>
      <c r="BY928" s="52"/>
      <c r="BZ928" s="52"/>
      <c r="CA928" s="52"/>
      <c r="CB928" s="52"/>
      <c r="CC928" s="52"/>
      <c r="CD928" s="52"/>
      <c r="CE928" s="52"/>
      <c r="CF928" s="52"/>
      <c r="CG928" s="52"/>
      <c r="CH928" s="52"/>
    </row>
    <row r="929">
      <c r="K929" s="51"/>
      <c r="Y929" s="52"/>
      <c r="Z929" s="51"/>
      <c r="AA929" s="51"/>
      <c r="AK929" s="52"/>
      <c r="AL929" s="52"/>
      <c r="AM929" s="52"/>
      <c r="AN929" s="52"/>
      <c r="AO929" s="52"/>
      <c r="AP929" s="53"/>
      <c r="AQ929" s="53"/>
      <c r="AR929" s="54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4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</row>
    <row r="930">
      <c r="K930" s="51"/>
      <c r="Y930" s="52"/>
      <c r="Z930" s="51"/>
      <c r="AA930" s="51"/>
      <c r="AK930" s="52"/>
      <c r="AL930" s="52"/>
      <c r="AM930" s="52"/>
      <c r="AN930" s="52"/>
      <c r="AO930" s="52"/>
      <c r="AP930" s="53"/>
      <c r="AQ930" s="53"/>
      <c r="AR930" s="54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4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</row>
    <row r="931">
      <c r="K931" s="51"/>
      <c r="Y931" s="52"/>
      <c r="Z931" s="51"/>
      <c r="AA931" s="51"/>
      <c r="AK931" s="52"/>
      <c r="AL931" s="52"/>
      <c r="AM931" s="52"/>
      <c r="AN931" s="52"/>
      <c r="AO931" s="52"/>
      <c r="AP931" s="53"/>
      <c r="AQ931" s="53"/>
      <c r="AR931" s="54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4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</row>
    <row r="932">
      <c r="K932" s="51"/>
      <c r="Y932" s="52"/>
      <c r="Z932" s="51"/>
      <c r="AA932" s="51"/>
      <c r="AK932" s="52"/>
      <c r="AL932" s="52"/>
      <c r="AM932" s="52"/>
      <c r="AN932" s="52"/>
      <c r="AO932" s="52"/>
      <c r="AP932" s="53"/>
      <c r="AQ932" s="53"/>
      <c r="AR932" s="54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4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</row>
    <row r="933">
      <c r="K933" s="51"/>
      <c r="Y933" s="52"/>
      <c r="Z933" s="51"/>
      <c r="AA933" s="51"/>
      <c r="AK933" s="52"/>
      <c r="AL933" s="52"/>
      <c r="AM933" s="52"/>
      <c r="AN933" s="52"/>
      <c r="AO933" s="52"/>
      <c r="AP933" s="53"/>
      <c r="AQ933" s="53"/>
      <c r="AR933" s="54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4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</row>
    <row r="934">
      <c r="K934" s="51"/>
      <c r="Y934" s="52"/>
      <c r="Z934" s="51"/>
      <c r="AA934" s="51"/>
      <c r="AK934" s="52"/>
      <c r="AL934" s="52"/>
      <c r="AM934" s="52"/>
      <c r="AN934" s="52"/>
      <c r="AO934" s="52"/>
      <c r="AP934" s="53"/>
      <c r="AQ934" s="53"/>
      <c r="AR934" s="54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4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</row>
    <row r="935">
      <c r="K935" s="51"/>
      <c r="Y935" s="52"/>
      <c r="Z935" s="51"/>
      <c r="AA935" s="51"/>
      <c r="AK935" s="52"/>
      <c r="AL935" s="52"/>
      <c r="AM935" s="52"/>
      <c r="AN935" s="52"/>
      <c r="AO935" s="52"/>
      <c r="AP935" s="53"/>
      <c r="AQ935" s="53"/>
      <c r="AR935" s="54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4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</row>
    <row r="936">
      <c r="K936" s="51"/>
      <c r="Y936" s="52"/>
      <c r="Z936" s="51"/>
      <c r="AA936" s="51"/>
      <c r="AK936" s="52"/>
      <c r="AL936" s="52"/>
      <c r="AM936" s="52"/>
      <c r="AN936" s="52"/>
      <c r="AO936" s="52"/>
      <c r="AP936" s="53"/>
      <c r="AQ936" s="53"/>
      <c r="AR936" s="54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4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</row>
    <row r="937">
      <c r="K937" s="51"/>
      <c r="Y937" s="52"/>
      <c r="Z937" s="51"/>
      <c r="AA937" s="51"/>
      <c r="AK937" s="52"/>
      <c r="AL937" s="52"/>
      <c r="AM937" s="52"/>
      <c r="AN937" s="52"/>
      <c r="AO937" s="52"/>
      <c r="AP937" s="53"/>
      <c r="AQ937" s="53"/>
      <c r="AR937" s="54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4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</row>
    <row r="938">
      <c r="K938" s="51"/>
      <c r="Y938" s="52"/>
      <c r="Z938" s="51"/>
      <c r="AA938" s="51"/>
      <c r="AK938" s="52"/>
      <c r="AL938" s="52"/>
      <c r="AM938" s="52"/>
      <c r="AN938" s="52"/>
      <c r="AO938" s="52"/>
      <c r="AP938" s="53"/>
      <c r="AQ938" s="53"/>
      <c r="AR938" s="54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4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</row>
    <row r="939">
      <c r="K939" s="51"/>
      <c r="Y939" s="52"/>
      <c r="Z939" s="51"/>
      <c r="AA939" s="51"/>
      <c r="AK939" s="52"/>
      <c r="AL939" s="52"/>
      <c r="AM939" s="52"/>
      <c r="AN939" s="52"/>
      <c r="AO939" s="52"/>
      <c r="AP939" s="53"/>
      <c r="AQ939" s="53"/>
      <c r="AR939" s="54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4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</row>
    <row r="940">
      <c r="K940" s="51"/>
      <c r="Y940" s="52"/>
      <c r="Z940" s="51"/>
      <c r="AA940" s="51"/>
      <c r="AK940" s="52"/>
      <c r="AL940" s="52"/>
      <c r="AM940" s="52"/>
      <c r="AN940" s="52"/>
      <c r="AO940" s="52"/>
      <c r="AP940" s="53"/>
      <c r="AQ940" s="53"/>
      <c r="AR940" s="54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4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  <c r="BW940" s="52"/>
      <c r="BX940" s="52"/>
      <c r="BY940" s="52"/>
      <c r="BZ940" s="52"/>
      <c r="CA940" s="52"/>
      <c r="CB940" s="52"/>
      <c r="CC940" s="52"/>
      <c r="CD940" s="52"/>
      <c r="CE940" s="52"/>
      <c r="CF940" s="52"/>
      <c r="CG940" s="52"/>
      <c r="CH940" s="52"/>
    </row>
    <row r="941">
      <c r="K941" s="51"/>
      <c r="Y941" s="52"/>
      <c r="Z941" s="51"/>
      <c r="AA941" s="51"/>
      <c r="AK941" s="52"/>
      <c r="AL941" s="52"/>
      <c r="AM941" s="52"/>
      <c r="AN941" s="52"/>
      <c r="AO941" s="52"/>
      <c r="AP941" s="53"/>
      <c r="AQ941" s="53"/>
      <c r="AR941" s="54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4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</row>
    <row r="942">
      <c r="K942" s="51"/>
      <c r="Y942" s="52"/>
      <c r="Z942" s="51"/>
      <c r="AA942" s="51"/>
      <c r="AK942" s="52"/>
      <c r="AL942" s="52"/>
      <c r="AM942" s="52"/>
      <c r="AN942" s="52"/>
      <c r="AO942" s="52"/>
      <c r="AP942" s="53"/>
      <c r="AQ942" s="53"/>
      <c r="AR942" s="54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4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  <c r="BW942" s="52"/>
      <c r="BX942" s="52"/>
      <c r="BY942" s="52"/>
      <c r="BZ942" s="52"/>
      <c r="CA942" s="52"/>
      <c r="CB942" s="52"/>
      <c r="CC942" s="52"/>
      <c r="CD942" s="52"/>
      <c r="CE942" s="52"/>
      <c r="CF942" s="52"/>
      <c r="CG942" s="52"/>
      <c r="CH942" s="52"/>
    </row>
    <row r="943">
      <c r="K943" s="51"/>
      <c r="Y943" s="52"/>
      <c r="Z943" s="51"/>
      <c r="AA943" s="51"/>
      <c r="AK943" s="52"/>
      <c r="AL943" s="52"/>
      <c r="AM943" s="52"/>
      <c r="AN943" s="52"/>
      <c r="AO943" s="52"/>
      <c r="AP943" s="53"/>
      <c r="AQ943" s="53"/>
      <c r="AR943" s="54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4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  <c r="BW943" s="52"/>
      <c r="BX943" s="52"/>
      <c r="BY943" s="52"/>
      <c r="BZ943" s="52"/>
      <c r="CA943" s="52"/>
      <c r="CB943" s="52"/>
      <c r="CC943" s="52"/>
      <c r="CD943" s="52"/>
      <c r="CE943" s="52"/>
      <c r="CF943" s="52"/>
      <c r="CG943" s="52"/>
      <c r="CH943" s="52"/>
    </row>
    <row r="944">
      <c r="K944" s="51"/>
      <c r="Y944" s="52"/>
      <c r="Z944" s="51"/>
      <c r="AA944" s="51"/>
      <c r="AK944" s="52"/>
      <c r="AL944" s="52"/>
      <c r="AM944" s="52"/>
      <c r="AN944" s="52"/>
      <c r="AO944" s="52"/>
      <c r="AP944" s="53"/>
      <c r="AQ944" s="53"/>
      <c r="AR944" s="54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4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</row>
    <row r="945">
      <c r="K945" s="51"/>
      <c r="Y945" s="52"/>
      <c r="Z945" s="51"/>
      <c r="AA945" s="51"/>
      <c r="AK945" s="52"/>
      <c r="AL945" s="52"/>
      <c r="AM945" s="52"/>
      <c r="AN945" s="52"/>
      <c r="AO945" s="52"/>
      <c r="AP945" s="53"/>
      <c r="AQ945" s="53"/>
      <c r="AR945" s="54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4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  <c r="BW945" s="52"/>
      <c r="BX945" s="52"/>
      <c r="BY945" s="52"/>
      <c r="BZ945" s="52"/>
      <c r="CA945" s="52"/>
      <c r="CB945" s="52"/>
      <c r="CC945" s="52"/>
      <c r="CD945" s="52"/>
      <c r="CE945" s="52"/>
      <c r="CF945" s="52"/>
      <c r="CG945" s="52"/>
      <c r="CH945" s="52"/>
    </row>
    <row r="946">
      <c r="K946" s="51"/>
      <c r="Y946" s="52"/>
      <c r="Z946" s="51"/>
      <c r="AA946" s="51"/>
      <c r="AK946" s="52"/>
      <c r="AL946" s="52"/>
      <c r="AM946" s="52"/>
      <c r="AN946" s="52"/>
      <c r="AO946" s="52"/>
      <c r="AP946" s="53"/>
      <c r="AQ946" s="53"/>
      <c r="AR946" s="54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4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  <c r="BW946" s="52"/>
      <c r="BX946" s="52"/>
      <c r="BY946" s="52"/>
      <c r="BZ946" s="52"/>
      <c r="CA946" s="52"/>
      <c r="CB946" s="52"/>
      <c r="CC946" s="52"/>
      <c r="CD946" s="52"/>
      <c r="CE946" s="52"/>
      <c r="CF946" s="52"/>
      <c r="CG946" s="52"/>
      <c r="CH946" s="52"/>
    </row>
    <row r="947">
      <c r="K947" s="51"/>
      <c r="Y947" s="52"/>
      <c r="Z947" s="51"/>
      <c r="AA947" s="51"/>
      <c r="AK947" s="52"/>
      <c r="AL947" s="52"/>
      <c r="AM947" s="52"/>
      <c r="AN947" s="52"/>
      <c r="AO947" s="52"/>
      <c r="AP947" s="53"/>
      <c r="AQ947" s="53"/>
      <c r="AR947" s="54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4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</row>
    <row r="948">
      <c r="K948" s="51"/>
      <c r="Y948" s="52"/>
      <c r="Z948" s="51"/>
      <c r="AA948" s="51"/>
      <c r="AK948" s="52"/>
      <c r="AL948" s="52"/>
      <c r="AM948" s="52"/>
      <c r="AN948" s="52"/>
      <c r="AO948" s="52"/>
      <c r="AP948" s="53"/>
      <c r="AQ948" s="53"/>
      <c r="AR948" s="54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4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  <c r="BW948" s="52"/>
      <c r="BX948" s="52"/>
      <c r="BY948" s="52"/>
      <c r="BZ948" s="52"/>
      <c r="CA948" s="52"/>
      <c r="CB948" s="52"/>
      <c r="CC948" s="52"/>
      <c r="CD948" s="52"/>
      <c r="CE948" s="52"/>
      <c r="CF948" s="52"/>
      <c r="CG948" s="52"/>
      <c r="CH948" s="52"/>
    </row>
    <row r="949">
      <c r="K949" s="51"/>
      <c r="Y949" s="52"/>
      <c r="Z949" s="51"/>
      <c r="AA949" s="51"/>
      <c r="AK949" s="52"/>
      <c r="AL949" s="52"/>
      <c r="AM949" s="52"/>
      <c r="AN949" s="52"/>
      <c r="AO949" s="52"/>
      <c r="AP949" s="53"/>
      <c r="AQ949" s="53"/>
      <c r="AR949" s="54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4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  <c r="BW949" s="52"/>
      <c r="BX949" s="52"/>
      <c r="BY949" s="52"/>
      <c r="BZ949" s="52"/>
      <c r="CA949" s="52"/>
      <c r="CB949" s="52"/>
      <c r="CC949" s="52"/>
      <c r="CD949" s="52"/>
      <c r="CE949" s="52"/>
      <c r="CF949" s="52"/>
      <c r="CG949" s="52"/>
      <c r="CH949" s="52"/>
    </row>
    <row r="950">
      <c r="K950" s="51"/>
      <c r="Y950" s="52"/>
      <c r="Z950" s="51"/>
      <c r="AA950" s="51"/>
      <c r="AK950" s="52"/>
      <c r="AL950" s="52"/>
      <c r="AM950" s="52"/>
      <c r="AN950" s="52"/>
      <c r="AO950" s="52"/>
      <c r="AP950" s="53"/>
      <c r="AQ950" s="53"/>
      <c r="AR950" s="54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4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</row>
    <row r="951">
      <c r="K951" s="51"/>
      <c r="Y951" s="52"/>
      <c r="Z951" s="51"/>
      <c r="AA951" s="51"/>
      <c r="AK951" s="52"/>
      <c r="AL951" s="52"/>
      <c r="AM951" s="52"/>
      <c r="AN951" s="52"/>
      <c r="AO951" s="52"/>
      <c r="AP951" s="53"/>
      <c r="AQ951" s="53"/>
      <c r="AR951" s="54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4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  <c r="BW951" s="52"/>
      <c r="BX951" s="52"/>
      <c r="BY951" s="52"/>
      <c r="BZ951" s="52"/>
      <c r="CA951" s="52"/>
      <c r="CB951" s="52"/>
      <c r="CC951" s="52"/>
      <c r="CD951" s="52"/>
      <c r="CE951" s="52"/>
      <c r="CF951" s="52"/>
      <c r="CG951" s="52"/>
      <c r="CH951" s="52"/>
    </row>
    <row r="952">
      <c r="K952" s="51"/>
      <c r="Y952" s="52"/>
      <c r="Z952" s="51"/>
      <c r="AA952" s="51"/>
      <c r="AK952" s="52"/>
      <c r="AL952" s="52"/>
      <c r="AM952" s="52"/>
      <c r="AN952" s="52"/>
      <c r="AO952" s="52"/>
      <c r="AP952" s="53"/>
      <c r="AQ952" s="53"/>
      <c r="AR952" s="54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4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  <c r="BW952" s="52"/>
      <c r="BX952" s="52"/>
      <c r="BY952" s="52"/>
      <c r="BZ952" s="52"/>
      <c r="CA952" s="52"/>
      <c r="CB952" s="52"/>
      <c r="CC952" s="52"/>
      <c r="CD952" s="52"/>
      <c r="CE952" s="52"/>
      <c r="CF952" s="52"/>
      <c r="CG952" s="52"/>
      <c r="CH952" s="52"/>
    </row>
    <row r="953">
      <c r="K953" s="51"/>
      <c r="Y953" s="52"/>
      <c r="Z953" s="51"/>
      <c r="AA953" s="51"/>
      <c r="AK953" s="52"/>
      <c r="AL953" s="52"/>
      <c r="AM953" s="52"/>
      <c r="AN953" s="52"/>
      <c r="AO953" s="52"/>
      <c r="AP953" s="53"/>
      <c r="AQ953" s="53"/>
      <c r="AR953" s="54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4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</row>
    <row r="954">
      <c r="K954" s="51"/>
      <c r="Y954" s="52"/>
      <c r="Z954" s="51"/>
      <c r="AA954" s="51"/>
      <c r="AK954" s="52"/>
      <c r="AL954" s="52"/>
      <c r="AM954" s="52"/>
      <c r="AN954" s="52"/>
      <c r="AO954" s="52"/>
      <c r="AP954" s="53"/>
      <c r="AQ954" s="53"/>
      <c r="AR954" s="54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4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  <c r="BW954" s="52"/>
      <c r="BX954" s="52"/>
      <c r="BY954" s="52"/>
      <c r="BZ954" s="52"/>
      <c r="CA954" s="52"/>
      <c r="CB954" s="52"/>
      <c r="CC954" s="52"/>
      <c r="CD954" s="52"/>
      <c r="CE954" s="52"/>
      <c r="CF954" s="52"/>
      <c r="CG954" s="52"/>
      <c r="CH954" s="52"/>
    </row>
    <row r="955">
      <c r="K955" s="51"/>
      <c r="Y955" s="52"/>
      <c r="Z955" s="51"/>
      <c r="AA955" s="51"/>
      <c r="AK955" s="52"/>
      <c r="AL955" s="52"/>
      <c r="AM955" s="52"/>
      <c r="AN955" s="52"/>
      <c r="AO955" s="52"/>
      <c r="AP955" s="53"/>
      <c r="AQ955" s="53"/>
      <c r="AR955" s="54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4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  <c r="BW955" s="52"/>
      <c r="BX955" s="52"/>
      <c r="BY955" s="52"/>
      <c r="BZ955" s="52"/>
      <c r="CA955" s="52"/>
      <c r="CB955" s="52"/>
      <c r="CC955" s="52"/>
      <c r="CD955" s="52"/>
      <c r="CE955" s="52"/>
      <c r="CF955" s="52"/>
      <c r="CG955" s="52"/>
      <c r="CH955" s="52"/>
    </row>
    <row r="956">
      <c r="K956" s="51"/>
      <c r="Y956" s="52"/>
      <c r="Z956" s="51"/>
      <c r="AA956" s="51"/>
      <c r="AK956" s="52"/>
      <c r="AL956" s="52"/>
      <c r="AM956" s="52"/>
      <c r="AN956" s="52"/>
      <c r="AO956" s="52"/>
      <c r="AP956" s="53"/>
      <c r="AQ956" s="53"/>
      <c r="AR956" s="54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4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</row>
    <row r="957">
      <c r="K957" s="51"/>
      <c r="Y957" s="52"/>
      <c r="Z957" s="51"/>
      <c r="AA957" s="51"/>
      <c r="AK957" s="52"/>
      <c r="AL957" s="52"/>
      <c r="AM957" s="52"/>
      <c r="AN957" s="52"/>
      <c r="AO957" s="52"/>
      <c r="AP957" s="53"/>
      <c r="AQ957" s="53"/>
      <c r="AR957" s="54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4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  <c r="BW957" s="52"/>
      <c r="BX957" s="52"/>
      <c r="BY957" s="52"/>
      <c r="BZ957" s="52"/>
      <c r="CA957" s="52"/>
      <c r="CB957" s="52"/>
      <c r="CC957" s="52"/>
      <c r="CD957" s="52"/>
      <c r="CE957" s="52"/>
      <c r="CF957" s="52"/>
      <c r="CG957" s="52"/>
      <c r="CH957" s="52"/>
    </row>
    <row r="958">
      <c r="K958" s="51"/>
      <c r="Y958" s="52"/>
      <c r="Z958" s="51"/>
      <c r="AA958" s="51"/>
      <c r="AK958" s="52"/>
      <c r="AL958" s="52"/>
      <c r="AM958" s="52"/>
      <c r="AN958" s="52"/>
      <c r="AO958" s="52"/>
      <c r="AP958" s="53"/>
      <c r="AQ958" s="53"/>
      <c r="AR958" s="54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4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  <c r="BW958" s="52"/>
      <c r="BX958" s="52"/>
      <c r="BY958" s="52"/>
      <c r="BZ958" s="52"/>
      <c r="CA958" s="52"/>
      <c r="CB958" s="52"/>
      <c r="CC958" s="52"/>
      <c r="CD958" s="52"/>
      <c r="CE958" s="52"/>
      <c r="CF958" s="52"/>
      <c r="CG958" s="52"/>
      <c r="CH958" s="52"/>
    </row>
    <row r="959">
      <c r="K959" s="51"/>
      <c r="Y959" s="52"/>
      <c r="Z959" s="51"/>
      <c r="AA959" s="51"/>
      <c r="AK959" s="52"/>
      <c r="AL959" s="52"/>
      <c r="AM959" s="52"/>
      <c r="AN959" s="52"/>
      <c r="AO959" s="52"/>
      <c r="AP959" s="53"/>
      <c r="AQ959" s="53"/>
      <c r="AR959" s="54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4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</row>
    <row r="960">
      <c r="K960" s="51"/>
      <c r="Y960" s="52"/>
      <c r="Z960" s="51"/>
      <c r="AA960" s="51"/>
      <c r="AK960" s="52"/>
      <c r="AL960" s="52"/>
      <c r="AM960" s="52"/>
      <c r="AN960" s="52"/>
      <c r="AO960" s="52"/>
      <c r="AP960" s="53"/>
      <c r="AQ960" s="53"/>
      <c r="AR960" s="54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4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/>
      <c r="BW960" s="52"/>
      <c r="BX960" s="52"/>
      <c r="BY960" s="52"/>
      <c r="BZ960" s="52"/>
      <c r="CA960" s="52"/>
      <c r="CB960" s="52"/>
      <c r="CC960" s="52"/>
      <c r="CD960" s="52"/>
      <c r="CE960" s="52"/>
      <c r="CF960" s="52"/>
      <c r="CG960" s="52"/>
      <c r="CH960" s="52"/>
    </row>
    <row r="961">
      <c r="K961" s="51"/>
      <c r="Y961" s="52"/>
      <c r="Z961" s="51"/>
      <c r="AA961" s="51"/>
      <c r="AK961" s="52"/>
      <c r="AL961" s="52"/>
      <c r="AM961" s="52"/>
      <c r="AN961" s="52"/>
      <c r="AO961" s="52"/>
      <c r="AP961" s="53"/>
      <c r="AQ961" s="53"/>
      <c r="AR961" s="54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4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/>
      <c r="BW961" s="52"/>
      <c r="BX961" s="52"/>
      <c r="BY961" s="52"/>
      <c r="BZ961" s="52"/>
      <c r="CA961" s="52"/>
      <c r="CB961" s="52"/>
      <c r="CC961" s="52"/>
      <c r="CD961" s="52"/>
      <c r="CE961" s="52"/>
      <c r="CF961" s="52"/>
      <c r="CG961" s="52"/>
      <c r="CH961" s="52"/>
    </row>
    <row r="962">
      <c r="K962" s="51"/>
      <c r="Y962" s="52"/>
      <c r="Z962" s="51"/>
      <c r="AA962" s="51"/>
      <c r="AK962" s="52"/>
      <c r="AL962" s="52"/>
      <c r="AM962" s="52"/>
      <c r="AN962" s="52"/>
      <c r="AO962" s="52"/>
      <c r="AP962" s="53"/>
      <c r="AQ962" s="53"/>
      <c r="AR962" s="54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4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</row>
    <row r="963">
      <c r="K963" s="51"/>
      <c r="Y963" s="52"/>
      <c r="Z963" s="51"/>
      <c r="AA963" s="51"/>
      <c r="AK963" s="52"/>
      <c r="AL963" s="52"/>
      <c r="AM963" s="52"/>
      <c r="AN963" s="52"/>
      <c r="AO963" s="52"/>
      <c r="AP963" s="53"/>
      <c r="AQ963" s="53"/>
      <c r="AR963" s="54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4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</row>
    <row r="964">
      <c r="K964" s="51"/>
      <c r="Y964" s="52"/>
      <c r="Z964" s="51"/>
      <c r="AA964" s="51"/>
      <c r="AK964" s="52"/>
      <c r="AL964" s="52"/>
      <c r="AM964" s="52"/>
      <c r="AN964" s="52"/>
      <c r="AO964" s="52"/>
      <c r="AP964" s="53"/>
      <c r="AQ964" s="53"/>
      <c r="AR964" s="54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4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/>
      <c r="BW964" s="52"/>
      <c r="BX964" s="52"/>
      <c r="BY964" s="52"/>
      <c r="BZ964" s="52"/>
      <c r="CA964" s="52"/>
      <c r="CB964" s="52"/>
      <c r="CC964" s="52"/>
      <c r="CD964" s="52"/>
      <c r="CE964" s="52"/>
      <c r="CF964" s="52"/>
      <c r="CG964" s="52"/>
      <c r="CH964" s="52"/>
    </row>
    <row r="965">
      <c r="K965" s="51"/>
      <c r="Y965" s="52"/>
      <c r="Z965" s="51"/>
      <c r="AA965" s="51"/>
      <c r="AK965" s="52"/>
      <c r="AL965" s="52"/>
      <c r="AM965" s="52"/>
      <c r="AN965" s="52"/>
      <c r="AO965" s="52"/>
      <c r="AP965" s="53"/>
      <c r="AQ965" s="53"/>
      <c r="AR965" s="54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4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</row>
    <row r="966">
      <c r="K966" s="51"/>
      <c r="Y966" s="52"/>
      <c r="Z966" s="51"/>
      <c r="AA966" s="51"/>
      <c r="AK966" s="52"/>
      <c r="AL966" s="52"/>
      <c r="AM966" s="52"/>
      <c r="AN966" s="52"/>
      <c r="AO966" s="52"/>
      <c r="AP966" s="53"/>
      <c r="AQ966" s="53"/>
      <c r="AR966" s="54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4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</row>
    <row r="967">
      <c r="K967" s="51"/>
      <c r="Y967" s="52"/>
      <c r="Z967" s="51"/>
      <c r="AA967" s="51"/>
      <c r="AK967" s="52"/>
      <c r="AL967" s="52"/>
      <c r="AM967" s="52"/>
      <c r="AN967" s="52"/>
      <c r="AO967" s="52"/>
      <c r="AP967" s="53"/>
      <c r="AQ967" s="53"/>
      <c r="AR967" s="54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4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</row>
    <row r="968">
      <c r="K968" s="51"/>
      <c r="Y968" s="52"/>
      <c r="Z968" s="51"/>
      <c r="AA968" s="51"/>
      <c r="AK968" s="52"/>
      <c r="AL968" s="52"/>
      <c r="AM968" s="52"/>
      <c r="AN968" s="52"/>
      <c r="AO968" s="52"/>
      <c r="AP968" s="53"/>
      <c r="AQ968" s="53"/>
      <c r="AR968" s="54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4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</row>
    <row r="969">
      <c r="K969" s="51"/>
      <c r="Y969" s="52"/>
      <c r="Z969" s="51"/>
      <c r="AA969" s="51"/>
      <c r="AK969" s="52"/>
      <c r="AL969" s="52"/>
      <c r="AM969" s="52"/>
      <c r="AN969" s="52"/>
      <c r="AO969" s="52"/>
      <c r="AP969" s="53"/>
      <c r="AQ969" s="53"/>
      <c r="AR969" s="54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4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</row>
    <row r="970">
      <c r="K970" s="51"/>
      <c r="Y970" s="52"/>
      <c r="Z970" s="51"/>
      <c r="AA970" s="51"/>
      <c r="AK970" s="52"/>
      <c r="AL970" s="52"/>
      <c r="AM970" s="52"/>
      <c r="AN970" s="52"/>
      <c r="AO970" s="52"/>
      <c r="AP970" s="53"/>
      <c r="AQ970" s="53"/>
      <c r="AR970" s="54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4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</row>
    <row r="971">
      <c r="K971" s="51"/>
      <c r="Y971" s="52"/>
      <c r="Z971" s="51"/>
      <c r="AA971" s="51"/>
      <c r="AK971" s="52"/>
      <c r="AL971" s="52"/>
      <c r="AM971" s="52"/>
      <c r="AN971" s="52"/>
      <c r="AO971" s="52"/>
      <c r="AP971" s="53"/>
      <c r="AQ971" s="53"/>
      <c r="AR971" s="54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4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</row>
    <row r="972">
      <c r="K972" s="51"/>
      <c r="Y972" s="52"/>
      <c r="Z972" s="51"/>
      <c r="AA972" s="51"/>
      <c r="AK972" s="52"/>
      <c r="AL972" s="52"/>
      <c r="AM972" s="52"/>
      <c r="AN972" s="52"/>
      <c r="AO972" s="52"/>
      <c r="AP972" s="53"/>
      <c r="AQ972" s="53"/>
      <c r="AR972" s="54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4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</row>
    <row r="973">
      <c r="K973" s="51"/>
      <c r="Y973" s="52"/>
      <c r="Z973" s="51"/>
      <c r="AA973" s="51"/>
      <c r="AK973" s="52"/>
      <c r="AL973" s="52"/>
      <c r="AM973" s="52"/>
      <c r="AN973" s="52"/>
      <c r="AO973" s="52"/>
      <c r="AP973" s="53"/>
      <c r="AQ973" s="53"/>
      <c r="AR973" s="54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4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</row>
    <row r="974">
      <c r="K974" s="51"/>
      <c r="Y974" s="52"/>
      <c r="Z974" s="51"/>
      <c r="AA974" s="51"/>
      <c r="AK974" s="52"/>
      <c r="AL974" s="52"/>
      <c r="AM974" s="52"/>
      <c r="AN974" s="52"/>
      <c r="AO974" s="52"/>
      <c r="AP974" s="53"/>
      <c r="AQ974" s="53"/>
      <c r="AR974" s="54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4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</row>
    <row r="975">
      <c r="K975" s="51"/>
      <c r="Y975" s="52"/>
      <c r="Z975" s="51"/>
      <c r="AA975" s="51"/>
      <c r="AK975" s="52"/>
      <c r="AL975" s="52"/>
      <c r="AM975" s="52"/>
      <c r="AN975" s="52"/>
      <c r="AO975" s="52"/>
      <c r="AP975" s="53"/>
      <c r="AQ975" s="53"/>
      <c r="AR975" s="54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4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</row>
    <row r="976">
      <c r="K976" s="51"/>
      <c r="Y976" s="52"/>
      <c r="Z976" s="51"/>
      <c r="AA976" s="51"/>
      <c r="AK976" s="52"/>
      <c r="AL976" s="52"/>
      <c r="AM976" s="52"/>
      <c r="AN976" s="52"/>
      <c r="AO976" s="52"/>
      <c r="AP976" s="53"/>
      <c r="AQ976" s="53"/>
      <c r="AR976" s="54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4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</row>
    <row r="977">
      <c r="K977" s="51"/>
      <c r="Y977" s="52"/>
      <c r="Z977" s="51"/>
      <c r="AA977" s="51"/>
      <c r="AK977" s="52"/>
      <c r="AL977" s="52"/>
      <c r="AM977" s="52"/>
      <c r="AN977" s="52"/>
      <c r="AO977" s="52"/>
      <c r="AP977" s="53"/>
      <c r="AQ977" s="53"/>
      <c r="AR977" s="54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4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</row>
    <row r="978">
      <c r="K978" s="51"/>
      <c r="Y978" s="52"/>
      <c r="Z978" s="51"/>
      <c r="AA978" s="51"/>
      <c r="AK978" s="52"/>
      <c r="AL978" s="52"/>
      <c r="AM978" s="52"/>
      <c r="AN978" s="52"/>
      <c r="AO978" s="52"/>
      <c r="AP978" s="53"/>
      <c r="AQ978" s="53"/>
      <c r="AR978" s="54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4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</row>
    <row r="979">
      <c r="K979" s="51"/>
      <c r="Y979" s="52"/>
      <c r="Z979" s="51"/>
      <c r="AA979" s="51"/>
      <c r="AK979" s="52"/>
      <c r="AL979" s="52"/>
      <c r="AM979" s="52"/>
      <c r="AN979" s="52"/>
      <c r="AO979" s="52"/>
      <c r="AP979" s="53"/>
      <c r="AQ979" s="53"/>
      <c r="AR979" s="54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4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</row>
    <row r="980">
      <c r="K980" s="51"/>
      <c r="Y980" s="52"/>
      <c r="Z980" s="51"/>
      <c r="AA980" s="51"/>
      <c r="AK980" s="52"/>
      <c r="AL980" s="52"/>
      <c r="AM980" s="52"/>
      <c r="AN980" s="52"/>
      <c r="AO980" s="52"/>
      <c r="AP980" s="53"/>
      <c r="AQ980" s="53"/>
      <c r="AR980" s="54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4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</row>
    <row r="981">
      <c r="K981" s="51"/>
      <c r="Y981" s="52"/>
      <c r="Z981" s="51"/>
      <c r="AA981" s="51"/>
      <c r="AK981" s="52"/>
      <c r="AL981" s="52"/>
      <c r="AM981" s="52"/>
      <c r="AN981" s="52"/>
      <c r="AO981" s="52"/>
      <c r="AP981" s="53"/>
      <c r="AQ981" s="53"/>
      <c r="AR981" s="54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4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/>
      <c r="BW981" s="52"/>
      <c r="BX981" s="52"/>
      <c r="BY981" s="52"/>
      <c r="BZ981" s="52"/>
      <c r="CA981" s="52"/>
      <c r="CB981" s="52"/>
      <c r="CC981" s="52"/>
      <c r="CD981" s="52"/>
      <c r="CE981" s="52"/>
      <c r="CF981" s="52"/>
      <c r="CG981" s="52"/>
      <c r="CH981" s="52"/>
    </row>
    <row r="982">
      <c r="K982" s="51"/>
      <c r="Y982" s="52"/>
      <c r="Z982" s="51"/>
      <c r="AA982" s="51"/>
      <c r="AK982" s="52"/>
      <c r="AL982" s="52"/>
      <c r="AM982" s="52"/>
      <c r="AN982" s="52"/>
      <c r="AO982" s="52"/>
      <c r="AP982" s="53"/>
      <c r="AQ982" s="53"/>
      <c r="AR982" s="54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4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  <c r="BX982" s="52"/>
      <c r="BY982" s="52"/>
      <c r="BZ982" s="52"/>
      <c r="CA982" s="52"/>
      <c r="CB982" s="52"/>
      <c r="CC982" s="52"/>
      <c r="CD982" s="52"/>
      <c r="CE982" s="52"/>
      <c r="CF982" s="52"/>
      <c r="CG982" s="52"/>
      <c r="CH982" s="52"/>
    </row>
    <row r="983">
      <c r="K983" s="51"/>
      <c r="Y983" s="52"/>
      <c r="Z983" s="51"/>
      <c r="AA983" s="51"/>
      <c r="AK983" s="52"/>
      <c r="AL983" s="52"/>
      <c r="AM983" s="52"/>
      <c r="AN983" s="52"/>
      <c r="AO983" s="52"/>
      <c r="AP983" s="53"/>
      <c r="AQ983" s="53"/>
      <c r="AR983" s="54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4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</row>
    <row r="984">
      <c r="K984" s="51"/>
      <c r="Y984" s="52"/>
      <c r="Z984" s="51"/>
      <c r="AA984" s="51"/>
      <c r="AK984" s="52"/>
      <c r="AL984" s="52"/>
      <c r="AM984" s="52"/>
      <c r="AN984" s="52"/>
      <c r="AO984" s="52"/>
      <c r="AP984" s="53"/>
      <c r="AQ984" s="53"/>
      <c r="AR984" s="54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4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/>
      <c r="BW984" s="52"/>
      <c r="BX984" s="52"/>
      <c r="BY984" s="52"/>
      <c r="BZ984" s="52"/>
      <c r="CA984" s="52"/>
      <c r="CB984" s="52"/>
      <c r="CC984" s="52"/>
      <c r="CD984" s="52"/>
      <c r="CE984" s="52"/>
      <c r="CF984" s="52"/>
      <c r="CG984" s="52"/>
      <c r="CH984" s="52"/>
    </row>
    <row r="985">
      <c r="K985" s="51"/>
      <c r="Y985" s="52"/>
      <c r="Z985" s="51"/>
      <c r="AA985" s="51"/>
      <c r="AK985" s="52"/>
      <c r="AL985" s="52"/>
      <c r="AM985" s="52"/>
      <c r="AN985" s="52"/>
      <c r="AO985" s="52"/>
      <c r="AP985" s="53"/>
      <c r="AQ985" s="53"/>
      <c r="AR985" s="54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4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/>
      <c r="BW985" s="52"/>
      <c r="BX985" s="52"/>
      <c r="BY985" s="52"/>
      <c r="BZ985" s="52"/>
      <c r="CA985" s="52"/>
      <c r="CB985" s="52"/>
      <c r="CC985" s="52"/>
      <c r="CD985" s="52"/>
      <c r="CE985" s="52"/>
      <c r="CF985" s="52"/>
      <c r="CG985" s="52"/>
      <c r="CH985" s="52"/>
    </row>
    <row r="986">
      <c r="K986" s="51"/>
      <c r="Y986" s="52"/>
      <c r="Z986" s="51"/>
      <c r="AA986" s="51"/>
      <c r="AK986" s="52"/>
      <c r="AL986" s="52"/>
      <c r="AM986" s="52"/>
      <c r="AN986" s="52"/>
      <c r="AO986" s="52"/>
      <c r="AP986" s="53"/>
      <c r="AQ986" s="53"/>
      <c r="AR986" s="54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4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/>
      <c r="BW986" s="52"/>
      <c r="BX986" s="52"/>
      <c r="BY986" s="52"/>
      <c r="BZ986" s="52"/>
      <c r="CA986" s="52"/>
      <c r="CB986" s="52"/>
      <c r="CC986" s="52"/>
      <c r="CD986" s="52"/>
      <c r="CE986" s="52"/>
      <c r="CF986" s="52"/>
      <c r="CG986" s="52"/>
      <c r="CH986" s="52"/>
    </row>
    <row r="987">
      <c r="K987" s="51"/>
      <c r="Y987" s="52"/>
      <c r="Z987" s="51"/>
      <c r="AA987" s="51"/>
      <c r="AK987" s="52"/>
      <c r="AL987" s="52"/>
      <c r="AM987" s="52"/>
      <c r="AN987" s="52"/>
      <c r="AO987" s="52"/>
      <c r="AP987" s="53"/>
      <c r="AQ987" s="53"/>
      <c r="AR987" s="54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4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/>
      <c r="BW987" s="52"/>
      <c r="BX987" s="52"/>
      <c r="BY987" s="52"/>
      <c r="BZ987" s="52"/>
      <c r="CA987" s="52"/>
      <c r="CB987" s="52"/>
      <c r="CC987" s="52"/>
      <c r="CD987" s="52"/>
      <c r="CE987" s="52"/>
      <c r="CF987" s="52"/>
      <c r="CG987" s="52"/>
      <c r="CH987" s="52"/>
    </row>
    <row r="988">
      <c r="K988" s="51"/>
      <c r="Y988" s="52"/>
      <c r="Z988" s="51"/>
      <c r="AA988" s="51"/>
      <c r="AK988" s="52"/>
      <c r="AL988" s="52"/>
      <c r="AM988" s="52"/>
      <c r="AN988" s="52"/>
      <c r="AO988" s="52"/>
      <c r="AP988" s="53"/>
      <c r="AQ988" s="53"/>
      <c r="AR988" s="54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4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/>
      <c r="BW988" s="52"/>
      <c r="BX988" s="52"/>
      <c r="BY988" s="52"/>
      <c r="BZ988" s="52"/>
      <c r="CA988" s="52"/>
      <c r="CB988" s="52"/>
      <c r="CC988" s="52"/>
      <c r="CD988" s="52"/>
      <c r="CE988" s="52"/>
      <c r="CF988" s="52"/>
      <c r="CG988" s="52"/>
      <c r="CH988" s="52"/>
    </row>
    <row r="989">
      <c r="K989" s="51"/>
      <c r="Y989" s="52"/>
      <c r="Z989" s="51"/>
      <c r="AA989" s="51"/>
      <c r="AK989" s="52"/>
      <c r="AL989" s="52"/>
      <c r="AM989" s="52"/>
      <c r="AN989" s="52"/>
      <c r="AO989" s="52"/>
      <c r="AP989" s="53"/>
      <c r="AQ989" s="53"/>
      <c r="AR989" s="54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4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/>
      <c r="BW989" s="52"/>
      <c r="BX989" s="52"/>
      <c r="BY989" s="52"/>
      <c r="BZ989" s="52"/>
      <c r="CA989" s="52"/>
      <c r="CB989" s="52"/>
      <c r="CC989" s="52"/>
      <c r="CD989" s="52"/>
      <c r="CE989" s="52"/>
      <c r="CF989" s="52"/>
      <c r="CG989" s="52"/>
      <c r="CH989" s="52"/>
    </row>
    <row r="990">
      <c r="K990" s="51"/>
      <c r="Y990" s="52"/>
      <c r="Z990" s="51"/>
      <c r="AA990" s="51"/>
      <c r="AK990" s="52"/>
      <c r="AL990" s="52"/>
      <c r="AM990" s="52"/>
      <c r="AN990" s="52"/>
      <c r="AO990" s="52"/>
      <c r="AP990" s="53"/>
      <c r="AQ990" s="53"/>
      <c r="AR990" s="54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4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/>
      <c r="BW990" s="52"/>
      <c r="BX990" s="52"/>
      <c r="BY990" s="52"/>
      <c r="BZ990" s="52"/>
      <c r="CA990" s="52"/>
      <c r="CB990" s="52"/>
      <c r="CC990" s="52"/>
      <c r="CD990" s="52"/>
      <c r="CE990" s="52"/>
      <c r="CF990" s="52"/>
      <c r="CG990" s="52"/>
      <c r="CH990" s="52"/>
    </row>
    <row r="991">
      <c r="K991" s="51"/>
      <c r="Y991" s="52"/>
      <c r="Z991" s="51"/>
      <c r="AA991" s="51"/>
      <c r="AK991" s="52"/>
      <c r="AL991" s="52"/>
      <c r="AM991" s="52"/>
      <c r="AN991" s="52"/>
      <c r="AO991" s="52"/>
      <c r="AP991" s="53"/>
      <c r="AQ991" s="53"/>
      <c r="AR991" s="54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4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/>
      <c r="BW991" s="52"/>
      <c r="BX991" s="52"/>
      <c r="BY991" s="52"/>
      <c r="BZ991" s="52"/>
      <c r="CA991" s="52"/>
      <c r="CB991" s="52"/>
      <c r="CC991" s="52"/>
      <c r="CD991" s="52"/>
      <c r="CE991" s="52"/>
      <c r="CF991" s="52"/>
      <c r="CG991" s="52"/>
      <c r="CH991" s="52"/>
    </row>
    <row r="992">
      <c r="K992" s="51"/>
      <c r="Y992" s="52"/>
      <c r="Z992" s="51"/>
      <c r="AA992" s="51"/>
      <c r="AK992" s="52"/>
      <c r="AL992" s="52"/>
      <c r="AM992" s="52"/>
      <c r="AN992" s="52"/>
      <c r="AO992" s="52"/>
      <c r="AP992" s="53"/>
      <c r="AQ992" s="53"/>
      <c r="AR992" s="54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4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/>
      <c r="BW992" s="52"/>
      <c r="BX992" s="52"/>
      <c r="BY992" s="52"/>
      <c r="BZ992" s="52"/>
      <c r="CA992" s="52"/>
      <c r="CB992" s="52"/>
      <c r="CC992" s="52"/>
      <c r="CD992" s="52"/>
      <c r="CE992" s="52"/>
      <c r="CF992" s="52"/>
      <c r="CG992" s="52"/>
      <c r="CH992" s="52"/>
    </row>
    <row r="993">
      <c r="K993" s="51"/>
      <c r="Y993" s="52"/>
      <c r="Z993" s="51"/>
      <c r="AA993" s="51"/>
      <c r="AK993" s="52"/>
      <c r="AL993" s="52"/>
      <c r="AM993" s="52"/>
      <c r="AN993" s="52"/>
      <c r="AO993" s="52"/>
      <c r="AP993" s="53"/>
      <c r="AQ993" s="53"/>
      <c r="AR993" s="54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4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/>
      <c r="BW993" s="52"/>
      <c r="BX993" s="52"/>
      <c r="BY993" s="52"/>
      <c r="BZ993" s="52"/>
      <c r="CA993" s="52"/>
      <c r="CB993" s="52"/>
      <c r="CC993" s="52"/>
      <c r="CD993" s="52"/>
      <c r="CE993" s="52"/>
      <c r="CF993" s="52"/>
      <c r="CG993" s="52"/>
      <c r="CH993" s="52"/>
    </row>
    <row r="994">
      <c r="K994" s="51"/>
      <c r="Y994" s="52"/>
      <c r="Z994" s="51"/>
      <c r="AA994" s="51"/>
      <c r="AK994" s="52"/>
      <c r="AL994" s="52"/>
      <c r="AM994" s="52"/>
      <c r="AN994" s="52"/>
      <c r="AO994" s="52"/>
      <c r="AP994" s="53"/>
      <c r="AQ994" s="53"/>
      <c r="AR994" s="54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4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/>
      <c r="BW994" s="52"/>
      <c r="BX994" s="52"/>
      <c r="BY994" s="52"/>
      <c r="BZ994" s="52"/>
      <c r="CA994" s="52"/>
      <c r="CB994" s="52"/>
      <c r="CC994" s="52"/>
      <c r="CD994" s="52"/>
      <c r="CE994" s="52"/>
      <c r="CF994" s="52"/>
      <c r="CG994" s="52"/>
      <c r="CH994" s="52"/>
    </row>
    <row r="995">
      <c r="K995" s="51"/>
      <c r="Y995" s="52"/>
      <c r="Z995" s="51"/>
      <c r="AA995" s="51"/>
      <c r="AK995" s="52"/>
      <c r="AL995" s="52"/>
      <c r="AM995" s="52"/>
      <c r="AN995" s="52"/>
      <c r="AO995" s="52"/>
      <c r="AP995" s="53"/>
      <c r="AQ995" s="53"/>
      <c r="AR995" s="54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4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</row>
    <row r="996">
      <c r="K996" s="51"/>
      <c r="Y996" s="52"/>
      <c r="Z996" s="51"/>
      <c r="AA996" s="51"/>
      <c r="AK996" s="52"/>
      <c r="AL996" s="52"/>
      <c r="AM996" s="52"/>
      <c r="AN996" s="52"/>
      <c r="AO996" s="52"/>
      <c r="AP996" s="53"/>
      <c r="AQ996" s="53"/>
      <c r="AR996" s="54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4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/>
      <c r="BW996" s="52"/>
      <c r="BX996" s="52"/>
      <c r="BY996" s="52"/>
      <c r="BZ996" s="52"/>
      <c r="CA996" s="52"/>
      <c r="CB996" s="52"/>
      <c r="CC996" s="52"/>
      <c r="CD996" s="52"/>
      <c r="CE996" s="52"/>
      <c r="CF996" s="52"/>
      <c r="CG996" s="52"/>
      <c r="CH996" s="52"/>
    </row>
    <row r="997">
      <c r="K997" s="51"/>
      <c r="Y997" s="52"/>
      <c r="Z997" s="51"/>
      <c r="AA997" s="51"/>
      <c r="AK997" s="52"/>
      <c r="AL997" s="52"/>
      <c r="AM997" s="52"/>
      <c r="AN997" s="52"/>
      <c r="AO997" s="52"/>
      <c r="AP997" s="53"/>
      <c r="AQ997" s="53"/>
      <c r="AR997" s="54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4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/>
      <c r="BW997" s="52"/>
      <c r="BX997" s="52"/>
      <c r="BY997" s="52"/>
      <c r="BZ997" s="52"/>
      <c r="CA997" s="52"/>
      <c r="CB997" s="52"/>
      <c r="CC997" s="52"/>
      <c r="CD997" s="52"/>
      <c r="CE997" s="52"/>
      <c r="CF997" s="52"/>
      <c r="CG997" s="52"/>
      <c r="CH997" s="52"/>
    </row>
    <row r="998">
      <c r="K998" s="51"/>
      <c r="Y998" s="52"/>
      <c r="Z998" s="51"/>
      <c r="AA998" s="51"/>
      <c r="AK998" s="52"/>
      <c r="AL998" s="52"/>
      <c r="AM998" s="52"/>
      <c r="AN998" s="52"/>
      <c r="AO998" s="52"/>
      <c r="AP998" s="53"/>
      <c r="AQ998" s="53"/>
      <c r="AR998" s="54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4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/>
      <c r="BW998" s="52"/>
      <c r="BX998" s="52"/>
      <c r="BY998" s="52"/>
      <c r="BZ998" s="52"/>
      <c r="CA998" s="52"/>
      <c r="CB998" s="52"/>
      <c r="CC998" s="52"/>
      <c r="CD998" s="52"/>
      <c r="CE998" s="52"/>
      <c r="CF998" s="52"/>
      <c r="CG998" s="52"/>
      <c r="CH998" s="52"/>
    </row>
    <row r="999">
      <c r="K999" s="51"/>
      <c r="Y999" s="52"/>
      <c r="Z999" s="51"/>
      <c r="AA999" s="51"/>
      <c r="AK999" s="52"/>
      <c r="AL999" s="52"/>
      <c r="AM999" s="52"/>
      <c r="AN999" s="52"/>
      <c r="AO999" s="52"/>
      <c r="AP999" s="53"/>
      <c r="AQ999" s="53"/>
      <c r="AR999" s="54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4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/>
      <c r="BW999" s="52"/>
      <c r="BX999" s="52"/>
      <c r="BY999" s="52"/>
      <c r="BZ999" s="52"/>
      <c r="CA999" s="52"/>
      <c r="CB999" s="52"/>
      <c r="CC999" s="52"/>
      <c r="CD999" s="52"/>
      <c r="CE999" s="52"/>
      <c r="CF999" s="52"/>
      <c r="CG999" s="52"/>
      <c r="CH999" s="52"/>
    </row>
    <row r="1000">
      <c r="K1000" s="51"/>
      <c r="Y1000" s="52"/>
      <c r="Z1000" s="51"/>
      <c r="AA1000" s="51"/>
      <c r="AK1000" s="52"/>
      <c r="AL1000" s="52"/>
      <c r="AM1000" s="52"/>
      <c r="AN1000" s="52"/>
      <c r="AO1000" s="52"/>
      <c r="AP1000" s="53"/>
      <c r="AQ1000" s="53"/>
      <c r="AR1000" s="54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4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/>
      <c r="BW1000" s="52"/>
      <c r="BX1000" s="52"/>
      <c r="BY1000" s="52"/>
      <c r="BZ1000" s="52"/>
      <c r="CA1000" s="52"/>
      <c r="CB1000" s="52"/>
      <c r="CC1000" s="52"/>
      <c r="CD1000" s="52"/>
      <c r="CE1000" s="52"/>
      <c r="CF1000" s="52"/>
      <c r="CG1000" s="52"/>
      <c r="CH1000" s="52"/>
    </row>
    <row r="1001">
      <c r="K1001" s="51"/>
      <c r="Y1001" s="52"/>
      <c r="Z1001" s="51"/>
      <c r="AA1001" s="51"/>
      <c r="AK1001" s="52"/>
      <c r="AL1001" s="52"/>
      <c r="AM1001" s="52"/>
      <c r="AN1001" s="52"/>
      <c r="AO1001" s="52"/>
      <c r="AP1001" s="53"/>
      <c r="AQ1001" s="53"/>
      <c r="AR1001" s="54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4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52"/>
      <c r="BY1001" s="52"/>
      <c r="BZ1001" s="52"/>
      <c r="CA1001" s="52"/>
      <c r="CB1001" s="52"/>
      <c r="CC1001" s="52"/>
      <c r="CD1001" s="52"/>
      <c r="CE1001" s="52"/>
      <c r="CF1001" s="52"/>
      <c r="CG1001" s="52"/>
      <c r="CH1001" s="52"/>
    </row>
    <row r="1002">
      <c r="K1002" s="51"/>
      <c r="Y1002" s="52"/>
      <c r="Z1002" s="51"/>
      <c r="AA1002" s="51"/>
      <c r="AK1002" s="52"/>
      <c r="AL1002" s="52"/>
      <c r="AM1002" s="52"/>
      <c r="AN1002" s="52"/>
      <c r="AO1002" s="52"/>
      <c r="AP1002" s="53"/>
      <c r="AQ1002" s="53"/>
      <c r="AR1002" s="54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4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/>
      <c r="BW1002" s="52"/>
      <c r="BX1002" s="52"/>
      <c r="BY1002" s="52"/>
      <c r="BZ1002" s="52"/>
      <c r="CA1002" s="52"/>
      <c r="CB1002" s="52"/>
      <c r="CC1002" s="52"/>
      <c r="CD1002" s="52"/>
      <c r="CE1002" s="52"/>
      <c r="CF1002" s="52"/>
      <c r="CG1002" s="52"/>
      <c r="CH1002" s="52"/>
    </row>
    <row r="1003">
      <c r="K1003" s="51"/>
      <c r="Y1003" s="52"/>
      <c r="Z1003" s="51"/>
      <c r="AA1003" s="51"/>
      <c r="AK1003" s="52"/>
      <c r="AL1003" s="52"/>
      <c r="AM1003" s="52"/>
      <c r="AN1003" s="52"/>
      <c r="AO1003" s="52"/>
      <c r="AP1003" s="53"/>
      <c r="AQ1003" s="53"/>
      <c r="AR1003" s="54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4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/>
      <c r="BW1003" s="52"/>
      <c r="BX1003" s="52"/>
      <c r="BY1003" s="52"/>
      <c r="BZ1003" s="52"/>
      <c r="CA1003" s="52"/>
      <c r="CB1003" s="52"/>
      <c r="CC1003" s="52"/>
      <c r="CD1003" s="52"/>
      <c r="CE1003" s="52"/>
      <c r="CF1003" s="52"/>
      <c r="CG1003" s="52"/>
      <c r="CH1003" s="52"/>
    </row>
    <row r="1004">
      <c r="K1004" s="51"/>
      <c r="Y1004" s="52"/>
      <c r="Z1004" s="51"/>
      <c r="AA1004" s="51"/>
      <c r="AK1004" s="52"/>
      <c r="AL1004" s="52"/>
      <c r="AM1004" s="52"/>
      <c r="AN1004" s="52"/>
      <c r="AO1004" s="52"/>
      <c r="AP1004" s="53"/>
      <c r="AQ1004" s="53"/>
      <c r="AR1004" s="54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4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52"/>
      <c r="BY1004" s="52"/>
      <c r="BZ1004" s="52"/>
      <c r="CA1004" s="52"/>
      <c r="CB1004" s="52"/>
      <c r="CC1004" s="52"/>
      <c r="CD1004" s="52"/>
      <c r="CE1004" s="52"/>
      <c r="CF1004" s="52"/>
      <c r="CG1004" s="52"/>
      <c r="CH1004" s="52"/>
    </row>
    <row r="1005">
      <c r="K1005" s="51"/>
      <c r="Y1005" s="52"/>
      <c r="Z1005" s="51"/>
      <c r="AA1005" s="51"/>
      <c r="AK1005" s="52"/>
      <c r="AL1005" s="52"/>
      <c r="AM1005" s="52"/>
      <c r="AN1005" s="52"/>
      <c r="AO1005" s="52"/>
      <c r="AP1005" s="53"/>
      <c r="AQ1005" s="53"/>
      <c r="AR1005" s="54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4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/>
      <c r="BW1005" s="52"/>
      <c r="BX1005" s="52"/>
      <c r="BY1005" s="52"/>
      <c r="BZ1005" s="52"/>
      <c r="CA1005" s="52"/>
      <c r="CB1005" s="52"/>
      <c r="CC1005" s="52"/>
      <c r="CD1005" s="52"/>
      <c r="CE1005" s="52"/>
      <c r="CF1005" s="52"/>
      <c r="CG1005" s="52"/>
      <c r="CH1005" s="52"/>
    </row>
    <row r="1006">
      <c r="K1006" s="51"/>
      <c r="Y1006" s="52"/>
      <c r="Z1006" s="51"/>
      <c r="AA1006" s="51"/>
      <c r="AK1006" s="52"/>
      <c r="AL1006" s="52"/>
      <c r="AM1006" s="52"/>
      <c r="AN1006" s="52"/>
      <c r="AO1006" s="52"/>
      <c r="AP1006" s="53"/>
      <c r="AQ1006" s="53"/>
      <c r="AR1006" s="54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4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  <c r="BP1006" s="52"/>
      <c r="BQ1006" s="52"/>
      <c r="BR1006" s="52"/>
      <c r="BS1006" s="52"/>
      <c r="BT1006" s="52"/>
      <c r="BU1006" s="52"/>
      <c r="BV1006" s="52"/>
      <c r="BW1006" s="52"/>
      <c r="BX1006" s="52"/>
      <c r="BY1006" s="52"/>
      <c r="BZ1006" s="52"/>
      <c r="CA1006" s="52"/>
      <c r="CB1006" s="52"/>
      <c r="CC1006" s="52"/>
      <c r="CD1006" s="52"/>
      <c r="CE1006" s="52"/>
      <c r="CF1006" s="52"/>
      <c r="CG1006" s="52"/>
      <c r="CH1006" s="52"/>
    </row>
    <row r="1007">
      <c r="K1007" s="51"/>
      <c r="Y1007" s="52"/>
      <c r="Z1007" s="51"/>
      <c r="AA1007" s="51"/>
      <c r="AK1007" s="52"/>
      <c r="AL1007" s="52"/>
      <c r="AM1007" s="52"/>
      <c r="AN1007" s="52"/>
      <c r="AO1007" s="52"/>
      <c r="AP1007" s="53"/>
      <c r="AQ1007" s="53"/>
      <c r="AR1007" s="54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4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</row>
  </sheetData>
  <mergeCells count="3">
    <mergeCell ref="B1:E1"/>
    <mergeCell ref="F1:AD1"/>
    <mergeCell ref="AE1:A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4" width="6.13"/>
    <col customWidth="1" min="5" max="5" width="8.25"/>
    <col customWidth="1" min="6" max="6" width="6.13"/>
    <col customWidth="1" min="7" max="7" width="6.88"/>
    <col customWidth="1" min="8" max="9" width="6.13"/>
    <col customWidth="1" min="10" max="10" width="8.38"/>
    <col customWidth="1" min="11" max="11" width="6.13"/>
    <col customWidth="1" min="12" max="12" width="8.63"/>
    <col customWidth="1" min="13" max="14" width="6.13"/>
    <col customWidth="1" min="15" max="15" width="8.38"/>
    <col customWidth="1" min="16" max="20" width="6.13"/>
    <col customWidth="1" min="21" max="21" width="7.63"/>
    <col customWidth="1" min="22" max="25" width="6.13"/>
    <col hidden="1" min="26" max="26" width="12.63"/>
    <col customWidth="1" min="29" max="29" width="9.13"/>
    <col customWidth="1" min="30" max="33" width="7.0"/>
    <col customWidth="1" min="34" max="36" width="6.13"/>
    <col customWidth="1" min="37" max="37" width="9.38"/>
    <col customWidth="1" min="38" max="38" width="7.0"/>
    <col customWidth="1" min="39" max="39" width="6.13"/>
    <col customWidth="1" min="40" max="40" width="5.13"/>
    <col customWidth="1" min="41" max="41" width="10.63"/>
    <col customWidth="1" min="42" max="42" width="6.13"/>
    <col customWidth="1" min="43" max="43" width="5.13"/>
    <col customWidth="1" min="44" max="44" width="7.5"/>
    <col customWidth="1" min="45" max="47" width="5.13"/>
    <col customWidth="1" min="48" max="48" width="6.63"/>
    <col customWidth="1" min="49" max="49" width="5.13"/>
    <col customWidth="1" min="50" max="50" width="7.63"/>
    <col customWidth="1" min="51" max="51" width="4.25"/>
    <col customWidth="1" min="52" max="52" width="5.5"/>
  </cols>
  <sheetData>
    <row r="1">
      <c r="E1" s="55" t="s">
        <v>141</v>
      </c>
      <c r="G1" s="63"/>
      <c r="J1" s="63"/>
      <c r="L1" s="63"/>
      <c r="O1" s="55"/>
      <c r="U1" s="63"/>
      <c r="AA1" s="64"/>
      <c r="AC1" s="55"/>
      <c r="AG1" s="63"/>
      <c r="AK1" s="63"/>
      <c r="AO1" s="55"/>
      <c r="AR1" s="55"/>
      <c r="AU1" s="63"/>
      <c r="AV1" s="63"/>
      <c r="AX1" s="63"/>
    </row>
    <row r="2">
      <c r="E2" s="63">
        <v>45593.0</v>
      </c>
      <c r="F2" s="63">
        <v>45579.0</v>
      </c>
      <c r="G2" s="63">
        <v>45565.0</v>
      </c>
      <c r="H2" s="63">
        <v>45915.0</v>
      </c>
      <c r="I2" s="63">
        <v>45901.0</v>
      </c>
      <c r="J2" s="63">
        <v>45509.0</v>
      </c>
      <c r="L2" s="63">
        <v>45481.0</v>
      </c>
      <c r="O2" s="55" t="s">
        <v>142</v>
      </c>
      <c r="U2" s="63">
        <v>45341.0</v>
      </c>
      <c r="AA2" s="64">
        <v>2024.0</v>
      </c>
      <c r="AC2" s="55" t="s">
        <v>143</v>
      </c>
      <c r="AG2" s="63">
        <v>45581.0</v>
      </c>
      <c r="AK2" s="63">
        <v>45518.0</v>
      </c>
      <c r="AO2" s="55" t="s">
        <v>144</v>
      </c>
      <c r="AR2" s="55" t="s">
        <v>145</v>
      </c>
      <c r="AU2" s="63"/>
      <c r="AV2" s="63">
        <v>45371.0</v>
      </c>
      <c r="AX2" s="63">
        <v>45342.0</v>
      </c>
    </row>
    <row r="3">
      <c r="A3" s="38" t="s">
        <v>85</v>
      </c>
      <c r="B3" s="52">
        <f>'9-22 Aralık  2024'!B2</f>
        <v>1</v>
      </c>
      <c r="C3" s="52">
        <f>'25 Kasım-8 Aralık  2024'!B2</f>
        <v>7</v>
      </c>
      <c r="D3" s="52">
        <f>'11_24 Kasım 2024'!B2</f>
        <v>9</v>
      </c>
      <c r="E3" s="52">
        <f>'30 Ekim-10 Kasım 2024'!B2</f>
        <v>5</v>
      </c>
      <c r="F3" s="52">
        <f>'14_29 Ekim 2024'!B2</f>
        <v>9</v>
      </c>
      <c r="G3" s="52">
        <f>'30 Eylül-13 Ekim 2024'!B2</f>
        <v>10</v>
      </c>
      <c r="H3" s="52">
        <f>'2-29 Eylül 2024'!B2</f>
        <v>8</v>
      </c>
      <c r="I3" s="52">
        <f>'19-30 Ağustos 2024'!B2</f>
        <v>4</v>
      </c>
      <c r="J3" s="52">
        <f>'5-18 Ağustos 2024'!B2</f>
        <v>3</v>
      </c>
      <c r="K3" s="52">
        <f>'22 Temmuz-4 Ağustos 2024'!B2</f>
        <v>5</v>
      </c>
      <c r="L3" s="52">
        <f>'8-21 Temmuz 2024'!B2</f>
        <v>5</v>
      </c>
      <c r="M3" s="52">
        <f>'17 Haziran-7 Temmuz 2024'!B2</f>
        <v>4</v>
      </c>
      <c r="N3" s="52">
        <f>'3-16 Haziran 2024'!B2</f>
        <v>4</v>
      </c>
      <c r="O3" s="52">
        <f>'20 Mayıs-2 Haziran 2024'!B2</f>
        <v>1</v>
      </c>
      <c r="P3" s="52">
        <f>'6-19 MAYIS'!B2</f>
        <v>8</v>
      </c>
      <c r="Q3" s="52">
        <f>'22 NİSAN-5 MAYIS'!B2</f>
        <v>6</v>
      </c>
      <c r="R3" s="52">
        <f>'1-21 Nisan 2024'!B2</f>
        <v>4</v>
      </c>
      <c r="S3" s="52">
        <f>'18-31 Mart 2024'!B2</f>
        <v>3</v>
      </c>
      <c r="T3" s="52">
        <f>'4-17 Mart 2024'!B2</f>
        <v>6</v>
      </c>
      <c r="U3" s="52">
        <f>'19 şubat-3 Mart 2024'!B2</f>
        <v>13</v>
      </c>
      <c r="V3" s="52">
        <f>'5 şubat-18 Şubat 2024'!B2</f>
        <v>9</v>
      </c>
      <c r="W3" s="52">
        <f>'22 Ocak-4 Şubat 2024'!B2</f>
        <v>12</v>
      </c>
      <c r="X3" s="52">
        <f>'8 Ocak-21 Ocak 2024'!B2</f>
        <v>6</v>
      </c>
      <c r="Y3" s="52">
        <f>'25Aralık 2023-7 Ocak 2024'!B2</f>
        <v>1</v>
      </c>
      <c r="AA3" s="65">
        <f t="shared" ref="AA3:AA8" si="1">SUM(D3:Y3)</f>
        <v>135</v>
      </c>
      <c r="AC3" s="52">
        <f>'11 Aralık-24Aralık 2023'!B2</f>
        <v>7</v>
      </c>
      <c r="AD3" s="52">
        <f>'27 Kasım-10 Aralık'!B2</f>
        <v>5</v>
      </c>
      <c r="AE3" s="52">
        <f>'13 Kasım-26 Kasım'!B2</f>
        <v>11</v>
      </c>
      <c r="AF3" s="52">
        <f>'30 Ekim-12 Kasım'!B2</f>
        <v>14</v>
      </c>
      <c r="AG3" s="52">
        <f>'16-29 Ekim'!B2</f>
        <v>5</v>
      </c>
      <c r="AH3" s="52">
        <f>'2 Ekim-15 Ekim 2023 '!B2</f>
        <v>7</v>
      </c>
      <c r="AI3" s="52">
        <f>'18 Eylül-1 Ekim 2023'!B2</f>
        <v>4</v>
      </c>
      <c r="AJ3" s="52">
        <f>'28 Ağustos-17 Eylül 2023'!B2</f>
        <v>5</v>
      </c>
      <c r="AK3" s="52">
        <f>'14-27 Ağustos'!B2</f>
        <v>8</v>
      </c>
      <c r="AL3" s="52">
        <f>'31 Temmuz-13 Ağustos'!B2</f>
        <v>13</v>
      </c>
      <c r="AM3" s="52">
        <f>'17 Temmuz-30 Temmuz 2023'!B2</f>
        <v>8</v>
      </c>
      <c r="AN3" s="52">
        <f>'26 Haziran-16Temmuz 2023'!B2</f>
        <v>9</v>
      </c>
      <c r="AO3" s="52">
        <f>'12-25 Haziran 2023'!B2</f>
        <v>11</v>
      </c>
      <c r="AP3" s="52">
        <f>'29 mayıs-11 Haziran 2023'!B2</f>
        <v>6</v>
      </c>
      <c r="AQ3" s="52">
        <f>'15 mayıs-28 mayıs 2023'!B2</f>
        <v>10</v>
      </c>
      <c r="AR3" s="52">
        <f>'2 mayıs-14 mayıs 2023'!B2</f>
        <v>13</v>
      </c>
      <c r="AS3" s="52">
        <f>'17 nisan-1 mayıs 2023'!B2</f>
        <v>5</v>
      </c>
      <c r="AT3" s="52">
        <f>'17 nisan-1 mayıs 2023'!B2</f>
        <v>5</v>
      </c>
      <c r="AU3" s="52">
        <f>'3-16 nisan 2023'!B2</f>
        <v>2</v>
      </c>
      <c r="AV3" s="52">
        <f>'20 Mart-2 nisan 2023'!B2</f>
        <v>5</v>
      </c>
      <c r="AW3" s="52">
        <f>'6 mart-19 mart 2023'!B2</f>
        <v>12</v>
      </c>
      <c r="AX3" s="52">
        <f>'20 şubat-5 mart 2023'!B2</f>
        <v>9</v>
      </c>
      <c r="AY3" s="66">
        <f>'23 ocak-17 şubat'!B2</f>
        <v>16</v>
      </c>
      <c r="AZ3" s="66">
        <f>'26 aralık-20 ocak'!B2</f>
        <v>11</v>
      </c>
      <c r="BB3" s="52">
        <f t="shared" ref="BB3:BB12" si="2">SUM(AC3:AZ3)</f>
        <v>201</v>
      </c>
    </row>
    <row r="4">
      <c r="A4" s="38" t="s">
        <v>86</v>
      </c>
      <c r="B4" s="52">
        <f>'9-22 Aralık  2024'!B3</f>
        <v>3</v>
      </c>
      <c r="C4" s="52">
        <f>'25 Kasım-8 Aralık  2024'!B3</f>
        <v>6</v>
      </c>
      <c r="D4" s="52">
        <f>'11_24 Kasım 2024'!B3</f>
        <v>10</v>
      </c>
      <c r="E4" s="52">
        <f>'30 Ekim-10 Kasım 2024'!B3</f>
        <v>5</v>
      </c>
      <c r="F4" s="52">
        <f>'14_29 Ekim 2024'!B3</f>
        <v>8</v>
      </c>
      <c r="G4" s="52">
        <f>'30 Eylül-13 Ekim 2024'!B3</f>
        <v>2</v>
      </c>
      <c r="H4" s="52">
        <f>'2-29 Eylül 2024'!B3</f>
        <v>8</v>
      </c>
      <c r="I4" s="52">
        <f>'19-30 Ağustos 2024'!B3</f>
        <v>4</v>
      </c>
      <c r="J4" s="52">
        <f>'5-18 Ağustos 2024'!B3</f>
        <v>3</v>
      </c>
      <c r="K4" s="52">
        <f>'22 Temmuz-4 Ağustos 2024'!B3</f>
        <v>1</v>
      </c>
      <c r="L4" s="52">
        <f>'8-21 Temmuz 2024'!B3</f>
        <v>1</v>
      </c>
      <c r="M4" s="52">
        <f>'17 Haziran-7 Temmuz 2024'!B3</f>
        <v>1</v>
      </c>
      <c r="N4" s="52">
        <f>'3-16 Haziran 2024'!B3</f>
        <v>6</v>
      </c>
      <c r="O4" s="52">
        <f>'20 Mayıs-2 Haziran 2024'!B3</f>
        <v>3</v>
      </c>
      <c r="P4" s="52">
        <f>'6-19 MAYIS'!B3</f>
        <v>4</v>
      </c>
      <c r="Q4" s="52">
        <f>'22 NİSAN-5 MAYIS'!B3</f>
        <v>3</v>
      </c>
      <c r="R4" s="52">
        <f>'1-21 Nisan 2024'!B3</f>
        <v>4</v>
      </c>
      <c r="S4" s="52">
        <f>'18-31 Mart 2024'!B3</f>
        <v>1</v>
      </c>
      <c r="T4" s="52">
        <f>'4-17 Mart 2024'!B3</f>
        <v>4</v>
      </c>
      <c r="U4" s="52">
        <f>'19 şubat-3 Mart 2024'!B3</f>
        <v>4</v>
      </c>
      <c r="V4" s="52">
        <f>'5 şubat-18 Şubat 2024'!B3</f>
        <v>1</v>
      </c>
      <c r="W4" s="52">
        <f>'22 Ocak-4 Şubat 2024'!B3</f>
        <v>2</v>
      </c>
      <c r="X4" s="52">
        <f>'8 Ocak-21 Ocak 2024'!B3</f>
        <v>4</v>
      </c>
      <c r="Y4" s="52">
        <f>'25Aralık 2023-7 Ocak 2024'!B3</f>
        <v>3</v>
      </c>
      <c r="AA4" s="65">
        <f t="shared" si="1"/>
        <v>82</v>
      </c>
      <c r="AC4" s="52">
        <f>'11 Aralık-24Aralık 2023'!B3</f>
        <v>6</v>
      </c>
      <c r="AD4" s="52">
        <f>'27 Kasım-10 Aralık'!B3</f>
        <v>2</v>
      </c>
      <c r="AE4" s="52">
        <f>'13 Kasım-26 Kasım'!B3</f>
        <v>5</v>
      </c>
      <c r="AF4" s="52">
        <f>'30 Ekim-12 Kasım'!B3</f>
        <v>4</v>
      </c>
      <c r="AG4" s="52">
        <f>'16-29 Ekim'!B3</f>
        <v>7</v>
      </c>
      <c r="AH4" s="52">
        <f>'2 Ekim-15 Ekim 2023 '!B3</f>
        <v>0</v>
      </c>
      <c r="AI4" s="52">
        <f>'18 Eylül-1 Ekim 2023'!B3</f>
        <v>4</v>
      </c>
      <c r="AJ4" s="52">
        <f>'28 Ağustos-17 Eylül 2023'!B3</f>
        <v>3</v>
      </c>
      <c r="AK4" s="52">
        <f>'14-27 Ağustos'!B3</f>
        <v>6</v>
      </c>
      <c r="AL4" s="52">
        <f>'31 Temmuz-13 Ağustos'!B3</f>
        <v>9</v>
      </c>
      <c r="AM4" s="52">
        <f>'17 Temmuz-30 Temmuz 2023'!B3</f>
        <v>4</v>
      </c>
      <c r="AN4" s="52">
        <f>'26 Haziran-16Temmuz 2023'!B3</f>
        <v>3</v>
      </c>
      <c r="AO4" s="52">
        <f>'12-25 Haziran 2023'!B3</f>
        <v>7</v>
      </c>
      <c r="AP4" s="52">
        <f>'29 mayıs-11 Haziran 2023'!B3</f>
        <v>8</v>
      </c>
      <c r="AQ4" s="52">
        <f>'15 mayıs-28 mayıs 2023'!B3</f>
        <v>10</v>
      </c>
      <c r="AR4" s="52">
        <f>'2 mayıs-14 mayıs 2023'!B3</f>
        <v>5</v>
      </c>
      <c r="AS4" s="52">
        <f>'17 nisan-1 mayıs 2023'!B3</f>
        <v>8</v>
      </c>
      <c r="AT4" s="52">
        <f>'17 nisan-1 mayıs 2023'!B3</f>
        <v>8</v>
      </c>
      <c r="AU4" s="52">
        <f>'3-16 nisan 2023'!B3</f>
        <v>11</v>
      </c>
      <c r="AV4" s="52">
        <f>'20 Mart-2 nisan 2023'!B3</f>
        <v>8</v>
      </c>
      <c r="AW4" s="52">
        <f>'6 mart-19 mart 2023'!B3</f>
        <v>6</v>
      </c>
      <c r="AX4" s="52">
        <f>'20 şubat-5 mart 2023'!B3</f>
        <v>11</v>
      </c>
      <c r="AY4" s="66">
        <f>'23 ocak-17 şubat'!B3</f>
        <v>24</v>
      </c>
      <c r="AZ4" s="66">
        <f>'26 aralık-20 ocak'!B3</f>
        <v>18</v>
      </c>
      <c r="BB4" s="52">
        <f t="shared" si="2"/>
        <v>177</v>
      </c>
    </row>
    <row r="5">
      <c r="A5" s="38" t="s">
        <v>88</v>
      </c>
      <c r="B5" s="52">
        <f>'9-22 Aralık  2024'!B4</f>
        <v>16</v>
      </c>
      <c r="C5" s="52">
        <f>'25 Kasım-8 Aralık  2024'!B4</f>
        <v>15</v>
      </c>
      <c r="D5" s="52">
        <f>'11_24 Kasım 2024'!B4</f>
        <v>13</v>
      </c>
      <c r="E5" s="52">
        <f>'30 Ekim-10 Kasım 2024'!B4</f>
        <v>5</v>
      </c>
      <c r="F5" s="52">
        <f>'14_29 Ekim 2024'!B4</f>
        <v>17</v>
      </c>
      <c r="G5" s="52">
        <f>'30 Eylül-13 Ekim 2024'!B4</f>
        <v>16</v>
      </c>
      <c r="H5" s="52">
        <f>'2-29 Eylül 2024'!B4</f>
        <v>10</v>
      </c>
      <c r="I5" s="52">
        <f>'19-30 Ağustos 2024'!B4</f>
        <v>10</v>
      </c>
      <c r="J5" s="52">
        <f>'5-18 Ağustos 2024'!B4</f>
        <v>9</v>
      </c>
      <c r="K5" s="52">
        <f>'22 Temmuz-4 Ağustos 2024'!B4</f>
        <v>16</v>
      </c>
      <c r="L5" s="52">
        <f>'8-21 Temmuz 2024'!B4</f>
        <v>21</v>
      </c>
      <c r="M5" s="52">
        <f>'17 Haziran-7 Temmuz 2024'!B4</f>
        <v>13</v>
      </c>
      <c r="N5" s="52">
        <f>'3-16 Haziran 2024'!B4</f>
        <v>17</v>
      </c>
      <c r="O5" s="52">
        <f>'20 Mayıs-2 Haziran 2024'!B4</f>
        <v>9</v>
      </c>
      <c r="P5" s="52">
        <f>'6-19 MAYIS'!B4</f>
        <v>12</v>
      </c>
      <c r="Q5" s="52">
        <f>'22 NİSAN-5 MAYIS'!B4</f>
        <v>12</v>
      </c>
      <c r="R5" s="52">
        <f>'1-21 Nisan 2024'!B4</f>
        <v>6</v>
      </c>
      <c r="S5" s="52">
        <f>'18-31 Mart 2024'!B4</f>
        <v>18</v>
      </c>
      <c r="T5" s="52">
        <f>'4-17 Mart 2024'!B4</f>
        <v>15</v>
      </c>
      <c r="U5" s="52">
        <f>'19 şubat-3 Mart 2024'!B4</f>
        <v>13</v>
      </c>
      <c r="V5" s="52">
        <f>'5 şubat-18 Şubat 2024'!B4</f>
        <v>10</v>
      </c>
      <c r="W5" s="52">
        <f>'22 Ocak-4 Şubat 2024'!B4</f>
        <v>15</v>
      </c>
      <c r="X5" s="52">
        <f>'8 Ocak-21 Ocak 2024'!B4</f>
        <v>14</v>
      </c>
      <c r="Y5" s="52">
        <f>'25Aralık 2023-7 Ocak 2024'!B4</f>
        <v>9</v>
      </c>
      <c r="AA5" s="65">
        <f t="shared" si="1"/>
        <v>280</v>
      </c>
      <c r="AC5" s="52">
        <f>'11 Aralık-24Aralık 2023'!B4</f>
        <v>11</v>
      </c>
      <c r="AD5" s="52">
        <f>'27 Kasım-10 Aralık'!B4</f>
        <v>17</v>
      </c>
      <c r="AE5" s="52">
        <f>'13 Kasım-26 Kasım'!B4</f>
        <v>14</v>
      </c>
      <c r="AF5" s="52">
        <f>'30 Ekim-12 Kasım'!B4</f>
        <v>15</v>
      </c>
      <c r="AG5" s="52">
        <f>'16-29 Ekim'!B4</f>
        <v>5</v>
      </c>
      <c r="AH5" s="52">
        <f>'2 Ekim-15 Ekim 2023 '!B4</f>
        <v>4</v>
      </c>
      <c r="AI5" s="52">
        <f>'18 Eylül-1 Ekim 2023'!B4</f>
        <v>8</v>
      </c>
      <c r="AJ5" s="52">
        <f>'28 Ağustos-17 Eylül 2023'!B4</f>
        <v>11</v>
      </c>
      <c r="AK5" s="52">
        <f>'14-27 Ağustos'!B4</f>
        <v>10</v>
      </c>
      <c r="AL5" s="52">
        <f>'31 Temmuz-13 Ağustos'!B4</f>
        <v>8</v>
      </c>
      <c r="AM5" s="52">
        <f>'17 Temmuz-30 Temmuz 2023'!B4</f>
        <v>14</v>
      </c>
      <c r="AN5" s="52">
        <f>'26 Haziran-16Temmuz 2023'!B4</f>
        <v>13</v>
      </c>
      <c r="AO5" s="52">
        <f>'12-25 Haziran 2023'!B4</f>
        <v>13</v>
      </c>
      <c r="AP5" s="52">
        <f>'29 mayıs-11 Haziran 2023'!B4</f>
        <v>11</v>
      </c>
      <c r="AQ5" s="52">
        <f>'15 mayıs-28 mayıs 2023'!B4</f>
        <v>14</v>
      </c>
      <c r="AR5" s="52">
        <f>'2 mayıs-14 mayıs 2023'!B4</f>
        <v>10</v>
      </c>
      <c r="AS5" s="52">
        <f>'17 nisan-1 mayıs 2023'!B4</f>
        <v>9</v>
      </c>
      <c r="AT5" s="52">
        <f>'17 nisan-1 mayıs 2023'!B4</f>
        <v>9</v>
      </c>
      <c r="AU5" s="52">
        <f>'3-16 nisan 2023'!B4</f>
        <v>17</v>
      </c>
      <c r="AV5" s="52">
        <f>'20 Mart-2 nisan 2023'!B4</f>
        <v>6</v>
      </c>
      <c r="AW5" s="52">
        <f>'6 mart-19 mart 2023'!B4</f>
        <v>13</v>
      </c>
      <c r="AX5" s="52">
        <f>'20 şubat-5 mart 2023'!B4</f>
        <v>18</v>
      </c>
      <c r="AY5" s="66">
        <f>'23 ocak-17 şubat'!B4</f>
        <v>24</v>
      </c>
      <c r="AZ5" s="66">
        <f>'26 aralık-20 ocak'!B4</f>
        <v>15</v>
      </c>
      <c r="BB5" s="52">
        <f t="shared" si="2"/>
        <v>289</v>
      </c>
    </row>
    <row r="6">
      <c r="A6" s="38" t="s">
        <v>90</v>
      </c>
      <c r="B6" s="52">
        <f>'9-22 Aralık  2024'!B5</f>
        <v>5</v>
      </c>
      <c r="C6" s="52">
        <f>'25 Kasım-8 Aralık  2024'!B5</f>
        <v>5</v>
      </c>
      <c r="D6" s="52">
        <f>'11_24 Kasım 2024'!B5</f>
        <v>12</v>
      </c>
      <c r="E6" s="52">
        <f>'30 Ekim-10 Kasım 2024'!B5</f>
        <v>12</v>
      </c>
      <c r="F6" s="52">
        <f>'14_29 Ekim 2024'!B5</f>
        <v>16</v>
      </c>
      <c r="G6" s="52">
        <f>'30 Eylül-13 Ekim 2024'!B5</f>
        <v>9</v>
      </c>
      <c r="H6" s="52">
        <f>'2-29 Eylül 2024'!B5</f>
        <v>23</v>
      </c>
      <c r="I6" s="52">
        <f>'19-30 Ağustos 2024'!B5</f>
        <v>2</v>
      </c>
      <c r="J6" s="52">
        <f>'5-18 Ağustos 2024'!B5</f>
        <v>5</v>
      </c>
      <c r="K6" s="52">
        <f>'22 Temmuz-4 Ağustos 2024'!B5</f>
        <v>12</v>
      </c>
      <c r="L6" s="52">
        <f>'8-21 Temmuz 2024'!B5</f>
        <v>8</v>
      </c>
      <c r="M6" s="52">
        <f>'17 Haziran-7 Temmuz 2024'!B5</f>
        <v>5</v>
      </c>
      <c r="N6" s="52">
        <f>'3-16 Haziran 2024'!B5</f>
        <v>2</v>
      </c>
      <c r="O6" s="52">
        <f>'20 Mayıs-2 Haziran 2024'!B5</f>
        <v>1</v>
      </c>
      <c r="P6" s="52">
        <f>'6-19 MAYIS'!B5</f>
        <v>5</v>
      </c>
      <c r="Q6" s="52">
        <f>'22 NİSAN-5 MAYIS'!B5</f>
        <v>2</v>
      </c>
      <c r="R6" s="52">
        <f>'1-21 Nisan 2024'!B5</f>
        <v>6</v>
      </c>
      <c r="S6" s="52">
        <f>'18-31 Mart 2024'!B5</f>
        <v>6</v>
      </c>
      <c r="T6" s="52">
        <f>'4-17 Mart 2024'!B5</f>
        <v>4</v>
      </c>
      <c r="U6" s="52">
        <f>'19 şubat-3 Mart 2024'!B5</f>
        <v>6</v>
      </c>
      <c r="V6" s="52">
        <f>'5 şubat-18 Şubat 2024'!B5</f>
        <v>7</v>
      </c>
      <c r="W6" s="52">
        <f>'22 Ocak-4 Şubat 2024'!B5</f>
        <v>2</v>
      </c>
      <c r="X6" s="52">
        <f>'8 Ocak-21 Ocak 2024'!B5</f>
        <v>6</v>
      </c>
      <c r="Y6" s="52">
        <f>'25Aralık 2023-7 Ocak 2024'!B5</f>
        <v>7</v>
      </c>
      <c r="AA6" s="65">
        <f t="shared" si="1"/>
        <v>158</v>
      </c>
      <c r="AC6" s="52">
        <f>'11 Aralık-24Aralık 2023'!B5</f>
        <v>4</v>
      </c>
      <c r="AD6" s="52">
        <f>'27 Kasım-10 Aralık'!B5</f>
        <v>7</v>
      </c>
      <c r="AE6" s="52">
        <f>'13 Kasım-26 Kasım'!B5</f>
        <v>1</v>
      </c>
      <c r="AF6" s="52">
        <f>'30 Ekim-12 Kasım'!B5</f>
        <v>8</v>
      </c>
      <c r="AG6" s="52">
        <f>'16-29 Ekim'!B5</f>
        <v>8</v>
      </c>
      <c r="AH6" s="52">
        <f>'2 Ekim-15 Ekim 2023 '!B5</f>
        <v>6</v>
      </c>
      <c r="AI6" s="52">
        <f>'18 Eylül-1 Ekim 2023'!B5</f>
        <v>8</v>
      </c>
      <c r="AJ6" s="52">
        <f>'28 Ağustos-17 Eylül 2023'!B5</f>
        <v>5</v>
      </c>
      <c r="AK6" s="52">
        <f>'14-27 Ağustos'!B5</f>
        <v>2</v>
      </c>
      <c r="AL6" s="52">
        <f>'31 Temmuz-13 Ağustos'!B5</f>
        <v>5</v>
      </c>
      <c r="AM6" s="52">
        <f>'17 Temmuz-30 Temmuz 2023'!B5</f>
        <v>4</v>
      </c>
      <c r="AN6" s="52">
        <f>'26 Haziran-16Temmuz 2023'!B5</f>
        <v>7</v>
      </c>
      <c r="AO6" s="52">
        <f>'12-25 Haziran 2023'!B5</f>
        <v>4</v>
      </c>
      <c r="AP6" s="52">
        <f>'29 mayıs-11 Haziran 2023'!B5</f>
        <v>12</v>
      </c>
      <c r="AQ6" s="52">
        <f>'15 mayıs-28 mayıs 2023'!B5</f>
        <v>8</v>
      </c>
      <c r="AR6" s="52">
        <f>'2 mayıs-14 mayıs 2023'!B5</f>
        <v>14</v>
      </c>
      <c r="AS6" s="52">
        <f>'17 nisan-1 mayıs 2023'!B5</f>
        <v>8</v>
      </c>
      <c r="AT6" s="52">
        <f>'17 nisan-1 mayıs 2023'!B5</f>
        <v>8</v>
      </c>
      <c r="AU6" s="52">
        <f>'3-16 nisan 2023'!B5</f>
        <v>5</v>
      </c>
      <c r="AV6" s="52">
        <f>'20 Mart-2 nisan 2023'!B5</f>
        <v>6</v>
      </c>
      <c r="AW6" s="52">
        <f>'6 mart-19 mart 2023'!B5</f>
        <v>10</v>
      </c>
      <c r="AX6" s="52">
        <f>'20 şubat-5 mart 2023'!B5</f>
        <v>6</v>
      </c>
      <c r="AY6" s="66">
        <f>'23 ocak-17 şubat'!B5</f>
        <v>16</v>
      </c>
      <c r="AZ6" s="66">
        <f>'26 aralık-20 ocak'!B5</f>
        <v>19</v>
      </c>
      <c r="BB6" s="52">
        <f t="shared" si="2"/>
        <v>181</v>
      </c>
    </row>
    <row r="7">
      <c r="A7" s="38" t="s">
        <v>91</v>
      </c>
      <c r="B7" s="52">
        <f>'9-22 Aralık  2024'!B6</f>
        <v>8</v>
      </c>
      <c r="C7" s="52">
        <f>'25 Kasım-8 Aralık  2024'!B6</f>
        <v>11</v>
      </c>
      <c r="D7" s="52">
        <f>'11_24 Kasım 2024'!B6</f>
        <v>14</v>
      </c>
      <c r="E7" s="52">
        <f>'30 Ekim-10 Kasım 2024'!B6</f>
        <v>13</v>
      </c>
      <c r="F7" s="52">
        <f>'14_29 Ekim 2024'!B6</f>
        <v>9</v>
      </c>
      <c r="G7" s="52">
        <f>'30 Eylül-13 Ekim 2024'!B6</f>
        <v>11</v>
      </c>
      <c r="H7" s="52">
        <f>'2-29 Eylül 2024'!B6</f>
        <v>11</v>
      </c>
      <c r="I7" s="52">
        <f>'19-30 Ağustos 2024'!B6</f>
        <v>5</v>
      </c>
      <c r="J7" s="52">
        <f>'5-18 Ağustos 2024'!B6</f>
        <v>9</v>
      </c>
      <c r="K7" s="52">
        <f>'22 Temmuz-4 Ağustos 2024'!B6</f>
        <v>8</v>
      </c>
      <c r="L7" s="52">
        <f>'8-21 Temmuz 2024'!B6</f>
        <v>12</v>
      </c>
      <c r="M7" s="52">
        <f>'17 Haziran-7 Temmuz 2024'!B6</f>
        <v>5</v>
      </c>
      <c r="N7" s="52">
        <f>'3-16 Haziran 2024'!B6</f>
        <v>12</v>
      </c>
      <c r="O7" s="52">
        <f>'20 Mayıs-2 Haziran 2024'!B6</f>
        <v>9</v>
      </c>
      <c r="P7" s="52">
        <f>'6-19 MAYIS'!B6</f>
        <v>11</v>
      </c>
      <c r="Q7" s="52">
        <f>'22 NİSAN-5 MAYIS'!B6</f>
        <v>10</v>
      </c>
      <c r="R7" s="52">
        <f>'1-21 Nisan 2024'!B6</f>
        <v>16</v>
      </c>
      <c r="S7" s="52">
        <f>'18-31 Mart 2024'!B6</f>
        <v>8</v>
      </c>
      <c r="T7" s="52">
        <f>'4-17 Mart 2024'!B6</f>
        <v>17</v>
      </c>
      <c r="U7" s="52">
        <f>'19 şubat-3 Mart 2024'!B6</f>
        <v>11</v>
      </c>
      <c r="V7" s="52">
        <f>'5 şubat-18 Şubat 2024'!B6</f>
        <v>9</v>
      </c>
      <c r="W7" s="52">
        <f>'22 Ocak-4 Şubat 2024'!B6</f>
        <v>17</v>
      </c>
      <c r="X7" s="52">
        <f>'8 Ocak-21 Ocak 2024'!B6</f>
        <v>11</v>
      </c>
      <c r="Y7" s="52">
        <f>'25Aralık 2023-7 Ocak 2024'!B6</f>
        <v>18</v>
      </c>
      <c r="AA7" s="65">
        <f t="shared" si="1"/>
        <v>246</v>
      </c>
      <c r="AC7" s="52">
        <f>'11 Aralık-24Aralık 2023'!B6</f>
        <v>9</v>
      </c>
      <c r="AD7" s="52">
        <f>'27 Kasım-10 Aralık'!B6</f>
        <v>16</v>
      </c>
      <c r="AE7" s="52">
        <f>'13 Kasım-26 Kasım'!B6</f>
        <v>12</v>
      </c>
      <c r="AF7" s="52">
        <f>'30 Ekim-12 Kasım'!B6</f>
        <v>16</v>
      </c>
      <c r="AG7" s="52">
        <f>'16-29 Ekim'!B6</f>
        <v>7</v>
      </c>
      <c r="AH7" s="52">
        <f>'2 Ekim-15 Ekim 2023 '!B6</f>
        <v>2</v>
      </c>
      <c r="AI7" s="52">
        <f>'18 Eylül-1 Ekim 2023'!B6</f>
        <v>9</v>
      </c>
      <c r="AJ7" s="52">
        <f>'28 Ağustos-17 Eylül 2023'!B6</f>
        <v>12</v>
      </c>
      <c r="AK7" s="52">
        <f>'14-27 Ağustos'!B6</f>
        <v>7</v>
      </c>
      <c r="AL7" s="52">
        <f>'31 Temmuz-13 Ağustos'!B6</f>
        <v>7</v>
      </c>
      <c r="AM7" s="52">
        <f>'17 Temmuz-30 Temmuz 2023'!B6</f>
        <v>1</v>
      </c>
      <c r="AN7" s="52">
        <f>'26 Haziran-16Temmuz 2023'!B6</f>
        <v>12</v>
      </c>
      <c r="AO7" s="52">
        <f>'12-25 Haziran 2023'!B6</f>
        <v>15</v>
      </c>
      <c r="AP7" s="52">
        <f>'29 mayıs-11 Haziran 2023'!B6</f>
        <v>14</v>
      </c>
      <c r="AQ7" s="52">
        <f>'15 mayıs-28 mayıs 2023'!B6</f>
        <v>15</v>
      </c>
      <c r="AR7" s="52">
        <f>'2 mayıs-14 mayıs 2023'!B6</f>
        <v>10</v>
      </c>
      <c r="AS7" s="52">
        <f>'17 nisan-1 mayıs 2023'!B6</f>
        <v>7</v>
      </c>
      <c r="AT7" s="52">
        <f>'17 nisan-1 mayıs 2023'!B6</f>
        <v>7</v>
      </c>
      <c r="AU7" s="52">
        <f>'3-16 nisan 2023'!B6</f>
        <v>7</v>
      </c>
      <c r="AV7" s="52">
        <f>'20 Mart-2 nisan 2023'!B6</f>
        <v>5</v>
      </c>
      <c r="AW7" s="52">
        <f>'6 mart-19 mart 2023'!B6</f>
        <v>16</v>
      </c>
      <c r="AX7" s="52">
        <f>'20 şubat-5 mart 2023'!B6</f>
        <v>14</v>
      </c>
      <c r="AY7" s="66">
        <f>'23 ocak-17 şubat'!B6</f>
        <v>18</v>
      </c>
      <c r="AZ7" s="66">
        <f>'26 aralık-20 ocak'!B6</f>
        <v>20</v>
      </c>
      <c r="BB7" s="52">
        <f t="shared" si="2"/>
        <v>258</v>
      </c>
    </row>
    <row r="8">
      <c r="A8" s="38" t="s">
        <v>94</v>
      </c>
      <c r="B8" s="52">
        <f>'9-22 Aralık  2024'!B7</f>
        <v>9</v>
      </c>
      <c r="C8" s="52">
        <f>'25 Kasım-8 Aralık  2024'!B7</f>
        <v>3</v>
      </c>
      <c r="D8" s="52">
        <f>'11_24 Kasım 2024'!B7</f>
        <v>8</v>
      </c>
      <c r="E8" s="52">
        <f>'30 Ekim-10 Kasım 2024'!B7</f>
        <v>13</v>
      </c>
      <c r="F8" s="52">
        <f>'14_29 Ekim 2024'!B7</f>
        <v>12</v>
      </c>
      <c r="G8" s="52">
        <f>'30 Eylül-13 Ekim 2024'!B7</f>
        <v>3</v>
      </c>
      <c r="H8" s="52">
        <f>'2-29 Eylül 2024'!B7</f>
        <v>5</v>
      </c>
      <c r="I8" s="52">
        <f>'19-30 Ağustos 2024'!B7</f>
        <v>8</v>
      </c>
      <c r="J8" s="52">
        <f>'5-18 Ağustos 2024'!B7</f>
        <v>13</v>
      </c>
      <c r="K8" s="52">
        <f>'22 Temmuz-4 Ağustos 2024'!B7</f>
        <v>3</v>
      </c>
      <c r="L8" s="52">
        <f>'8-21 Temmuz 2024'!B7</f>
        <v>2</v>
      </c>
      <c r="M8" s="52">
        <f>'17 Haziran-7 Temmuz 2024'!B7</f>
        <v>5</v>
      </c>
      <c r="N8" s="52">
        <f>'3-16 Haziran 2024'!B7</f>
        <v>5</v>
      </c>
      <c r="O8" s="52">
        <f>'20 Mayıs-2 Haziran 2024'!B7</f>
        <v>1</v>
      </c>
      <c r="P8" s="52">
        <f>'6-19 MAYIS'!B7</f>
        <v>4</v>
      </c>
      <c r="Q8" s="52">
        <f>'22 NİSAN-5 MAYIS'!B7</f>
        <v>7</v>
      </c>
      <c r="R8" s="52">
        <f>'1-21 Nisan 2024'!B7</f>
        <v>12</v>
      </c>
      <c r="S8" s="52">
        <f>'18-31 Mart 2024'!B7</f>
        <v>16</v>
      </c>
      <c r="T8" s="52">
        <f>'4-17 Mart 2024'!B7</f>
        <v>7</v>
      </c>
      <c r="U8" s="52">
        <f>'19 şubat-3 Mart 2024'!B7</f>
        <v>9</v>
      </c>
      <c r="V8" s="52">
        <f>'5 şubat-18 Şubat 2024'!B7</f>
        <v>4</v>
      </c>
      <c r="W8" s="52">
        <f>'22 Ocak-4 Şubat 2024'!B7</f>
        <v>10</v>
      </c>
      <c r="X8" s="52">
        <f>'8 Ocak-21 Ocak 2024'!B7</f>
        <v>7</v>
      </c>
      <c r="Y8" s="52">
        <f>'25Aralık 2023-7 Ocak 2024'!B7</f>
        <v>8</v>
      </c>
      <c r="AA8" s="65">
        <f t="shared" si="1"/>
        <v>162</v>
      </c>
      <c r="AC8" s="52">
        <f>'11 Aralık-24Aralık 2023'!B7</f>
        <v>8</v>
      </c>
      <c r="AD8" s="52">
        <f>'27 Kasım-10 Aralık'!B7</f>
        <v>10</v>
      </c>
      <c r="AE8" s="52">
        <f>'13 Kasım-26 Kasım'!B7</f>
        <v>6</v>
      </c>
      <c r="AF8" s="52">
        <f>'30 Ekim-12 Kasım'!B7</f>
        <v>5</v>
      </c>
      <c r="AG8" s="52">
        <f>'16-29 Ekim'!B7</f>
        <v>4</v>
      </c>
      <c r="AH8" s="52">
        <f>'2 Ekim-15 Ekim 2023 '!B7</f>
        <v>7</v>
      </c>
      <c r="AI8" s="52">
        <f>'18 Eylül-1 Ekim 2023'!B7</f>
        <v>6</v>
      </c>
      <c r="AJ8" s="52">
        <f>'28 Ağustos-17 Eylül 2023'!B7</f>
        <v>4</v>
      </c>
      <c r="AK8" s="52">
        <f>'14-27 Ağustos'!B7</f>
        <v>9</v>
      </c>
      <c r="AL8" s="52">
        <f>'31 Temmuz-13 Ağustos'!B7</f>
        <v>6</v>
      </c>
      <c r="AM8" s="52">
        <f>'17 Temmuz-30 Temmuz 2023'!B7</f>
        <v>10</v>
      </c>
      <c r="AN8" s="52">
        <f>'26 Haziran-16Temmuz 2023'!B7</f>
        <v>11</v>
      </c>
      <c r="AO8" s="52">
        <f>'12-25 Haziran 2023'!B7</f>
        <v>5</v>
      </c>
      <c r="AP8" s="52">
        <f>'29 mayıs-11 Haziran 2023'!B7</f>
        <v>5</v>
      </c>
      <c r="AQ8" s="52">
        <f>'15 mayıs-28 mayıs 2023'!B7</f>
        <v>6</v>
      </c>
      <c r="AR8" s="52">
        <f>'2 mayıs-14 mayıs 2023'!B7</f>
        <v>9</v>
      </c>
      <c r="AS8" s="52">
        <f>'17 nisan-1 mayıs 2023'!B7</f>
        <v>4</v>
      </c>
      <c r="AT8" s="52">
        <f>'17 nisan-1 mayıs 2023'!B7</f>
        <v>4</v>
      </c>
      <c r="AU8" s="52">
        <f>'3-16 nisan 2023'!B7</f>
        <v>12</v>
      </c>
      <c r="AV8" s="52">
        <f>'20 Mart-2 nisan 2023'!B9</f>
        <v>10</v>
      </c>
      <c r="AW8" s="52">
        <f>'6 mart-19 mart 2023'!B9</f>
        <v>9</v>
      </c>
      <c r="AX8" s="52">
        <f>'20 şubat-5 mart 2023'!B7</f>
        <v>7</v>
      </c>
      <c r="AY8" s="66">
        <f>'23 ocak-17 şubat'!B7</f>
        <v>5</v>
      </c>
      <c r="AZ8" s="66">
        <f>'26 aralık-20 ocak'!B7</f>
        <v>18</v>
      </c>
      <c r="BB8" s="52">
        <f t="shared" si="2"/>
        <v>180</v>
      </c>
    </row>
    <row r="9">
      <c r="A9" s="7" t="s">
        <v>95</v>
      </c>
      <c r="AA9" s="67"/>
      <c r="AG9" s="52">
        <f>'16-29 Ekim'!B8</f>
        <v>1</v>
      </c>
      <c r="AH9" s="52">
        <f>'2 Ekim-15 Ekim 2023 '!B8</f>
        <v>9</v>
      </c>
      <c r="AI9" s="52">
        <f>'18 Eylül-1 Ekim 2023'!B8</f>
        <v>3</v>
      </c>
      <c r="AJ9" s="52">
        <f>'28 Ağustos-17 Eylül 2023'!B8</f>
        <v>5</v>
      </c>
      <c r="AK9" s="52">
        <f>'14-27 Ağustos'!B8</f>
        <v>3</v>
      </c>
      <c r="AL9" s="52">
        <f>'31 Temmuz-13 Ağustos'!B8</f>
        <v>5</v>
      </c>
      <c r="AM9" s="52">
        <f>'17 Temmuz-30 Temmuz 2023'!B8</f>
        <v>5</v>
      </c>
      <c r="AN9" s="52">
        <f>'26 Haziran-16Temmuz 2023'!B8</f>
        <v>6</v>
      </c>
      <c r="AO9" s="66" t="str">
        <f>'12-25 Haziran 2023'!B8</f>
        <v/>
      </c>
      <c r="AP9" s="66" t="str">
        <f>'29 mayıs-11 Haziran 2023'!B8</f>
        <v/>
      </c>
      <c r="AQ9" s="66" t="str">
        <f>'15 mayıs-28 mayıs 2023'!B8</f>
        <v/>
      </c>
      <c r="AR9" s="66" t="str">
        <f>'2 mayıs-14 mayıs 2023'!B8</f>
        <v/>
      </c>
      <c r="AS9" s="66" t="str">
        <f>'17 nisan-1 mayıs 2023'!B8</f>
        <v/>
      </c>
      <c r="AT9" s="66" t="str">
        <f>'17 nisan-1 mayıs 2023'!B8</f>
        <v/>
      </c>
      <c r="AW9" s="66" t="str">
        <f>'6 mart-19 mart 2023'!B8</f>
        <v/>
      </c>
      <c r="AX9" s="66" t="str">
        <f>'20 şubat-5 mart 2023'!B8</f>
        <v/>
      </c>
      <c r="AY9" s="66" t="str">
        <f>'23 ocak-17 şubat'!B8</f>
        <v/>
      </c>
      <c r="AZ9" s="66" t="str">
        <f>'26 aralık-20 ocak'!B8</f>
        <v/>
      </c>
      <c r="BB9" s="66">
        <f t="shared" si="2"/>
        <v>37</v>
      </c>
    </row>
    <row r="10">
      <c r="A10" s="7" t="s">
        <v>96</v>
      </c>
      <c r="B10" s="52">
        <f>'9-22 Aralık  2024'!B8</f>
        <v>6</v>
      </c>
      <c r="C10" s="52">
        <f>'25 Kasım-8 Aralık  2024'!B8</f>
        <v>7</v>
      </c>
      <c r="D10" s="52">
        <f>'11_24 Kasım 2024'!B8</f>
        <v>7</v>
      </c>
      <c r="E10" s="52">
        <f>'30 Ekim-10 Kasım 2024'!B8</f>
        <v>18</v>
      </c>
      <c r="F10" s="52">
        <f>'14_29 Ekim 2024'!B8</f>
        <v>29</v>
      </c>
      <c r="G10" s="52">
        <f>'30 Eylül-13 Ekim 2024'!B8</f>
        <v>13</v>
      </c>
      <c r="H10" s="52">
        <f>'2-29 Eylül 2024'!B8</f>
        <v>19</v>
      </c>
      <c r="I10" s="52">
        <f>'19-30 Ağustos 2024'!B8</f>
        <v>9</v>
      </c>
      <c r="J10" s="52">
        <f>'5-18 Ağustos 2024'!B8</f>
        <v>6</v>
      </c>
      <c r="K10" s="52">
        <f>'22 Temmuz-4 Ağustos 2024'!B8</f>
        <v>11</v>
      </c>
      <c r="L10" s="52">
        <f>'8-21 Temmuz 2024'!B8</f>
        <v>4</v>
      </c>
      <c r="M10" s="52">
        <f>'17 Haziran-7 Temmuz 2024'!B8</f>
        <v>2</v>
      </c>
      <c r="N10" s="52">
        <f>'3-16 Haziran 2024'!B8</f>
        <v>6</v>
      </c>
      <c r="O10" s="52">
        <f>'20 Mayıs-2 Haziran 2024'!B8</f>
        <v>11</v>
      </c>
      <c r="P10" s="52">
        <f>'6-19 MAYIS'!B8</f>
        <v>17</v>
      </c>
      <c r="Q10" s="52">
        <f>'22 NİSAN-5 MAYIS'!B8</f>
        <v>10</v>
      </c>
      <c r="R10" s="52">
        <f>'1-21 Nisan 2024'!B8</f>
        <v>3</v>
      </c>
      <c r="S10" s="52">
        <f>'18-31 Mart 2024'!B8</f>
        <v>8</v>
      </c>
      <c r="T10" s="52">
        <f>'4-17 Mart 2024'!B8</f>
        <v>3</v>
      </c>
      <c r="U10" s="52">
        <f>'19 şubat-3 Mart 2024'!B8</f>
        <v>4</v>
      </c>
      <c r="V10" s="52">
        <f>'5 şubat-18 Şubat 2024'!B8</f>
        <v>6</v>
      </c>
      <c r="W10" s="52">
        <f>'22 Ocak-4 Şubat 2024'!B8</f>
        <v>9</v>
      </c>
      <c r="X10" s="52">
        <f>'8 Ocak-21 Ocak 2024'!B8</f>
        <v>7</v>
      </c>
      <c r="Y10" s="52">
        <f>'25Aralık 2023-7 Ocak 2024'!B8</f>
        <v>9</v>
      </c>
      <c r="AA10" s="65">
        <f>SUM(D10:Y10)</f>
        <v>211</v>
      </c>
      <c r="AC10" s="52">
        <f>'11 Aralık-24Aralık 2023'!B8</f>
        <v>10</v>
      </c>
      <c r="AD10" s="52">
        <f>'27 Kasım-10 Aralık'!B8</f>
        <v>11</v>
      </c>
      <c r="AE10" s="52">
        <f>'13 Kasım-26 Kasım'!B8</f>
        <v>8</v>
      </c>
      <c r="AF10" s="52">
        <f>'30 Ekim-12 Kasım'!B8</f>
        <v>9</v>
      </c>
      <c r="AG10" s="52">
        <f>'16-29 Ekim'!B9</f>
        <v>4</v>
      </c>
      <c r="AH10" s="52">
        <f>'2 Ekim-15 Ekim 2023 '!B9</f>
        <v>9</v>
      </c>
      <c r="AI10" s="52">
        <f>'18 Eylül-1 Ekim 2023'!B9</f>
        <v>12</v>
      </c>
      <c r="AJ10" s="52">
        <f>'28 Ağustos-17 Eylül 2023'!B9</f>
        <v>13</v>
      </c>
      <c r="AK10" s="52" t="str">
        <f>'14-27 Ağustos'!B9</f>
        <v/>
      </c>
      <c r="AL10" s="52">
        <f>'31 Temmuz-13 Ağustos'!B9</f>
        <v>4</v>
      </c>
      <c r="AM10" s="52">
        <f>'17 Temmuz-30 Temmuz 2023'!B9</f>
        <v>7</v>
      </c>
      <c r="AN10" s="66" t="str">
        <f>'26 Haziran-16Temmuz 2023'!B9</f>
        <v/>
      </c>
      <c r="AO10" s="66" t="str">
        <f>'12-25 Haziran 2023'!B9</f>
        <v/>
      </c>
      <c r="AQ10" s="66" t="str">
        <f>'15 mayıs-28 mayıs 2023'!B9</f>
        <v/>
      </c>
      <c r="AR10" s="66" t="str">
        <f>'2 mayıs-14 mayıs 2023'!B9</f>
        <v/>
      </c>
      <c r="AS10" s="66" t="str">
        <f>'17 nisan-1 mayıs 2023'!B9</f>
        <v/>
      </c>
      <c r="AT10" s="66" t="str">
        <f>'17 nisan-1 mayıs 2023'!B9</f>
        <v/>
      </c>
      <c r="AX10" s="66" t="str">
        <f>'20 şubat-5 mart 2023'!B9</f>
        <v/>
      </c>
      <c r="AY10" s="66" t="str">
        <f>'23 ocak-17 şubat'!B9</f>
        <v/>
      </c>
      <c r="AZ10" s="66" t="str">
        <f>'26 aralık-20 ocak'!B9</f>
        <v/>
      </c>
      <c r="BB10" s="52">
        <f t="shared" si="2"/>
        <v>87</v>
      </c>
    </row>
    <row r="11">
      <c r="A11" s="55" t="s">
        <v>89</v>
      </c>
      <c r="B11" s="66" t="str">
        <f>'9-22 Aralık  2024'!B10</f>
        <v/>
      </c>
      <c r="D11" s="66" t="str">
        <f>'11_24 Kasım 2024'!B9</f>
        <v/>
      </c>
      <c r="AA11" s="67"/>
      <c r="AP11" s="52">
        <f>'29 mayıs-11 Haziran 2023'!B10</f>
        <v>2</v>
      </c>
      <c r="AQ11" s="52">
        <f>'15 mayıs-28 mayıs 2023'!B10</f>
        <v>4</v>
      </c>
      <c r="AR11" s="52">
        <f>'2 mayıs-14 mayıs 2023'!B10</f>
        <v>6</v>
      </c>
      <c r="AS11" s="52">
        <f>'17 nisan-1 mayıs 2023'!B10</f>
        <v>4</v>
      </c>
      <c r="AT11" s="52">
        <f>'17 nisan-1 mayıs 2023'!B10</f>
        <v>4</v>
      </c>
      <c r="AU11" s="52">
        <f>'3-16 nisan 2023'!B10</f>
        <v>8</v>
      </c>
      <c r="AV11" s="52">
        <f>'20 Mart-2 nisan 2023'!B10</f>
        <v>13</v>
      </c>
      <c r="AW11" s="52">
        <f>'6 mart-19 mart 2023'!B10</f>
        <v>12</v>
      </c>
      <c r="AX11" s="52">
        <f>'20 şubat-5 mart 2023'!B10</f>
        <v>12</v>
      </c>
      <c r="AY11" s="66">
        <f>'23 ocak-17 şubat'!B10</f>
        <v>16</v>
      </c>
      <c r="AZ11" s="66">
        <f>'26 aralık-20 ocak'!B10</f>
        <v>20</v>
      </c>
      <c r="BB11" s="66">
        <f t="shared" si="2"/>
        <v>101</v>
      </c>
    </row>
    <row r="12">
      <c r="A12" s="55" t="s">
        <v>92</v>
      </c>
      <c r="B12" s="66" t="str">
        <f>'9-22 Aralık  2024'!B11</f>
        <v/>
      </c>
      <c r="AA12" s="65">
        <f>SUM(AA3:AA10)</f>
        <v>1274</v>
      </c>
      <c r="AP12" s="52">
        <f>'29 mayıs-11 Haziran 2023'!B11</f>
        <v>1</v>
      </c>
      <c r="AQ12" s="52">
        <f>'15 mayıs-28 mayıs 2023'!B11</f>
        <v>10</v>
      </c>
      <c r="AR12" s="52">
        <f>'2 mayıs-14 mayıs 2023'!B11</f>
        <v>7</v>
      </c>
      <c r="AS12" s="52">
        <f>'17 nisan-1 mayıs 2023'!B11</f>
        <v>5</v>
      </c>
      <c r="AT12" s="52">
        <f>'17 nisan-1 mayıs 2023'!B11</f>
        <v>5</v>
      </c>
      <c r="AU12" s="52">
        <f>'3-16 nisan 2023'!B11</f>
        <v>13</v>
      </c>
      <c r="AV12" s="52">
        <f>'20 Mart-2 nisan 2023'!B11</f>
        <v>8</v>
      </c>
      <c r="AW12" s="52">
        <f>'6 mart-19 mart 2023'!B11</f>
        <v>5</v>
      </c>
      <c r="AX12" s="52">
        <f>'20 şubat-5 mart 2023'!B11</f>
        <v>4</v>
      </c>
      <c r="AY12" s="66">
        <f>'23 ocak-17 şubat'!B11</f>
        <v>9</v>
      </c>
      <c r="AZ12" s="66">
        <f>'26 aralık-20 ocak'!B11</f>
        <v>11</v>
      </c>
      <c r="BB12" s="66">
        <f t="shared" si="2"/>
        <v>78</v>
      </c>
    </row>
    <row r="13">
      <c r="AA13" s="67"/>
    </row>
    <row r="14">
      <c r="AA14" s="67"/>
      <c r="BB14" s="52">
        <f>SUM(BB3:BB12)</f>
        <v>1589</v>
      </c>
    </row>
    <row r="15">
      <c r="E15" s="55" t="s">
        <v>146</v>
      </c>
      <c r="AA15" s="67"/>
      <c r="AQ15" s="55" t="s">
        <v>147</v>
      </c>
    </row>
    <row r="16">
      <c r="AA16" s="67"/>
    </row>
    <row r="17">
      <c r="A17" s="38" t="s">
        <v>85</v>
      </c>
      <c r="B17" s="52">
        <f>'9-22 Aralık  2024'!C2</f>
        <v>2.3</v>
      </c>
      <c r="C17" s="52">
        <f>'25 Kasım-8 Aralık  2024'!C2</f>
        <v>45.122</v>
      </c>
      <c r="D17" s="52">
        <f>'11_24 Kasım 2024'!C2</f>
        <v>41.82</v>
      </c>
      <c r="E17" s="52">
        <f>'30 Ekim-10 Kasım 2024'!C2</f>
        <v>34.825</v>
      </c>
      <c r="F17" s="52">
        <f>'14_29 Ekim 2024'!C2</f>
        <v>65.591</v>
      </c>
      <c r="G17" s="52">
        <f>'30 Eylül-13 Ekim 2024'!C2</f>
        <v>42.458</v>
      </c>
      <c r="H17" s="52">
        <f>'2-29 Eylül 2024'!C2</f>
        <v>86.81</v>
      </c>
      <c r="I17" s="52">
        <f>'19-30 Ağustos 2024'!C2</f>
        <v>76.6</v>
      </c>
      <c r="J17" s="52">
        <f>'5-18 Ağustos 2024'!C2</f>
        <v>71.055</v>
      </c>
      <c r="K17" s="52">
        <f>'22 Temmuz-4 Ağustos 2024'!C2</f>
        <v>72.52</v>
      </c>
      <c r="L17" s="52">
        <f>'8-21 Temmuz 2024'!C2</f>
        <v>60.25</v>
      </c>
      <c r="M17" s="52">
        <f>'17 Haziran-7 Temmuz 2024'!C2</f>
        <v>41</v>
      </c>
      <c r="N17" s="52">
        <f>'3-16 Haziran 2024'!C2</f>
        <v>60.692</v>
      </c>
      <c r="O17" s="52">
        <f>'20 Mayıs-2 Haziran 2024'!C2</f>
        <v>45</v>
      </c>
      <c r="P17" s="52">
        <f>'6-19 MAYIS'!C2</f>
        <v>114.596</v>
      </c>
      <c r="Q17" s="52">
        <f>'22 NİSAN-5 MAYIS'!C2</f>
        <v>35.375</v>
      </c>
      <c r="R17" s="52">
        <f>'1-21 Nisan 2024'!C2</f>
        <v>68.98</v>
      </c>
      <c r="S17" s="52">
        <f>'18-31 Mart 2024'!C2</f>
        <v>77.182</v>
      </c>
      <c r="T17" s="52">
        <f>'4-17 Mart 2024'!C2</f>
        <v>77.85</v>
      </c>
      <c r="U17" s="52">
        <f>'19 şubat-3 Mart 2024'!C2</f>
        <v>54.481</v>
      </c>
      <c r="V17" s="52">
        <f>'5 şubat-18 Şubat 2024'!C2</f>
        <v>55.5</v>
      </c>
      <c r="W17" s="52">
        <f>'22 Ocak-4 Şubat 2024'!C2</f>
        <v>76.789</v>
      </c>
      <c r="X17" s="52">
        <f>'8 Ocak-21 Ocak 2024'!C2</f>
        <v>73.098</v>
      </c>
      <c r="Y17" s="52">
        <f>'25Aralık 2023-7 Ocak 2024'!C2</f>
        <v>16</v>
      </c>
      <c r="AA17" s="65">
        <f t="shared" ref="AA17:AA25" si="3">SUM(D17:Y17)</f>
        <v>1348.472</v>
      </c>
      <c r="AC17" s="52">
        <f>'11 Aralık-24Aralık 2023'!C2</f>
        <v>44.92</v>
      </c>
      <c r="AD17" s="52">
        <f>'27 Kasım-10 Aralık'!C2</f>
        <v>56.546</v>
      </c>
      <c r="AE17" s="52">
        <f>'13 Kasım-26 Kasım'!C2</f>
        <v>52.453</v>
      </c>
      <c r="AF17" s="52">
        <f>'30 Ekim-12 Kasım'!C2</f>
        <v>43.428</v>
      </c>
      <c r="AG17" s="52">
        <f>'16-29 Ekim'!C2</f>
        <v>36.02</v>
      </c>
      <c r="AH17" s="52">
        <f>'2 Ekim-15 Ekim 2023 '!C2</f>
        <v>31.19</v>
      </c>
      <c r="AI17" s="52">
        <f>'18 Eylül-1 Ekim 2023'!C2</f>
        <v>87.599</v>
      </c>
      <c r="AJ17" s="52">
        <f>'28 Ağustos-17 Eylül 2023'!C2</f>
        <v>45.055</v>
      </c>
      <c r="AK17" s="52">
        <f>'14-27 Ağustos'!C2</f>
        <v>62.3</v>
      </c>
      <c r="AL17" s="52">
        <f>'31 Temmuz-13 Ağustos'!C2</f>
        <v>65.648</v>
      </c>
      <c r="AM17" s="52">
        <f>'17 Temmuz-30 Temmuz 2023'!C2</f>
        <v>63.009</v>
      </c>
      <c r="AN17" s="52">
        <f>'26 Haziran-16Temmuz 2023'!C2</f>
        <v>43.456</v>
      </c>
      <c r="AO17" s="52">
        <f>'12-25 Haziran 2023'!C2</f>
        <v>76.484</v>
      </c>
      <c r="AP17" s="52">
        <f>'29 mayıs-11 Haziran 2023'!C2</f>
        <v>39.39</v>
      </c>
      <c r="AQ17" s="52">
        <f>'15 mayıs-28 mayıs 2023'!C2</f>
        <v>6.5</v>
      </c>
      <c r="AR17" s="66">
        <f>'2 mayıs-14 mayıs 2023'!C2</f>
        <v>12.5</v>
      </c>
      <c r="AS17" s="52">
        <f>'17 nisan-1 mayıs 2023'!C2</f>
        <v>11</v>
      </c>
      <c r="AT17" s="52">
        <f>'17 nisan-1 mayıs 2023'!C2</f>
        <v>11</v>
      </c>
      <c r="AU17" s="52">
        <f>'3-16 nisan 2023'!C2</f>
        <v>5</v>
      </c>
      <c r="AV17" s="52">
        <f>'20 Mart-2 nisan 2023'!C2</f>
        <v>9.5</v>
      </c>
      <c r="AW17" s="52">
        <f>'6 mart-19 mart 2023'!C2</f>
        <v>18.5</v>
      </c>
      <c r="AX17" s="52">
        <f>'20 şubat-5 mart 2023'!C2</f>
        <v>11</v>
      </c>
      <c r="AY17" s="66">
        <f>'23 ocak-17 şubat'!C2</f>
        <v>45.5</v>
      </c>
      <c r="AZ17" s="66">
        <f>'26 aralık-20 ocak'!C2</f>
        <v>18.5</v>
      </c>
      <c r="BB17" s="52">
        <f t="shared" ref="BB17:BB24" si="4">SUM(AC17:AP17)</f>
        <v>747.498</v>
      </c>
    </row>
    <row r="18">
      <c r="A18" s="38" t="s">
        <v>86</v>
      </c>
      <c r="B18" s="52">
        <f>'9-22 Aralık  2024'!C3</f>
        <v>61.54</v>
      </c>
      <c r="C18" s="52">
        <f>'25 Kasım-8 Aralık  2024'!C3</f>
        <v>66.348</v>
      </c>
      <c r="D18" s="52">
        <f>'11_24 Kasım 2024'!C3</f>
        <v>62.74</v>
      </c>
      <c r="E18" s="52">
        <f>'30 Ekim-10 Kasım 2024'!C3</f>
        <v>49.815</v>
      </c>
      <c r="F18" s="52">
        <f>'14_29 Ekim 2024'!C3</f>
        <v>46.76</v>
      </c>
      <c r="G18" s="52">
        <f>'30 Eylül-13 Ekim 2024'!C3</f>
        <v>63.58</v>
      </c>
      <c r="H18" s="52">
        <f>'2-29 Eylül 2024'!C3</f>
        <v>54.985</v>
      </c>
      <c r="I18" s="52">
        <f>'19-30 Ağustos 2024'!C3</f>
        <v>38.332</v>
      </c>
      <c r="J18" s="52">
        <f>'5-18 Ağustos 2024'!C3</f>
        <v>32.08</v>
      </c>
      <c r="K18" s="52">
        <f>'22 Temmuz-4 Ağustos 2024'!C3</f>
        <v>25</v>
      </c>
      <c r="L18" s="52">
        <f>'8-21 Temmuz 2024'!C3</f>
        <v>56.16</v>
      </c>
      <c r="M18" s="52">
        <f>'17 Haziran-7 Temmuz 2024'!C3</f>
        <v>60</v>
      </c>
      <c r="N18" s="52">
        <f>'3-16 Haziran 2024'!C3</f>
        <v>71.934</v>
      </c>
      <c r="O18" s="52">
        <f>'20 Mayıs-2 Haziran 2024'!C3</f>
        <v>17.6</v>
      </c>
      <c r="P18" s="52">
        <f>'6-19 MAYIS'!C3</f>
        <v>50.542</v>
      </c>
      <c r="Q18" s="52">
        <f>'22 NİSAN-5 MAYIS'!C3</f>
        <v>17.38</v>
      </c>
      <c r="R18" s="52">
        <f>'1-21 Nisan 2024'!C3</f>
        <v>34.538</v>
      </c>
      <c r="S18" s="52">
        <f>'18-31 Mart 2024'!C3</f>
        <v>40.848</v>
      </c>
      <c r="T18" s="52">
        <f>'4-17 Mart 2024'!C3</f>
        <v>65.13</v>
      </c>
      <c r="U18" s="52">
        <f>'19 şubat-3 Mart 2024'!C3</f>
        <v>20.838</v>
      </c>
      <c r="V18" s="52">
        <f>'5 şubat-18 Şubat 2024'!C3</f>
        <v>36.432</v>
      </c>
      <c r="W18" s="52">
        <f>'22 Ocak-4 Şubat 2024'!C3</f>
        <v>18.018</v>
      </c>
      <c r="X18" s="52">
        <f>'8 Ocak-21 Ocak 2024'!C3</f>
        <v>41</v>
      </c>
      <c r="Y18" s="52">
        <f>'25Aralık 2023-7 Ocak 2024'!C3</f>
        <v>40.48</v>
      </c>
      <c r="AA18" s="65">
        <f t="shared" si="3"/>
        <v>944.192</v>
      </c>
      <c r="AC18" s="52">
        <f>'11 Aralık-24Aralık 2023'!C3</f>
        <v>54.104</v>
      </c>
      <c r="AD18" s="52">
        <f>'27 Kasım-10 Aralık'!C3</f>
        <v>38.388</v>
      </c>
      <c r="AE18" s="52">
        <f>'13 Kasım-26 Kasım'!C3</f>
        <v>74.574</v>
      </c>
      <c r="AF18" s="52">
        <f>'30 Ekim-12 Kasım'!C3</f>
        <v>41.988</v>
      </c>
      <c r="AG18" s="52">
        <f>'16-29 Ekim'!C3</f>
        <v>75.419</v>
      </c>
      <c r="AH18" s="52">
        <f>'2 Ekim-15 Ekim 2023 '!C3</f>
        <v>0</v>
      </c>
      <c r="AI18" s="52">
        <f>'18 Eylül-1 Ekim 2023'!C3</f>
        <v>73.764</v>
      </c>
      <c r="AJ18" s="52">
        <f>'28 Ağustos-17 Eylül 2023'!C3</f>
        <v>42.119</v>
      </c>
      <c r="AK18" s="52">
        <f>'14-27 Ağustos'!C3</f>
        <v>87.93</v>
      </c>
      <c r="AL18" s="52">
        <f>'31 Temmuz-13 Ağustos'!C3</f>
        <v>69.526</v>
      </c>
      <c r="AM18" s="52">
        <f>'17 Temmuz-30 Temmuz 2023'!C3</f>
        <v>26.456</v>
      </c>
      <c r="AN18" s="52">
        <f>'26 Haziran-16Temmuz 2023'!C3</f>
        <v>30.066</v>
      </c>
      <c r="AO18" s="52">
        <f>'12-25 Haziran 2023'!C3</f>
        <v>45.995</v>
      </c>
      <c r="AP18" s="52">
        <f>'29 mayıs-11 Haziran 2023'!C3</f>
        <v>39.023</v>
      </c>
      <c r="AQ18" s="52">
        <f>'15 mayıs-28 mayıs 2023'!C3</f>
        <v>7</v>
      </c>
      <c r="AR18" s="66">
        <f>'2 mayıs-14 mayıs 2023'!C3</f>
        <v>3</v>
      </c>
      <c r="AS18" s="52">
        <f>'17 nisan-1 mayıs 2023'!C3</f>
        <v>5.5</v>
      </c>
      <c r="AT18" s="52">
        <f>'17 nisan-1 mayıs 2023'!C3</f>
        <v>5.5</v>
      </c>
      <c r="AU18" s="52">
        <f>'3-16 nisan 2023'!C3</f>
        <v>15</v>
      </c>
      <c r="AV18" s="52">
        <f>'20 Mart-2 nisan 2023'!C3</f>
        <v>8.5</v>
      </c>
      <c r="AW18" s="52">
        <f>'6 mart-19 mart 2023'!C3</f>
        <v>4</v>
      </c>
      <c r="AX18" s="52">
        <f>'20 şubat-5 mart 2023'!C3</f>
        <v>14.5</v>
      </c>
      <c r="AY18" s="66">
        <f>'23 ocak-17 şubat'!C3</f>
        <v>26.5</v>
      </c>
      <c r="AZ18" s="66">
        <f>'26 aralık-20 ocak'!C3</f>
        <v>15</v>
      </c>
      <c r="BB18" s="52">
        <f t="shared" si="4"/>
        <v>699.352</v>
      </c>
    </row>
    <row r="19">
      <c r="A19" s="38" t="s">
        <v>88</v>
      </c>
      <c r="B19" s="52">
        <f>'9-22 Aralık  2024'!C4</f>
        <v>74.132</v>
      </c>
      <c r="C19" s="52">
        <f>'25 Kasım-8 Aralık  2024'!C4</f>
        <v>77.18</v>
      </c>
      <c r="D19" s="52">
        <f>'11_24 Kasım 2024'!C4</f>
        <v>81.52</v>
      </c>
      <c r="E19" s="52">
        <f>'30 Ekim-10 Kasım 2024'!C4</f>
        <v>55.76</v>
      </c>
      <c r="F19" s="52">
        <f>'14_29 Ekim 2024'!C4</f>
        <v>72.72</v>
      </c>
      <c r="G19" s="52">
        <f>'30 Eylül-13 Ekim 2024'!C4</f>
        <v>75.05</v>
      </c>
      <c r="H19" s="52">
        <f>'2-29 Eylül 2024'!C4</f>
        <v>114.704</v>
      </c>
      <c r="I19" s="52">
        <f>'19-30 Ağustos 2024'!C4</f>
        <v>69.57</v>
      </c>
      <c r="J19" s="52">
        <f>'5-18 Ağustos 2024'!C4</f>
        <v>89.588</v>
      </c>
      <c r="K19" s="52">
        <f>'22 Temmuz-4 Ağustos 2024'!C4</f>
        <v>69.565</v>
      </c>
      <c r="L19" s="52">
        <f>'8-21 Temmuz 2024'!C4</f>
        <v>58.785</v>
      </c>
      <c r="M19" s="52">
        <f>'17 Haziran-7 Temmuz 2024'!C4</f>
        <v>36.32</v>
      </c>
      <c r="N19" s="52">
        <f>'3-16 Haziran 2024'!C4</f>
        <v>70.86</v>
      </c>
      <c r="O19" s="52">
        <f>'20 Mayıs-2 Haziran 2024'!C4</f>
        <v>25.65</v>
      </c>
      <c r="P19" s="52">
        <f>'6-19 MAYIS'!C4</f>
        <v>82.44</v>
      </c>
      <c r="Q19" s="52">
        <f>'22 NİSAN-5 MAYIS'!C4</f>
        <v>50.37</v>
      </c>
      <c r="R19" s="52">
        <f>'1-21 Nisan 2024'!C4</f>
        <v>42.58</v>
      </c>
      <c r="S19" s="52">
        <f>'18-31 Mart 2024'!C4</f>
        <v>65.106</v>
      </c>
      <c r="T19" s="52">
        <f>'4-17 Mart 2024'!C4</f>
        <v>66.045</v>
      </c>
      <c r="U19" s="52">
        <f>'19 şubat-3 Mart 2024'!C4</f>
        <v>88.1</v>
      </c>
      <c r="V19" s="52">
        <f>'5 şubat-18 Şubat 2024'!C4</f>
        <v>64.395</v>
      </c>
      <c r="W19" s="52">
        <f>'22 Ocak-4 Şubat 2024'!C4</f>
        <v>80.978</v>
      </c>
      <c r="X19" s="52">
        <f>'8 Ocak-21 Ocak 2024'!C4</f>
        <v>80.674</v>
      </c>
      <c r="Y19" s="52">
        <f>'25Aralık 2023-7 Ocak 2024'!C4</f>
        <v>46.726</v>
      </c>
      <c r="AA19" s="65">
        <f t="shared" si="3"/>
        <v>1487.506</v>
      </c>
      <c r="AC19" s="52">
        <f>'11 Aralık-24Aralık 2023'!C4</f>
        <v>74.208</v>
      </c>
      <c r="AD19" s="52">
        <f>'27 Kasım-10 Aralık'!C4</f>
        <v>79.885</v>
      </c>
      <c r="AE19" s="52">
        <f>'13 Kasım-26 Kasım'!C4</f>
        <v>92.408</v>
      </c>
      <c r="AF19" s="52">
        <f>'30 Ekim-12 Kasım'!C4</f>
        <v>80.861</v>
      </c>
      <c r="AG19" s="52">
        <f>'16-29 Ekim'!C4</f>
        <v>37.153</v>
      </c>
      <c r="AH19" s="52">
        <f>'2 Ekim-15 Ekim 2023 '!C4</f>
        <v>46.682</v>
      </c>
      <c r="AI19" s="52">
        <f>'18 Eylül-1 Ekim 2023'!C4</f>
        <v>75.291</v>
      </c>
      <c r="AJ19" s="52">
        <f>'28 Ağustos-17 Eylül 2023'!C4</f>
        <v>83.757</v>
      </c>
      <c r="AK19" s="52">
        <f>'14-27 Ağustos'!C4</f>
        <v>66.299</v>
      </c>
      <c r="AL19" s="52">
        <f>'31 Temmuz-13 Ağustos'!C4</f>
        <v>88.32</v>
      </c>
      <c r="AM19" s="52">
        <f>'17 Temmuz-30 Temmuz 2023'!C4</f>
        <v>86.3</v>
      </c>
      <c r="AN19" s="52">
        <f>'26 Haziran-16Temmuz 2023'!C4</f>
        <v>76.606</v>
      </c>
      <c r="AO19" s="52">
        <f>'12-25 Haziran 2023'!C4</f>
        <v>68.645</v>
      </c>
      <c r="AP19" s="52">
        <f>'29 mayıs-11 Haziran 2023'!C4</f>
        <v>67.96</v>
      </c>
      <c r="AQ19" s="52">
        <f>'15 mayıs-28 mayıs 2023'!C4</f>
        <v>11.5</v>
      </c>
      <c r="AR19" s="66">
        <f>'2 mayıs-14 mayıs 2023'!C4</f>
        <v>7</v>
      </c>
      <c r="AS19" s="52">
        <f>'17 nisan-1 mayıs 2023'!C4</f>
        <v>6.5</v>
      </c>
      <c r="AT19" s="52">
        <f>'17 nisan-1 mayıs 2023'!C4</f>
        <v>6.5</v>
      </c>
      <c r="AU19" s="52">
        <f>'3-16 nisan 2023'!C4</f>
        <v>12.5</v>
      </c>
      <c r="AV19" s="52">
        <f>'20 Mart-2 nisan 2023'!C4</f>
        <v>14</v>
      </c>
      <c r="AW19" s="52">
        <f>'6 mart-19 mart 2023'!C4</f>
        <v>7.5</v>
      </c>
      <c r="AX19" s="52">
        <f>'20 şubat-5 mart 2023'!C4</f>
        <v>11</v>
      </c>
      <c r="AY19" s="66">
        <f>'23 ocak-17 şubat'!C4</f>
        <v>24.5</v>
      </c>
      <c r="AZ19" s="66">
        <f>'26 aralık-20 ocak'!C4</f>
        <v>26</v>
      </c>
      <c r="BB19" s="52">
        <f t="shared" si="4"/>
        <v>1024.375</v>
      </c>
    </row>
    <row r="20">
      <c r="A20" s="38" t="s">
        <v>90</v>
      </c>
      <c r="B20" s="52">
        <f>'9-22 Aralık  2024'!C5</f>
        <v>59.1</v>
      </c>
      <c r="C20" s="52">
        <f>'25 Kasım-8 Aralık  2024'!C5</f>
        <v>38.532</v>
      </c>
      <c r="D20" s="52">
        <f>'11_24 Kasım 2024'!C5</f>
        <v>63.932</v>
      </c>
      <c r="E20" s="52">
        <f>'30 Ekim-10 Kasım 2024'!C5</f>
        <v>46.12</v>
      </c>
      <c r="F20" s="52">
        <f>'14_29 Ekim 2024'!C5</f>
        <v>59.22</v>
      </c>
      <c r="G20" s="52">
        <f>'30 Eylül-13 Ekim 2024'!C5</f>
        <v>69.092</v>
      </c>
      <c r="H20" s="52">
        <f>'2-29 Eylül 2024'!C5</f>
        <v>96.779</v>
      </c>
      <c r="I20" s="52">
        <f>'19-30 Ağustos 2024'!C5</f>
        <v>32.2</v>
      </c>
      <c r="J20" s="52">
        <f>'5-18 Ağustos 2024'!C5</f>
        <v>49.07</v>
      </c>
      <c r="K20" s="52">
        <f>'22 Temmuz-4 Ağustos 2024'!C5</f>
        <v>58.08</v>
      </c>
      <c r="L20" s="52">
        <f>'8-21 Temmuz 2024'!C5</f>
        <v>83.824</v>
      </c>
      <c r="M20" s="52">
        <f>'17 Haziran-7 Temmuz 2024'!C5</f>
        <v>59.672</v>
      </c>
      <c r="N20" s="52">
        <f>'3-16 Haziran 2024'!C5</f>
        <v>80.872</v>
      </c>
      <c r="O20" s="52">
        <f>'20 Mayıs-2 Haziran 2024'!C5</f>
        <v>68.64</v>
      </c>
      <c r="P20" s="52">
        <f>'6-19 MAYIS'!C5</f>
        <v>51.82</v>
      </c>
      <c r="Q20" s="52">
        <f>'22 NİSAN-5 MAYIS'!C5</f>
        <v>53.37</v>
      </c>
      <c r="R20" s="52">
        <f>'1-21 Nisan 2024'!C5</f>
        <v>84.785</v>
      </c>
      <c r="S20" s="52">
        <f>'18-31 Mart 2024'!C5</f>
        <v>50.176</v>
      </c>
      <c r="T20" s="52">
        <f>'4-17 Mart 2024'!C5</f>
        <v>57.14</v>
      </c>
      <c r="U20" s="52">
        <f>'19 şubat-3 Mart 2024'!C5</f>
        <v>50.063</v>
      </c>
      <c r="V20" s="52">
        <f>'5 şubat-18 Şubat 2024'!C5</f>
        <v>51.925</v>
      </c>
      <c r="W20" s="52">
        <f>'22 Ocak-4 Şubat 2024'!C5</f>
        <v>9.56</v>
      </c>
      <c r="X20" s="52">
        <f>'8 Ocak-21 Ocak 2024'!C5</f>
        <v>51.839</v>
      </c>
      <c r="Y20" s="52">
        <f>'25Aralık 2023-7 Ocak 2024'!C5</f>
        <v>102.476</v>
      </c>
      <c r="AA20" s="65">
        <f t="shared" si="3"/>
        <v>1330.655</v>
      </c>
      <c r="AC20" s="52">
        <f>'11 Aralık-24Aralık 2023'!C5</f>
        <v>52.668</v>
      </c>
      <c r="AD20" s="52">
        <f>'27 Kasım-10 Aralık'!C5</f>
        <v>62.32</v>
      </c>
      <c r="AE20" s="52">
        <f>'13 Kasım-26 Kasım'!C5</f>
        <v>86.02</v>
      </c>
      <c r="AF20" s="52">
        <f>'30 Ekim-12 Kasım'!C5</f>
        <v>87.44</v>
      </c>
      <c r="AG20" s="52">
        <f>'16-29 Ekim'!C5</f>
        <v>100.77</v>
      </c>
      <c r="AH20" s="52">
        <f>'2 Ekim-15 Ekim 2023 '!C5</f>
        <v>24.912</v>
      </c>
      <c r="AI20" s="52">
        <f>'18 Eylül-1 Ekim 2023'!C5</f>
        <v>83.492</v>
      </c>
      <c r="AJ20" s="52">
        <f>'28 Ağustos-17 Eylül 2023'!C5</f>
        <v>16.38</v>
      </c>
      <c r="AK20" s="52">
        <f>'14-27 Ağustos'!C5</f>
        <v>36.3</v>
      </c>
      <c r="AL20" s="52">
        <f>'31 Temmuz-13 Ağustos'!C5</f>
        <v>73.609</v>
      </c>
      <c r="AM20" s="52">
        <f>'17 Temmuz-30 Temmuz 2023'!C5</f>
        <v>56.43</v>
      </c>
      <c r="AN20" s="52">
        <f>'26 Haziran-16Temmuz 2023'!C5</f>
        <v>84.634</v>
      </c>
      <c r="AO20" s="52">
        <f>'12-25 Haziran 2023'!C5</f>
        <v>33.11</v>
      </c>
      <c r="AP20" s="52">
        <f>'29 mayıs-11 Haziran 2023'!C5</f>
        <v>101.718</v>
      </c>
      <c r="AQ20" s="52">
        <f>'15 mayıs-28 mayıs 2023'!C5</f>
        <v>11.5</v>
      </c>
      <c r="AR20" s="66">
        <f>'2 mayıs-14 mayıs 2023'!C5</f>
        <v>12.5</v>
      </c>
      <c r="AS20" s="52">
        <f>'17 nisan-1 mayıs 2023'!C5</f>
        <v>4</v>
      </c>
      <c r="AT20" s="52">
        <f>'17 nisan-1 mayıs 2023'!C5</f>
        <v>4</v>
      </c>
      <c r="AU20" s="52">
        <f>'3-16 nisan 2023'!C5</f>
        <v>5.5</v>
      </c>
      <c r="AV20" s="52">
        <f>'20 Mart-2 nisan 2023'!C5</f>
        <v>15.5</v>
      </c>
      <c r="AW20" s="52">
        <f>'6 mart-19 mart 2023'!C5</f>
        <v>8.5</v>
      </c>
      <c r="AX20" s="52">
        <f>'20 şubat-5 mart 2023'!C5</f>
        <v>21</v>
      </c>
      <c r="AY20" s="66">
        <f>'23 ocak-17 şubat'!C5</f>
        <v>16</v>
      </c>
      <c r="AZ20" s="66">
        <f>'26 aralık-20 ocak'!C5</f>
        <v>36</v>
      </c>
      <c r="BB20" s="52">
        <f t="shared" si="4"/>
        <v>899.803</v>
      </c>
    </row>
    <row r="21">
      <c r="A21" s="38" t="s">
        <v>91</v>
      </c>
      <c r="B21" s="52">
        <f>'9-22 Aralık  2024'!C6</f>
        <v>40.66</v>
      </c>
      <c r="C21" s="52">
        <f>'25 Kasım-8 Aralık  2024'!C6</f>
        <v>55.865</v>
      </c>
      <c r="D21" s="52">
        <f>'11_24 Kasım 2024'!C6</f>
        <v>45.756</v>
      </c>
      <c r="E21" s="52">
        <f>'30 Ekim-10 Kasım 2024'!C6</f>
        <v>36.536</v>
      </c>
      <c r="F21" s="52">
        <f>'14_29 Ekim 2024'!C6</f>
        <v>61.67</v>
      </c>
      <c r="G21" s="52">
        <f>'30 Eylül-13 Ekim 2024'!C6</f>
        <v>49.984</v>
      </c>
      <c r="H21" s="52">
        <f>'2-29 Eylül 2024'!C6</f>
        <v>38.08</v>
      </c>
      <c r="I21" s="52">
        <f>'19-30 Ağustos 2024'!C6</f>
        <v>20.25</v>
      </c>
      <c r="J21" s="52">
        <f>'5-18 Ağustos 2024'!C6</f>
        <v>33.312</v>
      </c>
      <c r="K21" s="52">
        <f>'22 Temmuz-4 Ağustos 2024'!C6</f>
        <v>38.85</v>
      </c>
      <c r="L21" s="52">
        <f>'8-21 Temmuz 2024'!C6</f>
        <v>58.656</v>
      </c>
      <c r="M21" s="52">
        <f>'17 Haziran-7 Temmuz 2024'!C6</f>
        <v>45.744</v>
      </c>
      <c r="N21" s="52">
        <f>'3-16 Haziran 2024'!C6</f>
        <v>47.8</v>
      </c>
      <c r="O21" s="52">
        <f>'20 Mayıs-2 Haziran 2024'!C6</f>
        <v>75.325</v>
      </c>
      <c r="P21" s="52">
        <f>'6-19 MAYIS'!C6</f>
        <v>88.871</v>
      </c>
      <c r="Q21" s="52">
        <f>'22 NİSAN-5 MAYIS'!C6</f>
        <v>31.45</v>
      </c>
      <c r="R21" s="52">
        <f>'1-21 Nisan 2024'!C6</f>
        <v>53.11</v>
      </c>
      <c r="S21" s="52">
        <f>'18-31 Mart 2024'!C6</f>
        <v>30.894</v>
      </c>
      <c r="T21" s="52">
        <f>'4-17 Mart 2024'!C6</f>
        <v>55.328</v>
      </c>
      <c r="U21" s="52">
        <f>'19 şubat-3 Mart 2024'!C6</f>
        <v>40.825</v>
      </c>
      <c r="V21" s="52">
        <f>'5 şubat-18 Şubat 2024'!C6</f>
        <v>32.36</v>
      </c>
      <c r="W21" s="52">
        <f>'22 Ocak-4 Şubat 2024'!C6</f>
        <v>53.405</v>
      </c>
      <c r="X21" s="52">
        <f>'8 Ocak-21 Ocak 2024'!C6</f>
        <v>43.775</v>
      </c>
      <c r="Y21" s="52">
        <f>'25Aralık 2023-7 Ocak 2024'!C6</f>
        <v>55.125</v>
      </c>
      <c r="AA21" s="65">
        <f t="shared" si="3"/>
        <v>1037.106</v>
      </c>
      <c r="AC21" s="52">
        <f>'11 Aralık-24Aralık 2023'!C6</f>
        <v>57.14</v>
      </c>
      <c r="AD21" s="52">
        <f>'27 Kasım-10 Aralık'!C6</f>
        <v>55.982</v>
      </c>
      <c r="AE21" s="52">
        <f>'13 Kasım-26 Kasım'!C6</f>
        <v>48.56</v>
      </c>
      <c r="AF21" s="52">
        <f>'30 Ekim-12 Kasım'!C6</f>
        <v>76.872</v>
      </c>
      <c r="AG21" s="52">
        <f>'16-29 Ekim'!C6</f>
        <v>31.32</v>
      </c>
      <c r="AH21" s="52">
        <f>'2 Ekim-15 Ekim 2023 '!C6</f>
        <v>21.78</v>
      </c>
      <c r="AI21" s="52">
        <f>'18 Eylül-1 Ekim 2023'!C6</f>
        <v>67.18</v>
      </c>
      <c r="AJ21" s="52">
        <f>'28 Ağustos-17 Eylül 2023'!C6</f>
        <v>65.888</v>
      </c>
      <c r="AK21" s="52">
        <f>'14-27 Ağustos'!C6</f>
        <v>45.286</v>
      </c>
      <c r="AL21" s="52">
        <f>'31 Temmuz-13 Ağustos'!C6</f>
        <v>31.11</v>
      </c>
      <c r="AM21" s="52">
        <f>'17 Temmuz-30 Temmuz 2023'!C6</f>
        <v>41.184</v>
      </c>
      <c r="AN21" s="52">
        <f>'26 Haziran-16Temmuz 2023'!C6</f>
        <v>56.598</v>
      </c>
      <c r="AO21" s="52">
        <f>'12-25 Haziran 2023'!C6</f>
        <v>55.675</v>
      </c>
      <c r="AP21" s="52">
        <f>'29 mayıs-11 Haziran 2023'!C6</f>
        <v>66.414</v>
      </c>
      <c r="AQ21" s="52">
        <f>'15 mayıs-28 mayıs 2023'!C6</f>
        <v>10</v>
      </c>
      <c r="AR21" s="66">
        <f>'2 mayıs-14 mayıs 2023'!C6</f>
        <v>5</v>
      </c>
      <c r="AS21" s="52">
        <f>'17 nisan-1 mayıs 2023'!C6</f>
        <v>5</v>
      </c>
      <c r="AT21" s="52">
        <f>'17 nisan-1 mayıs 2023'!C6</f>
        <v>5</v>
      </c>
      <c r="AU21" s="52">
        <f>'3-16 nisan 2023'!C6</f>
        <v>4</v>
      </c>
      <c r="AV21" s="52">
        <f>'20 Mart-2 nisan 2023'!C6</f>
        <v>15</v>
      </c>
      <c r="AW21" s="52">
        <f>'6 mart-19 mart 2023'!C6</f>
        <v>14</v>
      </c>
      <c r="AX21" s="52">
        <f>'20 şubat-5 mart 2023'!C6</f>
        <v>13.5</v>
      </c>
      <c r="AY21" s="66">
        <f>'23 ocak-17 şubat'!C6</f>
        <v>16.5</v>
      </c>
      <c r="AZ21" s="66">
        <f>'26 aralık-20 ocak'!C6</f>
        <v>21.5</v>
      </c>
      <c r="BB21" s="52">
        <f t="shared" si="4"/>
        <v>720.989</v>
      </c>
    </row>
    <row r="22">
      <c r="A22" s="38" t="s">
        <v>94</v>
      </c>
      <c r="B22" s="52">
        <f>'9-22 Aralık  2024'!C7</f>
        <v>93.97</v>
      </c>
      <c r="C22" s="52">
        <f>'25 Kasım-8 Aralık  2024'!C7</f>
        <v>47.652</v>
      </c>
      <c r="D22" s="52">
        <f>'11_24 Kasım 2024'!C7</f>
        <v>96.638</v>
      </c>
      <c r="E22" s="52">
        <f>'30 Ekim-10 Kasım 2024'!C7</f>
        <v>78.604</v>
      </c>
      <c r="F22" s="52">
        <f>'14_29 Ekim 2024'!C7</f>
        <v>101.78</v>
      </c>
      <c r="G22" s="52">
        <f>'30 Eylül-13 Ekim 2024'!C7</f>
        <v>186.76</v>
      </c>
      <c r="H22" s="52">
        <f>'2-29 Eylül 2024'!C7</f>
        <v>119.8</v>
      </c>
      <c r="I22" s="52">
        <f>'19-30 Ağustos 2024'!C7</f>
        <v>55.38</v>
      </c>
      <c r="J22" s="52">
        <f>'5-18 Ağustos 2024'!C7</f>
        <v>82.711</v>
      </c>
      <c r="K22" s="52">
        <f>'22 Temmuz-4 Ağustos 2024'!C7</f>
        <v>68.9</v>
      </c>
      <c r="L22" s="52">
        <f>'8-21 Temmuz 2024'!C7</f>
        <v>103.24</v>
      </c>
      <c r="M22" s="52">
        <f>'17 Haziran-7 Temmuz 2024'!C7</f>
        <v>104.01</v>
      </c>
      <c r="N22" s="52">
        <f>'3-16 Haziran 2024'!C7</f>
        <v>70.14</v>
      </c>
      <c r="O22" s="52">
        <f>'20 Mayıs-2 Haziran 2024'!C7</f>
        <v>22.176</v>
      </c>
      <c r="P22" s="52">
        <f>'6-19 MAYIS'!C7</f>
        <v>104.604</v>
      </c>
      <c r="Q22" s="52">
        <f>'22 NİSAN-5 MAYIS'!C7</f>
        <v>67.72</v>
      </c>
      <c r="R22" s="52">
        <f>'1-21 Nisan 2024'!C7</f>
        <v>84.818</v>
      </c>
      <c r="S22" s="52">
        <f>'18-31 Mart 2024'!C7</f>
        <v>119.67</v>
      </c>
      <c r="T22" s="52">
        <f>'4-17 Mart 2024'!C7</f>
        <v>108.592</v>
      </c>
      <c r="U22" s="52">
        <f>'19 şubat-3 Mart 2024'!C7</f>
        <v>75.04</v>
      </c>
      <c r="V22" s="52">
        <f>'5 şubat-18 Şubat 2024'!C7</f>
        <v>31.97</v>
      </c>
      <c r="W22" s="52">
        <f>'22 Ocak-4 Şubat 2024'!C7</f>
        <v>91.875</v>
      </c>
      <c r="X22" s="52">
        <f>'8 Ocak-21 Ocak 2024'!C7</f>
        <v>104.84</v>
      </c>
      <c r="Y22" s="52">
        <f>'25Aralık 2023-7 Ocak 2024'!C7</f>
        <v>66.44</v>
      </c>
      <c r="AA22" s="65">
        <f t="shared" si="3"/>
        <v>1945.708</v>
      </c>
      <c r="AC22" s="52">
        <f>'11 Aralık-24Aralık 2023'!C7</f>
        <v>77.685</v>
      </c>
      <c r="AD22" s="52">
        <f>'27 Kasım-10 Aralık'!C7</f>
        <v>86.993</v>
      </c>
      <c r="AE22" s="52">
        <f>'13 Kasım-26 Kasım'!C7</f>
        <v>55.55</v>
      </c>
      <c r="AF22" s="52">
        <f>'30 Ekim-12 Kasım'!C7</f>
        <v>92.946</v>
      </c>
      <c r="AG22" s="52">
        <f>'16-29 Ekim'!C7</f>
        <v>92.328</v>
      </c>
      <c r="AH22" s="52">
        <f>'2 Ekim-15 Ekim 2023 '!C7</f>
        <v>97.908</v>
      </c>
      <c r="AI22" s="52">
        <f>'18 Eylül-1 Ekim 2023'!C7</f>
        <v>90.348</v>
      </c>
      <c r="AJ22" s="52">
        <f>'28 Ağustos-17 Eylül 2023'!C7</f>
        <v>78.695</v>
      </c>
      <c r="AK22" s="52">
        <f>'14-27 Ağustos'!C7</f>
        <v>71.49</v>
      </c>
      <c r="AL22" s="52">
        <f>'31 Temmuz-13 Ağustos'!C7</f>
        <v>75.167</v>
      </c>
      <c r="AM22" s="52">
        <f>'17 Temmuz-30 Temmuz 2023'!C7</f>
        <v>96.096</v>
      </c>
      <c r="AN22" s="52">
        <f>'26 Haziran-16Temmuz 2023'!C7</f>
        <v>96.352</v>
      </c>
      <c r="AO22" s="66">
        <f>'12-25 Haziran 2023'!C7</f>
        <v>63.73</v>
      </c>
      <c r="AP22" s="52">
        <f>'29 mayıs-11 Haziran 2023'!C7</f>
        <v>68.762</v>
      </c>
      <c r="AQ22" s="52">
        <f>'15 mayıs-28 mayıs 2023'!C7</f>
        <v>13</v>
      </c>
      <c r="AR22" s="66">
        <f>'2 mayıs-14 mayıs 2023'!C7</f>
        <v>13</v>
      </c>
      <c r="AS22" s="52">
        <f>'17 nisan-1 mayıs 2023'!C7</f>
        <v>10</v>
      </c>
      <c r="AT22" s="52">
        <f>'17 nisan-1 mayıs 2023'!C7</f>
        <v>10</v>
      </c>
      <c r="AU22" s="52">
        <f>'3-16 nisan 2023'!C7</f>
        <v>11.5</v>
      </c>
      <c r="AV22" s="52">
        <f>'20 Mart-2 nisan 2023'!C9</f>
        <v>11.5</v>
      </c>
      <c r="AW22" s="52">
        <f>'6 mart-19 mart 2023'!C9</f>
        <v>14.5</v>
      </c>
      <c r="AX22" s="52">
        <f>'20 şubat-5 mart 2023'!C7</f>
        <v>15</v>
      </c>
      <c r="AY22" s="66">
        <f>'23 ocak-17 şubat'!C7</f>
        <v>20</v>
      </c>
      <c r="AZ22" s="66">
        <f>'26 aralık-20 ocak'!C7</f>
        <v>42</v>
      </c>
      <c r="BB22" s="52">
        <f t="shared" si="4"/>
        <v>1144.05</v>
      </c>
    </row>
    <row r="23">
      <c r="A23" s="7" t="s">
        <v>95</v>
      </c>
      <c r="AA23" s="67">
        <f t="shared" si="3"/>
        <v>0</v>
      </c>
      <c r="AG23" s="66">
        <f>'16-29 Ekim'!C8</f>
        <v>7.59</v>
      </c>
      <c r="AH23" s="66">
        <f>'2 Ekim-15 Ekim 2023 '!C8</f>
        <v>22.6</v>
      </c>
      <c r="AI23" s="66">
        <f>'18 Eylül-1 Ekim 2023'!C8</f>
        <v>11.03</v>
      </c>
      <c r="AJ23" s="66">
        <f>'28 Ağustos-17 Eylül 2023'!C8</f>
        <v>10.1</v>
      </c>
      <c r="AK23" s="66">
        <f>'14-27 Ağustos'!C8</f>
        <v>15.53</v>
      </c>
      <c r="AL23" s="66">
        <f>'31 Temmuz-13 Ağustos'!C8</f>
        <v>13.9</v>
      </c>
      <c r="AM23" s="66">
        <f>'17 Temmuz-30 Temmuz 2023'!C8</f>
        <v>13.3</v>
      </c>
      <c r="AN23" s="66">
        <f>'26 Haziran-16Temmuz 2023'!C8</f>
        <v>16.93</v>
      </c>
      <c r="AO23" s="66" t="str">
        <f>'12-25 Haziran 2023'!C8</f>
        <v/>
      </c>
      <c r="AP23" s="66" t="str">
        <f>'29 mayıs-11 Haziran 2023'!C8</f>
        <v/>
      </c>
      <c r="AQ23" s="66" t="str">
        <f>'15 mayıs-28 mayıs 2023'!C8</f>
        <v/>
      </c>
      <c r="AR23" s="66" t="str">
        <f>'2 mayıs-14 mayıs 2023'!C8</f>
        <v/>
      </c>
      <c r="AS23" s="66" t="str">
        <f>'17 nisan-1 mayıs 2023'!C8</f>
        <v/>
      </c>
      <c r="AT23" s="66" t="str">
        <f>'17 nisan-1 mayıs 2023'!C8</f>
        <v/>
      </c>
      <c r="AW23" s="66" t="str">
        <f>'6 mart-19 mart 2023'!C8</f>
        <v/>
      </c>
      <c r="AX23" s="66" t="str">
        <f>'20 şubat-5 mart 2023'!C8</f>
        <v/>
      </c>
      <c r="AY23" s="66" t="str">
        <f>'23 ocak-17 şubat'!C8</f>
        <v/>
      </c>
      <c r="AZ23" s="66" t="str">
        <f>'26 aralık-20 ocak'!C8</f>
        <v/>
      </c>
      <c r="BB23" s="66">
        <f t="shared" si="4"/>
        <v>110.98</v>
      </c>
    </row>
    <row r="24">
      <c r="A24" s="7" t="s">
        <v>96</v>
      </c>
      <c r="B24" s="66">
        <f>'9-22 Aralık  2024'!C8</f>
        <v>42</v>
      </c>
      <c r="C24" s="66">
        <f>'25 Kasım-8 Aralık  2024'!C8</f>
        <v>43.41</v>
      </c>
      <c r="D24" s="66">
        <f>'11_24 Kasım 2024'!C8</f>
        <v>45.63</v>
      </c>
      <c r="E24" s="66">
        <f>'30 Ekim-10 Kasım 2024'!C8</f>
        <v>44.244</v>
      </c>
      <c r="F24" s="66">
        <f>'14_29 Ekim 2024'!C8</f>
        <v>51.05</v>
      </c>
      <c r="G24" s="66">
        <f>'30 Eylül-13 Ekim 2024'!C8</f>
        <v>44.44</v>
      </c>
      <c r="H24" s="66">
        <f>'2-29 Eylül 2024'!C8</f>
        <v>117.19</v>
      </c>
      <c r="I24" s="66">
        <f>'19-30 Ağustos 2024'!C8</f>
        <v>44.222</v>
      </c>
      <c r="J24" s="66">
        <f>'5-18 Ağustos 2024'!C8</f>
        <v>73.52</v>
      </c>
      <c r="K24" s="66">
        <f>'22 Temmuz-4 Ağustos 2024'!C8</f>
        <v>64.22</v>
      </c>
      <c r="L24" s="66">
        <f>'8-21 Temmuz 2024'!C8</f>
        <v>39.91</v>
      </c>
      <c r="M24" s="66">
        <f>'17 Haziran-7 Temmuz 2024'!C8</f>
        <v>45</v>
      </c>
      <c r="N24" s="66">
        <f>'3-16 Haziran 2024'!C8</f>
        <v>62.77</v>
      </c>
      <c r="O24" s="66">
        <f>'20 Mayıs-2 Haziran 2024'!C8</f>
        <v>49.67</v>
      </c>
      <c r="P24" s="66">
        <f>'6-19 MAYIS'!C8</f>
        <v>69.93</v>
      </c>
      <c r="Q24" s="66">
        <f>'22 NİSAN-5 MAYIS'!C8</f>
        <v>56.278</v>
      </c>
      <c r="R24" s="66">
        <f>'1-21 Nisan 2024'!C8</f>
        <v>22.66</v>
      </c>
      <c r="S24" s="66">
        <f>'18-31 Mart 2024'!C8</f>
        <v>57.195</v>
      </c>
      <c r="T24" s="66">
        <f>'4-17 Mart 2024'!C8</f>
        <v>65.02</v>
      </c>
      <c r="U24" s="66">
        <f>'19 şubat-3 Mart 2024'!C8</f>
        <v>75.872</v>
      </c>
      <c r="V24" s="66">
        <f>'5 şubat-18 Şubat 2024'!C8</f>
        <v>29.872</v>
      </c>
      <c r="W24" s="66">
        <f>'22 Ocak-4 Şubat 2024'!C8</f>
        <v>34.009</v>
      </c>
      <c r="X24" s="66">
        <f>'8 Ocak-21 Ocak 2024'!C8</f>
        <v>19.602</v>
      </c>
      <c r="Y24" s="66">
        <f>'25Aralık 2023-7 Ocak 2024'!C8</f>
        <v>41.58</v>
      </c>
      <c r="AA24" s="67">
        <f t="shared" si="3"/>
        <v>1153.884</v>
      </c>
      <c r="AC24" s="66">
        <f>'11 Aralık-24Aralık 2023'!C8</f>
        <v>41.458</v>
      </c>
      <c r="AD24" s="66">
        <f>'27 Kasım-10 Aralık'!C8</f>
        <v>48.62</v>
      </c>
      <c r="AE24" s="66">
        <f>'13 Kasım-26 Kasım'!C8</f>
        <v>30.56</v>
      </c>
      <c r="AF24" s="66">
        <f>'30 Ekim-12 Kasım'!C8</f>
        <v>72.02</v>
      </c>
      <c r="AG24" s="66">
        <f>'16-29 Ekim'!C9</f>
        <v>19.095</v>
      </c>
      <c r="AH24" s="66">
        <f>'2 Ekim-15 Ekim 2023 '!C9</f>
        <v>80.776</v>
      </c>
      <c r="AI24" s="66">
        <f>'18 Eylül-1 Ekim 2023'!C9</f>
        <v>65.278</v>
      </c>
      <c r="AJ24" s="66">
        <f>'28 Ağustos-17 Eylül 2023'!C9</f>
        <v>61.51</v>
      </c>
      <c r="AK24" s="66" t="str">
        <f>'14-27 Ağustos'!C9</f>
        <v/>
      </c>
      <c r="AL24" s="66">
        <f>'31 Temmuz-13 Ağustos'!C9</f>
        <v>131.473</v>
      </c>
      <c r="AM24" s="66">
        <f>'17 Temmuz-30 Temmuz 2023'!C9</f>
        <v>44.502</v>
      </c>
      <c r="AN24" s="66" t="str">
        <f>'26 Haziran-16Temmuz 2023'!C9</f>
        <v/>
      </c>
      <c r="AO24" s="66" t="str">
        <f>'12-25 Haziran 2023'!C9</f>
        <v/>
      </c>
      <c r="AP24" s="66" t="str">
        <f>'29 mayıs-11 Haziran 2023'!C9</f>
        <v/>
      </c>
      <c r="AQ24" s="66" t="str">
        <f>'15 mayıs-28 mayıs 2023'!C9</f>
        <v/>
      </c>
      <c r="AR24" s="66" t="str">
        <f>'2 mayıs-14 mayıs 2023'!C9</f>
        <v/>
      </c>
      <c r="AS24" s="66" t="str">
        <f>'17 nisan-1 mayıs 2023'!C9</f>
        <v/>
      </c>
      <c r="AT24" s="66" t="str">
        <f>'17 nisan-1 mayıs 2023'!C9</f>
        <v/>
      </c>
      <c r="AX24" s="66" t="str">
        <f>'20 şubat-5 mart 2023'!C9</f>
        <v/>
      </c>
      <c r="AY24" s="66" t="str">
        <f>'23 ocak-17 şubat'!C9</f>
        <v/>
      </c>
      <c r="AZ24" s="66" t="str">
        <f>'26 aralık-20 ocak'!C9</f>
        <v/>
      </c>
      <c r="BB24" s="66">
        <f t="shared" si="4"/>
        <v>595.292</v>
      </c>
    </row>
    <row r="25">
      <c r="A25" s="7" t="s">
        <v>89</v>
      </c>
      <c r="C25" s="66" t="str">
        <f>'25 Kasım-8 Aralık  2024'!C10</f>
        <v/>
      </c>
      <c r="AA25" s="67">
        <f t="shared" si="3"/>
        <v>0</v>
      </c>
      <c r="AP25" s="52">
        <f>'29 mayıs-11 Haziran 2023'!C10</f>
        <v>59.4</v>
      </c>
      <c r="AQ25" s="52">
        <f>'15 mayıs-28 mayıs 2023'!C10</f>
        <v>2</v>
      </c>
      <c r="AR25" s="66">
        <f>'2 mayıs-14 mayıs 2023'!C10</f>
        <v>5</v>
      </c>
      <c r="AS25" s="52">
        <f>'17 nisan-1 mayıs 2023'!C10</f>
        <v>6</v>
      </c>
      <c r="AT25" s="52">
        <f>'17 nisan-1 mayıs 2023'!C10</f>
        <v>6</v>
      </c>
      <c r="AU25" s="52">
        <f>'3-16 nisan 2023'!C10</f>
        <v>8.5</v>
      </c>
      <c r="AV25" s="52">
        <f>'20 Mart-2 nisan 2023'!C10</f>
        <v>11.5</v>
      </c>
      <c r="AW25" s="52">
        <f>'6 mart-19 mart 2023'!C10</f>
        <v>13.5</v>
      </c>
      <c r="AX25" s="52">
        <f>'20 şubat-5 mart 2023'!C10</f>
        <v>10</v>
      </c>
      <c r="AY25" s="66">
        <f>'23 ocak-17 şubat'!C10</f>
        <v>18.5</v>
      </c>
      <c r="AZ25" s="66">
        <f>'26 aralık-20 ocak'!C10</f>
        <v>18</v>
      </c>
      <c r="BB25" s="55">
        <v>59.4</v>
      </c>
    </row>
    <row r="26">
      <c r="A26" s="7" t="s">
        <v>92</v>
      </c>
      <c r="C26" s="66" t="str">
        <f>'25 Kasım-8 Aralık  2024'!C11</f>
        <v/>
      </c>
      <c r="AA26" s="67"/>
      <c r="AP26" s="52">
        <f>'29 mayıs-11 Haziran 2023'!C11</f>
        <v>40</v>
      </c>
      <c r="AQ26" s="52">
        <f>'15 mayıs-28 mayıs 2023'!C11</f>
        <v>9</v>
      </c>
      <c r="AR26" s="66">
        <f>'2 mayıs-14 mayıs 2023'!C11</f>
        <v>6</v>
      </c>
      <c r="AS26" s="52">
        <f>'17 nisan-1 mayıs 2023'!C11</f>
        <v>5.5</v>
      </c>
      <c r="AT26" s="52">
        <f>'17 nisan-1 mayıs 2023'!C11</f>
        <v>5.5</v>
      </c>
      <c r="AU26" s="52">
        <f>'3-16 nisan 2023'!C11</f>
        <v>10.5</v>
      </c>
      <c r="AV26" s="52">
        <f>'20 Mart-2 nisan 2023'!C11</f>
        <v>13.5</v>
      </c>
      <c r="AW26" s="52">
        <f>'6 mart-19 mart 2023'!C11</f>
        <v>4</v>
      </c>
      <c r="AX26" s="52">
        <f>'20 şubat-5 mart 2023'!C11</f>
        <v>10.5</v>
      </c>
      <c r="AY26" s="66">
        <f>'23 ocak-17 şubat'!C11</f>
        <v>10</v>
      </c>
      <c r="AZ26" s="66">
        <f>'26 aralık-20 ocak'!C11</f>
        <v>19</v>
      </c>
      <c r="BB26" s="55">
        <v>40.0</v>
      </c>
    </row>
    <row r="27">
      <c r="E27" s="55" t="s">
        <v>148</v>
      </c>
      <c r="AA27" s="65">
        <f>SUM(AA17:AA25)</f>
        <v>9247.523</v>
      </c>
      <c r="BB27" s="52">
        <f>SUM(BB17:BB26)</f>
        <v>6041.739</v>
      </c>
    </row>
    <row r="28">
      <c r="AA28" s="67"/>
    </row>
    <row r="29">
      <c r="G29" s="63">
        <v>45565.0</v>
      </c>
      <c r="J29" s="63">
        <v>45509.0</v>
      </c>
      <c r="L29" s="63">
        <v>45481.0</v>
      </c>
      <c r="O29" s="55" t="s">
        <v>142</v>
      </c>
      <c r="U29" s="63">
        <v>45341.0</v>
      </c>
      <c r="AA29" s="67"/>
      <c r="AQ29" s="55" t="s">
        <v>147</v>
      </c>
    </row>
    <row r="30">
      <c r="A30" s="38" t="s">
        <v>85</v>
      </c>
      <c r="B30" s="52">
        <f>'9-22 Aralık  2024'!D2</f>
        <v>50</v>
      </c>
      <c r="C30" s="52">
        <f>'25 Kasım-8 Aralık  2024'!D2</f>
        <v>90</v>
      </c>
      <c r="D30" s="52">
        <f>'11_24 Kasım 2024'!D2</f>
        <v>90</v>
      </c>
      <c r="E30" s="52">
        <f>'30 Ekim-10 Kasım 2024'!D2</f>
        <v>80</v>
      </c>
      <c r="F30" s="52">
        <f>'14_29 Ekim 2024'!D2</f>
        <v>100</v>
      </c>
      <c r="G30" s="52">
        <f>'30 Eylül-13 Ekim 2024'!D2</f>
        <v>100</v>
      </c>
      <c r="H30" s="52">
        <f>'2-29 Eylül 2024'!D2</f>
        <v>150</v>
      </c>
      <c r="I30" s="52">
        <f>'19-30 Ağustos 2024'!D2</f>
        <v>90</v>
      </c>
      <c r="J30" s="52">
        <f>'5-18 Ağustos 2024'!D2</f>
        <v>100</v>
      </c>
      <c r="K30" s="52">
        <f>'22 Temmuz-4 Ağustos 2024'!D2</f>
        <v>100</v>
      </c>
      <c r="L30" s="52">
        <f>'8-21 Temmuz 2024'!D2</f>
        <v>80</v>
      </c>
      <c r="M30" s="52">
        <f>'17 Haziran-7 Temmuz 2024'!D2</f>
        <v>100</v>
      </c>
      <c r="N30" s="52">
        <f>'3-16 Haziran 2024'!D2</f>
        <v>100</v>
      </c>
      <c r="O30" s="52">
        <f>'20 Mayıs-2 Haziran 2024'!D2</f>
        <v>100</v>
      </c>
      <c r="P30" s="52">
        <f>'6-19 MAYIS'!D2</f>
        <v>95</v>
      </c>
      <c r="Q30" s="52">
        <f>'22 NİSAN-5 MAYIS'!D2</f>
        <v>75</v>
      </c>
      <c r="R30" s="52">
        <f>'1-21 Nisan 2024'!D2</f>
        <v>115</v>
      </c>
      <c r="S30" s="52">
        <f>'18-31 Mart 2024'!D2</f>
        <v>100</v>
      </c>
      <c r="T30" s="52">
        <f>'4-17 Mart 2024'!D2</f>
        <v>100</v>
      </c>
      <c r="U30" s="52">
        <f>'19 şubat-3 Mart 2024'!D2</f>
        <v>100</v>
      </c>
      <c r="V30" s="52">
        <f>'5 şubat-18 Şubat 2024'!D2</f>
        <v>100</v>
      </c>
      <c r="W30" s="52">
        <f>'22 Ocak-4 Şubat 2024'!D2</f>
        <v>100</v>
      </c>
      <c r="X30" s="52">
        <f>'8 Ocak-21 Ocak 2024'!D2</f>
        <v>100</v>
      </c>
      <c r="Y30" s="52">
        <f>'25Aralık 2023-7 Ocak 2024'!D2</f>
        <v>40</v>
      </c>
      <c r="AA30" s="65">
        <f t="shared" ref="AA30:AA35" si="5">SUM(D30:Y30)</f>
        <v>2115</v>
      </c>
      <c r="AC30" s="52">
        <f>'11 Aralık-24Aralık 2023'!D2</f>
        <v>100</v>
      </c>
      <c r="AD30" s="52">
        <f>'27 Kasım-10 Aralık'!D2</f>
        <v>80</v>
      </c>
      <c r="AE30" s="52">
        <f>'13 Kasım-26 Kasım'!D2</f>
        <v>100</v>
      </c>
      <c r="AF30" s="52">
        <f>'30 Ekim-12 Kasım'!D2</f>
        <v>100</v>
      </c>
      <c r="AG30" s="52">
        <f>'16-29 Ekim'!D2</f>
        <v>100</v>
      </c>
      <c r="AH30" s="52">
        <f>'2 Ekim-15 Ekim 2023 '!D2</f>
        <v>100</v>
      </c>
      <c r="AI30" s="52">
        <f>'18 Eylül-1 Ekim 2023'!D2</f>
        <v>90</v>
      </c>
      <c r="AJ30" s="52">
        <f>'28 Ağustos-17 Eylül 2023'!D2</f>
        <v>120</v>
      </c>
      <c r="AK30" s="52">
        <f>'14-27 Ağustos'!D2</f>
        <v>80</v>
      </c>
      <c r="AL30" s="52">
        <f>'31 Temmuz-13 Ağustos'!D2</f>
        <v>100</v>
      </c>
      <c r="AM30" s="52">
        <f>'17 Temmuz-30 Temmuz 2023'!D2</f>
        <v>100</v>
      </c>
      <c r="AN30" s="52">
        <f>'26 Haziran-16Temmuz 2023'!D2</f>
        <v>90</v>
      </c>
      <c r="AO30" s="52">
        <f>'12-25 Haziran 2023'!D2</f>
        <v>100</v>
      </c>
      <c r="AP30" s="52">
        <f>'29 mayıs-11 Haziran 2023'!D2</f>
        <v>100</v>
      </c>
      <c r="AQ30" s="52">
        <f>'15 mayıs-28 mayıs 2023'!D2</f>
        <v>18</v>
      </c>
      <c r="AR30" s="52">
        <f>'2 mayıs-14 mayıs 2023'!D2</f>
        <v>18</v>
      </c>
      <c r="AS30" s="52">
        <f>'17 nisan-1 mayıs 2023'!D2</f>
        <v>16</v>
      </c>
      <c r="AT30" s="52">
        <f>'17 nisan-1 mayıs 2023'!D2</f>
        <v>16</v>
      </c>
      <c r="AU30" s="52">
        <f>'3-16 nisan 2023'!D2</f>
        <v>20</v>
      </c>
      <c r="AV30" s="52">
        <f>'20 Mart-2 nisan 2023'!D2</f>
        <v>20</v>
      </c>
      <c r="AW30" s="52">
        <f>'6 mart-19 mart 2023'!D2</f>
        <v>20</v>
      </c>
      <c r="AX30" s="52">
        <f>'20 şubat-5 mart 2023'!D2</f>
        <v>16</v>
      </c>
      <c r="AY30" s="66">
        <f>'23 ocak-17 şubat'!D2</f>
        <v>36</v>
      </c>
      <c r="AZ30" s="66">
        <f>'26 aralık-20 ocak'!D2</f>
        <v>40</v>
      </c>
      <c r="BB30" s="52">
        <f t="shared" ref="BB30:BB37" si="6">SUM(AC30:AP30)</f>
        <v>1360</v>
      </c>
    </row>
    <row r="31">
      <c r="A31" s="38" t="s">
        <v>86</v>
      </c>
      <c r="B31" s="52">
        <f>'9-22 Aralık  2024'!D3</f>
        <v>75</v>
      </c>
      <c r="C31" s="52">
        <f>'25 Kasım-8 Aralık  2024'!D3</f>
        <v>75</v>
      </c>
      <c r="D31" s="52">
        <f>'11_24 Kasım 2024'!D3</f>
        <v>75</v>
      </c>
      <c r="E31" s="52">
        <f>'30 Ekim-10 Kasım 2024'!D3</f>
        <v>60</v>
      </c>
      <c r="F31" s="52">
        <f>'14_29 Ekim 2024'!D3</f>
        <v>75</v>
      </c>
      <c r="G31" s="52">
        <f>'30 Eylül-13 Ekim 2024'!D3</f>
        <v>75</v>
      </c>
      <c r="H31" s="52">
        <f>'2-29 Eylül 2024'!D3</f>
        <v>105</v>
      </c>
      <c r="I31" s="52">
        <f>'19-30 Ağustos 2024'!D3</f>
        <v>37.5</v>
      </c>
      <c r="J31" s="52">
        <f>'5-18 Ağustos 2024'!D3</f>
        <v>75</v>
      </c>
      <c r="K31" s="52">
        <f>'22 Temmuz-4 Ağustos 2024'!D3</f>
        <v>37.5</v>
      </c>
      <c r="L31" s="52">
        <f>'8-21 Temmuz 2024'!D3</f>
        <v>67.5</v>
      </c>
      <c r="M31" s="52">
        <f>'17 Haziran-7 Temmuz 2024'!D3</f>
        <v>67.5</v>
      </c>
      <c r="N31" s="52">
        <f>'3-16 Haziran 2024'!D3</f>
        <v>75</v>
      </c>
      <c r="O31" s="52">
        <f>'20 Mayıs-2 Haziran 2024'!D3</f>
        <v>75</v>
      </c>
      <c r="P31" s="52">
        <f>'6-19 MAYIS'!D3</f>
        <v>75</v>
      </c>
      <c r="Q31" s="52">
        <f>'22 NİSAN-5 MAYIS'!D3</f>
        <v>45</v>
      </c>
      <c r="R31" s="52">
        <f>'1-21 Nisan 2024'!D3</f>
        <v>86.25</v>
      </c>
      <c r="S31" s="52">
        <f>'18-31 Mart 2024'!D3</f>
        <v>75</v>
      </c>
      <c r="T31" s="52">
        <f>'4-17 Mart 2024'!D3</f>
        <v>60</v>
      </c>
      <c r="U31" s="52">
        <f>'19 şubat-3 Mart 2024'!D3</f>
        <v>67.5</v>
      </c>
      <c r="V31" s="52">
        <f>'5 şubat-18 Şubat 2024'!D3</f>
        <v>52.5</v>
      </c>
      <c r="W31" s="52">
        <f>'22 Ocak-4 Şubat 2024'!D3</f>
        <v>52.5</v>
      </c>
      <c r="X31" s="52">
        <f>'8 Ocak-21 Ocak 2024'!D3</f>
        <v>75</v>
      </c>
      <c r="Y31" s="52">
        <f>'25Aralık 2023-7 Ocak 2024'!D3</f>
        <v>67.5</v>
      </c>
      <c r="AA31" s="65">
        <f t="shared" si="5"/>
        <v>1481.25</v>
      </c>
      <c r="AC31" s="52">
        <f>'11 Aralık-24Aralık 2023'!D3</f>
        <v>75</v>
      </c>
      <c r="AD31" s="52">
        <f>'27 Kasım-10 Aralık'!D3</f>
        <v>63.75</v>
      </c>
      <c r="AE31" s="52">
        <f>'13 Kasım-26 Kasım'!D3</f>
        <v>75</v>
      </c>
      <c r="AF31" s="52">
        <f>'30 Ekim-12 Kasım'!D3</f>
        <v>75</v>
      </c>
      <c r="AG31" s="52">
        <f>'16-29 Ekim'!D3</f>
        <v>75</v>
      </c>
      <c r="AH31" s="52">
        <f>'2 Ekim-15 Ekim 2023 '!D3</f>
        <v>45</v>
      </c>
      <c r="AI31" s="52">
        <f>'18 Eylül-1 Ekim 2023'!D3</f>
        <v>75</v>
      </c>
      <c r="AJ31" s="52">
        <f>'28 Ağustos-17 Eylül 2023'!D3</f>
        <v>60</v>
      </c>
      <c r="AK31" s="52">
        <f>'14-27 Ağustos'!D3</f>
        <v>60</v>
      </c>
      <c r="AL31" s="52">
        <f>'31 Temmuz-13 Ağustos'!D3</f>
        <v>75</v>
      </c>
      <c r="AM31" s="52">
        <f>'17 Temmuz-30 Temmuz 2023'!D3</f>
        <v>50</v>
      </c>
      <c r="AN31" s="52">
        <f>'26 Haziran-16Temmuz 2023'!D3</f>
        <v>37.5</v>
      </c>
      <c r="AO31" s="52">
        <f>'12-25 Haziran 2023'!D3</f>
        <v>75</v>
      </c>
      <c r="AP31" s="52">
        <f>'29 mayıs-11 Haziran 2023'!D3</f>
        <v>75</v>
      </c>
      <c r="AQ31" s="52">
        <f>'15 mayıs-28 mayıs 2023'!D3</f>
        <v>13.5</v>
      </c>
      <c r="AR31" s="52">
        <f>'2 mayıs-14 mayıs 2023'!D3</f>
        <v>13.5</v>
      </c>
      <c r="AS31" s="52">
        <f>'17 nisan-1 mayıs 2023'!D3</f>
        <v>12</v>
      </c>
      <c r="AT31" s="52">
        <f>'17 nisan-1 mayıs 2023'!D3</f>
        <v>12</v>
      </c>
      <c r="AU31" s="52">
        <f>'3-16 nisan 2023'!D3</f>
        <v>15</v>
      </c>
      <c r="AV31" s="52">
        <f>'20 Mart-2 nisan 2023'!D3</f>
        <v>15</v>
      </c>
      <c r="AW31" s="52">
        <f>'6 mart-19 mart 2023'!D3</f>
        <v>15</v>
      </c>
      <c r="AX31" s="52">
        <f>'20 şubat-5 mart 2023'!D3</f>
        <v>15</v>
      </c>
      <c r="AY31" s="66">
        <f>'23 ocak-17 şubat'!D3</f>
        <v>30</v>
      </c>
      <c r="AZ31" s="66">
        <f>'26 aralık-20 ocak'!D3</f>
        <v>30</v>
      </c>
      <c r="BB31" s="52">
        <f t="shared" si="6"/>
        <v>916.25</v>
      </c>
    </row>
    <row r="32">
      <c r="A32" s="38" t="s">
        <v>88</v>
      </c>
      <c r="B32" s="52">
        <f>'9-22 Aralık  2024'!D4</f>
        <v>100</v>
      </c>
      <c r="C32" s="52">
        <f>'25 Kasım-8 Aralık  2024'!D4</f>
        <v>100</v>
      </c>
      <c r="D32" s="52">
        <f>'11_24 Kasım 2024'!D4</f>
        <v>100</v>
      </c>
      <c r="E32" s="52">
        <f>'30 Ekim-10 Kasım 2024'!D4</f>
        <v>80</v>
      </c>
      <c r="F32" s="52">
        <f>'14_29 Ekim 2024'!D4</f>
        <v>100</v>
      </c>
      <c r="G32" s="52">
        <f>'30 Eylül-13 Ekim 2024'!D4</f>
        <v>100</v>
      </c>
      <c r="H32" s="52">
        <f>'2-29 Eylül 2024'!D4</f>
        <v>150</v>
      </c>
      <c r="I32" s="52">
        <f>'19-30 Ağustos 2024'!D4</f>
        <v>80</v>
      </c>
      <c r="J32" s="52">
        <f>'5-18 Ağustos 2024'!D4</f>
        <v>85</v>
      </c>
      <c r="K32" s="52">
        <f>'22 Temmuz-4 Ağustos 2024'!D4</f>
        <v>100</v>
      </c>
      <c r="L32" s="52">
        <f>'8-21 Temmuz 2024'!D4</f>
        <v>90</v>
      </c>
      <c r="M32" s="52">
        <f>'17 Haziran-7 Temmuz 2024'!D4</f>
        <v>70</v>
      </c>
      <c r="N32" s="52">
        <f>'3-16 Haziran 2024'!D4</f>
        <v>100</v>
      </c>
      <c r="O32" s="52">
        <f>'20 Mayıs-2 Haziran 2024'!D4</f>
        <v>100</v>
      </c>
      <c r="P32" s="52">
        <f>'6-19 MAYIS'!D4</f>
        <v>100</v>
      </c>
      <c r="Q32" s="52">
        <f>'22 NİSAN-5 MAYIS'!D4</f>
        <v>80</v>
      </c>
      <c r="R32" s="52">
        <f>'1-21 Nisan 2024'!D4</f>
        <v>60</v>
      </c>
      <c r="S32" s="52">
        <f>'18-31 Mart 2024'!D4</f>
        <v>100</v>
      </c>
      <c r="T32" s="52">
        <f>'4-17 Mart 2024'!D4</f>
        <v>100</v>
      </c>
      <c r="U32" s="52">
        <f>'19 şubat-3 Mart 2024'!D4</f>
        <v>100</v>
      </c>
      <c r="V32" s="52">
        <f>'5 şubat-18 Şubat 2024'!D4</f>
        <v>95</v>
      </c>
      <c r="W32" s="52">
        <f>'22 Ocak-4 Şubat 2024'!D4</f>
        <v>95</v>
      </c>
      <c r="X32" s="52">
        <f>'8 Ocak-21 Ocak 2024'!D4</f>
        <v>100</v>
      </c>
      <c r="Y32" s="52">
        <f>'25Aralık 2023-7 Ocak 2024'!D4</f>
        <v>80</v>
      </c>
      <c r="AA32" s="65">
        <f t="shared" si="5"/>
        <v>2065</v>
      </c>
      <c r="AC32" s="52">
        <f>'11 Aralık-24Aralık 2023'!D4</f>
        <v>100</v>
      </c>
      <c r="AD32" s="52">
        <f>'27 Kasım-10 Aralık'!D4</f>
        <v>100</v>
      </c>
      <c r="AE32" s="52">
        <f>'13 Kasım-26 Kasım'!D4</f>
        <v>100</v>
      </c>
      <c r="AF32" s="52">
        <f>'30 Ekim-12 Kasım'!D4</f>
        <v>90</v>
      </c>
      <c r="AG32" s="52">
        <f>'16-29 Ekim'!D4</f>
        <v>50</v>
      </c>
      <c r="AH32" s="52">
        <f>'2 Ekim-15 Ekim 2023 '!D4</f>
        <v>50</v>
      </c>
      <c r="AI32" s="52">
        <f>'18 Eylül-1 Ekim 2023'!D4</f>
        <v>100</v>
      </c>
      <c r="AJ32" s="52">
        <f>'28 Ağustos-17 Eylül 2023'!D4</f>
        <v>110</v>
      </c>
      <c r="AK32" s="52">
        <f>'14-27 Ağustos'!D4</f>
        <v>80</v>
      </c>
      <c r="AL32" s="52">
        <f>'31 Temmuz-13 Ağustos'!D4</f>
        <v>100</v>
      </c>
      <c r="AM32" s="52">
        <f>'17 Temmuz-30 Temmuz 2023'!D4</f>
        <v>100</v>
      </c>
      <c r="AN32" s="52">
        <f>'26 Haziran-16Temmuz 2023'!D4</f>
        <v>100</v>
      </c>
      <c r="AO32" s="52">
        <f>'12-25 Haziran 2023'!D4</f>
        <v>100</v>
      </c>
      <c r="AP32" s="52">
        <f>'29 mayıs-11 Haziran 2023'!D4</f>
        <v>100</v>
      </c>
      <c r="AQ32" s="52">
        <f>'15 mayıs-28 mayıs 2023'!D4</f>
        <v>18</v>
      </c>
      <c r="AR32" s="52">
        <f>'2 mayıs-14 mayıs 2023'!D4</f>
        <v>10</v>
      </c>
      <c r="AS32" s="52">
        <f>'17 nisan-1 mayıs 2023'!D4</f>
        <v>16</v>
      </c>
      <c r="AT32" s="52">
        <f>'17 nisan-1 mayıs 2023'!D4</f>
        <v>16</v>
      </c>
      <c r="AU32" s="52">
        <f>'3-16 nisan 2023'!D4</f>
        <v>20</v>
      </c>
      <c r="AV32" s="52">
        <f>'20 Mart-2 nisan 2023'!D4</f>
        <v>20</v>
      </c>
      <c r="AW32" s="52">
        <f>'6 mart-19 mart 2023'!D4</f>
        <v>16</v>
      </c>
      <c r="AX32" s="52">
        <f>'20 şubat-5 mart 2023'!D4</f>
        <v>20</v>
      </c>
      <c r="AY32" s="66">
        <f>'23 ocak-17 şubat'!D4</f>
        <v>40</v>
      </c>
      <c r="AZ32" s="66">
        <f>'26 aralık-20 ocak'!D4</f>
        <v>30</v>
      </c>
      <c r="BB32" s="52">
        <f t="shared" si="6"/>
        <v>1280</v>
      </c>
    </row>
    <row r="33">
      <c r="A33" s="38" t="s">
        <v>90</v>
      </c>
      <c r="B33" s="52">
        <f>'9-22 Aralık  2024'!D5</f>
        <v>75</v>
      </c>
      <c r="C33" s="52">
        <f>'25 Kasım-8 Aralık  2024'!D5</f>
        <v>75</v>
      </c>
      <c r="D33" s="52">
        <f>'11_24 Kasım 2024'!D5</f>
        <v>75</v>
      </c>
      <c r="E33" s="52">
        <f>'30 Ekim-10 Kasım 2024'!D5</f>
        <v>56.25</v>
      </c>
      <c r="F33" s="52">
        <f>'14_29 Ekim 2024'!D5</f>
        <v>75</v>
      </c>
      <c r="G33" s="52">
        <f>'30 Eylül-13 Ekim 2024'!D5</f>
        <v>75</v>
      </c>
      <c r="H33" s="52">
        <f>'2-29 Eylül 2024'!D5</f>
        <v>105</v>
      </c>
      <c r="I33" s="52">
        <f>'19-30 Ağustos 2024'!D5</f>
        <v>30</v>
      </c>
      <c r="J33" s="52">
        <f>'5-18 Ağustos 2024'!D5</f>
        <v>37.5</v>
      </c>
      <c r="K33" s="52">
        <f>'22 Temmuz-4 Ağustos 2024'!D5</f>
        <v>75</v>
      </c>
      <c r="L33" s="52">
        <f>'8-21 Temmuz 2024'!D5</f>
        <v>67.5</v>
      </c>
      <c r="M33" s="52">
        <f>'17 Haziran-7 Temmuz 2024'!D5</f>
        <v>90</v>
      </c>
      <c r="N33" s="52">
        <f>'3-16 Haziran 2024'!D5</f>
        <v>75</v>
      </c>
      <c r="O33" s="52">
        <f>'20 Mayıs-2 Haziran 2024'!D5</f>
        <v>75</v>
      </c>
      <c r="P33" s="52">
        <f>'6-19 MAYIS'!D5</f>
        <v>75</v>
      </c>
      <c r="Q33" s="52">
        <f>'22 NİSAN-5 MAYIS'!D5</f>
        <v>60</v>
      </c>
      <c r="R33" s="52">
        <f>'1-21 Nisan 2024'!D5</f>
        <v>71.25</v>
      </c>
      <c r="S33" s="52">
        <f>'18-31 Mart 2024'!D5</f>
        <v>60</v>
      </c>
      <c r="T33" s="52">
        <f>'4-17 Mart 2024'!D5</f>
        <v>75</v>
      </c>
      <c r="U33" s="52">
        <f>'19 şubat-3 Mart 2024'!D5</f>
        <v>75</v>
      </c>
      <c r="V33" s="52">
        <f>'5 şubat-18 Şubat 2024'!D5</f>
        <v>37.5</v>
      </c>
      <c r="W33" s="52">
        <f>'22 Ocak-4 Şubat 2024'!D5</f>
        <v>37.5</v>
      </c>
      <c r="X33" s="52">
        <f>'8 Ocak-21 Ocak 2024'!D5</f>
        <v>60</v>
      </c>
      <c r="Y33" s="52">
        <f>'25Aralık 2023-7 Ocak 2024'!D5</f>
        <v>67.5</v>
      </c>
      <c r="AA33" s="65">
        <f t="shared" si="5"/>
        <v>1455</v>
      </c>
      <c r="AC33" s="52">
        <f>'11 Aralık-24Aralık 2023'!D5</f>
        <v>71.25</v>
      </c>
      <c r="AD33" s="52">
        <f>'27 Kasım-10 Aralık'!D5</f>
        <v>75</v>
      </c>
      <c r="AE33" s="52">
        <f>'13 Kasım-26 Kasım'!D5</f>
        <v>67.5</v>
      </c>
      <c r="AF33" s="52">
        <f>'30 Ekim-12 Kasım'!D5</f>
        <v>75</v>
      </c>
      <c r="AG33" s="52">
        <f>'16-29 Ekim'!D5</f>
        <v>75</v>
      </c>
      <c r="AH33" s="52">
        <f>'2 Ekim-15 Ekim 2023 '!D5</f>
        <v>75</v>
      </c>
      <c r="AI33" s="52">
        <f>'18 Eylül-1 Ekim 2023'!D5</f>
        <v>60</v>
      </c>
      <c r="AJ33" s="52">
        <f>'28 Ağustos-17 Eylül 2023'!D5</f>
        <v>37.5</v>
      </c>
      <c r="AK33" s="52">
        <f>'14-27 Ağustos'!D5</f>
        <v>60</v>
      </c>
      <c r="AL33" s="52">
        <f>'31 Temmuz-13 Ağustos'!D5</f>
        <v>75</v>
      </c>
      <c r="AM33" s="52">
        <f>'17 Temmuz-30 Temmuz 2023'!D5</f>
        <v>90</v>
      </c>
      <c r="AN33" s="52">
        <f>'26 Haziran-16Temmuz 2023'!D5</f>
        <v>67.5</v>
      </c>
      <c r="AO33" s="52">
        <f>'12-25 Haziran 2023'!D5</f>
        <v>75</v>
      </c>
      <c r="AP33" s="52">
        <f>'29 mayıs-11 Haziran 2023'!D5</f>
        <v>75</v>
      </c>
      <c r="AQ33" s="52">
        <f>'15 mayıs-28 mayıs 2023'!D5</f>
        <v>14.4</v>
      </c>
      <c r="AR33" s="52">
        <f>'2 mayıs-14 mayıs 2023'!D5</f>
        <v>13.5</v>
      </c>
      <c r="AS33" s="52">
        <f>'17 nisan-1 mayıs 2023'!D5</f>
        <v>10.5</v>
      </c>
      <c r="AT33" s="52">
        <f>'17 nisan-1 mayıs 2023'!D5</f>
        <v>10.5</v>
      </c>
      <c r="AU33" s="52">
        <f>'3-16 nisan 2023'!D5</f>
        <v>7.5</v>
      </c>
      <c r="AV33" s="52">
        <f>'20 Mart-2 nisan 2023'!D5</f>
        <v>7.5</v>
      </c>
      <c r="AW33" s="52">
        <f>'6 mart-19 mart 2023'!D5</f>
        <v>15</v>
      </c>
      <c r="AX33" s="52">
        <f>'20 şubat-5 mart 2023'!D5</f>
        <v>12</v>
      </c>
      <c r="AY33" s="66">
        <f>'23 ocak-17 şubat'!D5</f>
        <v>30</v>
      </c>
      <c r="AZ33" s="66">
        <f>'26 aralık-20 ocak'!D5</f>
        <v>30</v>
      </c>
      <c r="BB33" s="52">
        <f t="shared" si="6"/>
        <v>978.75</v>
      </c>
    </row>
    <row r="34">
      <c r="A34" s="38" t="s">
        <v>91</v>
      </c>
      <c r="B34" s="52">
        <f>'9-22 Aralık  2024'!D6</f>
        <v>100</v>
      </c>
      <c r="C34" s="52">
        <f>'25 Kasım-8 Aralık  2024'!D6</f>
        <v>90</v>
      </c>
      <c r="D34" s="52">
        <f>'11_24 Kasım 2024'!D6</f>
        <v>100</v>
      </c>
      <c r="E34" s="52">
        <f>'30 Ekim-10 Kasım 2024'!D6</f>
        <v>80</v>
      </c>
      <c r="F34" s="52">
        <f>'14_29 Ekim 2024'!D6</f>
        <v>100</v>
      </c>
      <c r="G34" s="52">
        <f>'30 Eylül-13 Ekim 2024'!D6</f>
        <v>100</v>
      </c>
      <c r="H34" s="52">
        <f>'2-29 Eylül 2024'!D6</f>
        <v>150</v>
      </c>
      <c r="I34" s="52">
        <f>'19-30 Ağustos 2024'!D6</f>
        <v>40</v>
      </c>
      <c r="J34" s="52">
        <f>'5-18 Ağustos 2024'!D6</f>
        <v>100</v>
      </c>
      <c r="K34" s="52">
        <f>'22 Temmuz-4 Ağustos 2024'!D6</f>
        <v>100</v>
      </c>
      <c r="L34" s="52">
        <f>'8-21 Temmuz 2024'!D6</f>
        <v>90</v>
      </c>
      <c r="M34" s="52">
        <f>'17 Haziran-7 Temmuz 2024'!D6</f>
        <v>120</v>
      </c>
      <c r="N34" s="52">
        <f>'3-16 Haziran 2024'!D6</f>
        <v>100</v>
      </c>
      <c r="O34" s="52">
        <f>'20 Mayıs-2 Haziran 2024'!D6</f>
        <v>100</v>
      </c>
      <c r="P34" s="52">
        <f>'6-19 MAYIS'!D6</f>
        <v>100</v>
      </c>
      <c r="Q34" s="52">
        <f>'22 NİSAN-5 MAYIS'!D6</f>
        <v>65</v>
      </c>
      <c r="R34" s="52">
        <f>'1-21 Nisan 2024'!D6</f>
        <v>105</v>
      </c>
      <c r="S34" s="52">
        <f>'18-31 Mart 2024'!D6</f>
        <v>50</v>
      </c>
      <c r="T34" s="52">
        <f>'4-17 Mart 2024'!D6</f>
        <v>100</v>
      </c>
      <c r="U34" s="52">
        <f>'19 şubat-3 Mart 2024'!D6</f>
        <v>100</v>
      </c>
      <c r="V34" s="52">
        <f>'5 şubat-18 Şubat 2024'!D6</f>
        <v>100</v>
      </c>
      <c r="W34" s="52">
        <f>'22 Ocak-4 Şubat 2024'!D6</f>
        <v>100</v>
      </c>
      <c r="X34" s="52">
        <f>'8 Ocak-21 Ocak 2024'!D6</f>
        <v>100</v>
      </c>
      <c r="Y34" s="52">
        <f>'25Aralık 2023-7 Ocak 2024'!D6</f>
        <v>90</v>
      </c>
      <c r="AA34" s="65">
        <f t="shared" si="5"/>
        <v>2090</v>
      </c>
      <c r="AC34" s="52">
        <f>'11 Aralık-24Aralık 2023'!D6</f>
        <v>100</v>
      </c>
      <c r="AD34" s="52">
        <f>'27 Kasım-10 Aralık'!D6</f>
        <v>90</v>
      </c>
      <c r="AE34" s="52">
        <f>'13 Kasım-26 Kasım'!D6</f>
        <v>100</v>
      </c>
      <c r="AF34" s="52">
        <f>'30 Ekim-12 Kasım'!D6</f>
        <v>100</v>
      </c>
      <c r="AG34" s="52">
        <f>'16-29 Ekim'!D6</f>
        <v>50</v>
      </c>
      <c r="AH34" s="52">
        <f>'2 Ekim-15 Ekim 2023 '!D6</f>
        <v>70</v>
      </c>
      <c r="AI34" s="52">
        <f>'18 Eylül-1 Ekim 2023'!D6</f>
        <v>100</v>
      </c>
      <c r="AJ34" s="52">
        <f>'28 Ağustos-17 Eylül 2023'!D6</f>
        <v>120</v>
      </c>
      <c r="AK34" s="52">
        <f>'14-27 Ağustos'!D6</f>
        <v>64</v>
      </c>
      <c r="AL34" s="52">
        <f>'31 Temmuz-13 Ağustos'!D6</f>
        <v>80</v>
      </c>
      <c r="AM34" s="52">
        <f>'17 Temmuz-30 Temmuz 2023'!D6</f>
        <v>80</v>
      </c>
      <c r="AN34" s="52">
        <f>'26 Haziran-16Temmuz 2023'!D6</f>
        <v>80</v>
      </c>
      <c r="AO34" s="52">
        <f>'12-25 Haziran 2023'!D6</f>
        <v>80</v>
      </c>
      <c r="AP34" s="52">
        <f>'29 mayıs-11 Haziran 2023'!D6</f>
        <v>80</v>
      </c>
      <c r="AQ34" s="52">
        <f>'15 mayıs-28 mayıs 2023'!D6</f>
        <v>14.4</v>
      </c>
      <c r="AR34" s="52">
        <f>'2 mayıs-14 mayıs 2023'!D6</f>
        <v>14.4</v>
      </c>
      <c r="AS34" s="52">
        <f>'17 nisan-1 mayıs 2023'!D6</f>
        <v>12.8</v>
      </c>
      <c r="AT34" s="52">
        <f>'17 nisan-1 mayıs 2023'!D6</f>
        <v>12.8</v>
      </c>
      <c r="AU34" s="52">
        <f>'3-16 nisan 2023'!D6</f>
        <v>16</v>
      </c>
      <c r="AV34" s="52">
        <f>'20 Mart-2 nisan 2023'!D6</f>
        <v>12</v>
      </c>
      <c r="AW34" s="52">
        <f>'6 mart-19 mart 2023'!D6</f>
        <v>12</v>
      </c>
      <c r="AX34" s="52">
        <f>'20 şubat-5 mart 2023'!D6</f>
        <v>12</v>
      </c>
      <c r="AY34" s="66">
        <f>'23 ocak-17 şubat'!D6</f>
        <v>24</v>
      </c>
      <c r="AZ34" s="66">
        <f>'26 aralık-20 ocak'!D6</f>
        <v>28</v>
      </c>
      <c r="BB34" s="52">
        <f t="shared" si="6"/>
        <v>1194</v>
      </c>
    </row>
    <row r="35">
      <c r="A35" s="38" t="s">
        <v>94</v>
      </c>
      <c r="B35" s="52">
        <f>'9-22 Aralık  2024'!D7</f>
        <v>100</v>
      </c>
      <c r="C35" s="52">
        <f>'25 Kasım-8 Aralık  2024'!D7</f>
        <v>100</v>
      </c>
      <c r="D35" s="52">
        <f>'11_24 Kasım 2024'!D7</f>
        <v>100</v>
      </c>
      <c r="E35" s="52">
        <f>'30 Ekim-10 Kasım 2024'!D7</f>
        <v>75</v>
      </c>
      <c r="F35" s="52">
        <f>'14_29 Ekim 2024'!D7</f>
        <v>100</v>
      </c>
      <c r="G35" s="52">
        <f>'30 Eylül-13 Ekim 2024'!D7</f>
        <v>100</v>
      </c>
      <c r="H35" s="52">
        <f>'2-29 Eylül 2024'!D7</f>
        <v>150</v>
      </c>
      <c r="I35" s="52">
        <f>'19-30 Ağustos 2024'!D7</f>
        <v>80</v>
      </c>
      <c r="J35" s="52">
        <f>'5-18 Ağustos 2024'!D7</f>
        <v>100</v>
      </c>
      <c r="K35" s="52">
        <f>'22 Temmuz-4 Ağustos 2024'!D7</f>
        <v>100</v>
      </c>
      <c r="L35" s="52">
        <f>'8-21 Temmuz 2024'!D7</f>
        <v>90</v>
      </c>
      <c r="M35" s="52">
        <f>'17 Haziran-7 Temmuz 2024'!D7</f>
        <v>120</v>
      </c>
      <c r="N35" s="52">
        <f>'3-16 Haziran 2024'!D7</f>
        <v>100</v>
      </c>
      <c r="O35" s="52">
        <f>'20 Mayıs-2 Haziran 2024'!D7</f>
        <v>50</v>
      </c>
      <c r="P35" s="52">
        <f>'6-19 MAYIS'!D7</f>
        <v>100</v>
      </c>
      <c r="Q35" s="52">
        <f>'22 NİSAN-5 MAYIS'!D7</f>
        <v>80</v>
      </c>
      <c r="R35" s="52">
        <f>'1-21 Nisan 2024'!D7</f>
        <v>115</v>
      </c>
      <c r="S35" s="52">
        <f>'18-31 Mart 2024'!D7</f>
        <v>100</v>
      </c>
      <c r="T35" s="52">
        <f>'4-17 Mart 2024'!D7</f>
        <v>100</v>
      </c>
      <c r="U35" s="52">
        <f>'19 şubat-3 Mart 2024'!D7</f>
        <v>100</v>
      </c>
      <c r="V35" s="52">
        <f>'5 şubat-18 Şubat 2024'!D7</f>
        <v>85</v>
      </c>
      <c r="W35" s="52">
        <f>'22 Ocak-4 Şubat 2024'!D7</f>
        <v>85</v>
      </c>
      <c r="X35" s="52">
        <f>'8 Ocak-21 Ocak 2024'!D7</f>
        <v>100</v>
      </c>
      <c r="Y35" s="52">
        <f>'25Aralık 2023-7 Ocak 2024'!D7</f>
        <v>80</v>
      </c>
      <c r="AA35" s="65">
        <f t="shared" si="5"/>
        <v>2110</v>
      </c>
      <c r="AC35" s="52">
        <f>'11 Aralık-24Aralık 2023'!D7</f>
        <v>100</v>
      </c>
      <c r="AD35" s="52">
        <f>'27 Kasım-10 Aralık'!D7</f>
        <v>90</v>
      </c>
      <c r="AE35" s="52">
        <f>'13 Kasım-26 Kasım'!D7</f>
        <v>50</v>
      </c>
      <c r="AF35" s="52">
        <f>'30 Ekim-12 Kasım'!D7</f>
        <v>100</v>
      </c>
      <c r="AG35" s="52">
        <f>'16-29 Ekim'!D7</f>
        <v>90</v>
      </c>
      <c r="AH35" s="52">
        <f>'2 Ekim-15 Ekim 2023 '!D7</f>
        <v>100</v>
      </c>
      <c r="AI35" s="52">
        <f>'18 Eylül-1 Ekim 2023'!D7</f>
        <v>100</v>
      </c>
      <c r="AJ35" s="52">
        <f>'28 Ağustos-17 Eylül 2023'!D7</f>
        <v>110</v>
      </c>
      <c r="AK35" s="52">
        <f>'14-27 Ağustos'!D7</f>
        <v>64</v>
      </c>
      <c r="AL35" s="52">
        <f>'31 Temmuz-13 Ağustos'!D7</f>
        <v>80</v>
      </c>
      <c r="AM35" s="52">
        <f>'17 Temmuz-30 Temmuz 2023'!D7</f>
        <v>80</v>
      </c>
      <c r="AN35" s="52">
        <f>'26 Haziran-16Temmuz 2023'!D7</f>
        <v>92</v>
      </c>
      <c r="AO35" s="52">
        <f>'12-25 Haziran 2023'!D7</f>
        <v>80</v>
      </c>
      <c r="AP35" s="52">
        <f>'29 mayıs-11 Haziran 2023'!D7</f>
        <v>80</v>
      </c>
      <c r="AQ35" s="52">
        <f>'15 mayıs-28 mayıs 2023'!D7</f>
        <v>14.4</v>
      </c>
      <c r="AR35" s="52">
        <f>'2 mayıs-14 mayıs 2023'!D7</f>
        <v>14.4</v>
      </c>
      <c r="AS35" s="52">
        <f>'17 nisan-1 mayıs 2023'!D7</f>
        <v>11.2</v>
      </c>
      <c r="AT35" s="52">
        <f>'17 nisan-1 mayıs 2023'!D7</f>
        <v>11.2</v>
      </c>
      <c r="AU35" s="52">
        <f>'3-16 nisan 2023'!D7</f>
        <v>16</v>
      </c>
      <c r="AV35" s="52">
        <f>'20 Mart-2 nisan 2023'!D9</f>
        <v>16</v>
      </c>
      <c r="AW35" s="52">
        <f>'6 mart-19 mart 2023'!D9</f>
        <v>16</v>
      </c>
      <c r="AX35" s="52">
        <f>'20 şubat-5 mart 2023'!D7</f>
        <v>15</v>
      </c>
      <c r="AY35" s="66">
        <f>'23 ocak-17 şubat'!D7</f>
        <v>26.2</v>
      </c>
      <c r="AZ35" s="66">
        <f>'26 aralık-20 ocak'!D7</f>
        <v>32</v>
      </c>
      <c r="BB35" s="52">
        <f t="shared" si="6"/>
        <v>1216</v>
      </c>
    </row>
    <row r="36">
      <c r="A36" s="7" t="s">
        <v>95</v>
      </c>
      <c r="AG36" s="52">
        <f>'16-29 Ekim'!D8</f>
        <v>42.5</v>
      </c>
      <c r="AH36" s="52">
        <f>'2 Ekim-15 Ekim 2023 '!D8</f>
        <v>50</v>
      </c>
      <c r="AI36" s="52">
        <f>'18 Eylül-1 Ekim 2023'!D8</f>
        <v>50</v>
      </c>
      <c r="AJ36" s="52">
        <f>'28 Ağustos-17 Eylül 2023'!D8</f>
        <v>60</v>
      </c>
      <c r="AK36" s="52">
        <f>'14-27 Ağustos'!D8</f>
        <v>40</v>
      </c>
      <c r="AL36" s="52">
        <f>'31 Temmuz-13 Ağustos'!D8</f>
        <v>50</v>
      </c>
      <c r="AM36" s="52">
        <f>'17 Temmuz-30 Temmuz 2023'!D8</f>
        <v>40</v>
      </c>
      <c r="AN36" s="52">
        <f>'26 Haziran-16Temmuz 2023'!D8</f>
        <v>50</v>
      </c>
      <c r="AO36" s="52" t="str">
        <f>'12-25 Haziran 2023'!D8</f>
        <v/>
      </c>
      <c r="AP36" s="66" t="str">
        <f>'29 mayıs-11 Haziran 2023'!D8</f>
        <v/>
      </c>
      <c r="AQ36" s="66" t="str">
        <f>'15 mayıs-28 mayıs 2023'!D8</f>
        <v/>
      </c>
      <c r="AR36" s="66" t="str">
        <f>'2 mayıs-14 mayıs 2023'!D8</f>
        <v/>
      </c>
      <c r="AS36" s="66" t="str">
        <f>'17 nisan-1 mayıs 2023'!D8</f>
        <v/>
      </c>
      <c r="AT36" s="66" t="str">
        <f>'17 nisan-1 mayıs 2023'!D8</f>
        <v/>
      </c>
      <c r="AU36" s="66" t="str">
        <f>'3-16 nisan 2023'!D8</f>
        <v/>
      </c>
      <c r="AV36" s="66" t="str">
        <f>'20 Mart-2 nisan 2023'!D8</f>
        <v/>
      </c>
      <c r="AW36" s="66" t="str">
        <f>'6 mart-19 mart 2023'!D8</f>
        <v/>
      </c>
      <c r="AX36" s="66" t="str">
        <f>'20 şubat-5 mart 2023'!D8</f>
        <v/>
      </c>
      <c r="AY36" s="66" t="str">
        <f>'23 ocak-17 şubat'!D8</f>
        <v/>
      </c>
      <c r="AZ36" s="66" t="str">
        <f>'26 aralık-20 ocak'!D8</f>
        <v/>
      </c>
      <c r="BB36" s="66">
        <f t="shared" si="6"/>
        <v>382.5</v>
      </c>
    </row>
    <row r="37">
      <c r="A37" s="7" t="s">
        <v>96</v>
      </c>
      <c r="B37" s="52">
        <f>'9-22 Aralık  2024'!D8</f>
        <v>80</v>
      </c>
      <c r="C37" s="52">
        <f>'25 Kasım-8 Aralık  2024'!D8</f>
        <v>80</v>
      </c>
      <c r="D37" s="52">
        <f>'11_24 Kasım 2024'!D8</f>
        <v>80</v>
      </c>
      <c r="E37" s="52">
        <f>'30 Ekim-10 Kasım 2024'!D8</f>
        <v>64</v>
      </c>
      <c r="F37" s="52">
        <f>'14_29 Ekim 2024'!D8</f>
        <v>72</v>
      </c>
      <c r="G37" s="52">
        <f>'30 Eylül-13 Ekim 2024'!D8</f>
        <v>72</v>
      </c>
      <c r="H37" s="52">
        <f>'2-29 Eylül 2024'!D8</f>
        <v>120</v>
      </c>
      <c r="I37" s="52">
        <f>'19-30 Ağustos 2024'!D8</f>
        <v>72</v>
      </c>
      <c r="J37" s="52">
        <f>'5-18 Ağustos 2024'!D8</f>
        <v>80</v>
      </c>
      <c r="K37" s="52">
        <f>'22 Temmuz-4 Ağustos 2024'!D8</f>
        <v>80</v>
      </c>
      <c r="L37" s="52">
        <f>'8-21 Temmuz 2024'!D8</f>
        <v>72</v>
      </c>
      <c r="M37" s="52">
        <f>'17 Haziran-7 Temmuz 2024'!D8</f>
        <v>92</v>
      </c>
      <c r="N37" s="52">
        <f>'3-16 Haziran 2024'!D8</f>
        <v>80</v>
      </c>
      <c r="O37" s="52">
        <f>'20 Mayıs-2 Haziran 2024'!D8</f>
        <v>80</v>
      </c>
      <c r="P37" s="52">
        <f>'6-19 MAYIS'!D8</f>
        <v>72</v>
      </c>
      <c r="Q37" s="52">
        <f>'22 NİSAN-5 MAYIS'!D8</f>
        <v>64</v>
      </c>
      <c r="R37" s="52">
        <f>'1-21 Nisan 2024'!D8</f>
        <v>92</v>
      </c>
      <c r="S37" s="52">
        <f>'18-31 Mart 2024'!D8</f>
        <v>80</v>
      </c>
      <c r="T37" s="52">
        <f>'4-17 Mart 2024'!D8</f>
        <v>80</v>
      </c>
      <c r="U37" s="52">
        <f>'19 şubat-3 Mart 2024'!D8</f>
        <v>80</v>
      </c>
      <c r="V37" s="52">
        <f>'5 şubat-18 Şubat 2024'!D8</f>
        <v>80</v>
      </c>
      <c r="W37" s="52">
        <f>'22 Ocak-4 Şubat 2024'!D8</f>
        <v>80</v>
      </c>
      <c r="X37" s="52">
        <f>'8 Ocak-21 Ocak 2024'!D8</f>
        <v>80</v>
      </c>
      <c r="Y37" s="52">
        <f>'25Aralık 2023-7 Ocak 2024'!D8</f>
        <v>72</v>
      </c>
      <c r="AA37" s="65">
        <f>SUM(D37:Y37)</f>
        <v>1744</v>
      </c>
      <c r="AC37" s="52">
        <f>'11 Aralık-24Aralık 2023'!D8</f>
        <v>76</v>
      </c>
      <c r="AD37" s="52">
        <f>'27 Kasım-10 Aralık'!D8</f>
        <v>72</v>
      </c>
      <c r="AE37" s="52">
        <f>'13 Kasım-26 Kasım'!D8</f>
        <v>64</v>
      </c>
      <c r="AF37" s="52">
        <f>'30 Ekim-12 Kasım'!D8</f>
        <v>72</v>
      </c>
      <c r="AG37" s="52">
        <f>'16-29 Ekim'!D9</f>
        <v>64</v>
      </c>
      <c r="AH37" s="52">
        <f>'2 Ekim-15 Ekim 2023 '!D9</f>
        <v>80</v>
      </c>
      <c r="AI37" s="52">
        <f>'18 Eylül-1 Ekim 2023'!D9</f>
        <v>80</v>
      </c>
      <c r="AJ37" s="52">
        <f>'28 Ağustos-17 Eylül 2023'!D9</f>
        <v>40</v>
      </c>
      <c r="AK37" s="52" t="str">
        <f>'14-27 Ağustos'!D9</f>
        <v/>
      </c>
      <c r="AL37" s="52">
        <f>'31 Temmuz-13 Ağustos'!D9</f>
        <v>50</v>
      </c>
      <c r="AM37" s="52">
        <f>'17 Temmuz-30 Temmuz 2023'!D9</f>
        <v>50</v>
      </c>
      <c r="AN37" s="66" t="str">
        <f>'26 Haziran-16Temmuz 2023'!D9</f>
        <v/>
      </c>
      <c r="AO37" s="66" t="str">
        <f>'12-25 Haziran 2023'!D9</f>
        <v/>
      </c>
      <c r="AP37" s="66" t="str">
        <f>'29 mayıs-11 Haziran 2023'!D9</f>
        <v/>
      </c>
      <c r="AQ37" s="66" t="str">
        <f>'15 mayıs-28 mayıs 2023'!D9</f>
        <v/>
      </c>
      <c r="AR37" s="66" t="str">
        <f>'2 mayıs-14 mayıs 2023'!D9</f>
        <v/>
      </c>
      <c r="AS37" s="66" t="str">
        <f>'17 nisan-1 mayıs 2023'!D9</f>
        <v/>
      </c>
      <c r="AT37" s="66" t="str">
        <f>'17 nisan-1 mayıs 2023'!D9</f>
        <v/>
      </c>
      <c r="AU37" s="66" t="str">
        <f>'3-16 nisan 2023'!D9</f>
        <v/>
      </c>
      <c r="AX37" s="66" t="str">
        <f>'20 şubat-5 mart 2023'!D9</f>
        <v/>
      </c>
      <c r="AY37" s="66" t="str">
        <f>'23 ocak-17 şubat'!D9</f>
        <v/>
      </c>
      <c r="AZ37" s="66" t="str">
        <f>'26 aralık-20 ocak'!D9</f>
        <v/>
      </c>
      <c r="BB37" s="52">
        <f t="shared" si="6"/>
        <v>648</v>
      </c>
    </row>
    <row r="38">
      <c r="A38" s="7" t="s">
        <v>89</v>
      </c>
      <c r="B38" s="66" t="str">
        <f>'9-22 Aralık  2024'!D10</f>
        <v/>
      </c>
      <c r="C38" s="66" t="str">
        <f>'25 Kasım-8 Aralık  2024'!D10</f>
        <v/>
      </c>
      <c r="D38" s="66" t="str">
        <f>'11_24 Kasım 2024'!D10</f>
        <v/>
      </c>
      <c r="E38" s="66" t="str">
        <f>'30 Ekim-10 Kasım 2024'!D10</f>
        <v/>
      </c>
      <c r="F38" s="66" t="str">
        <f>'14_29 Ekim 2024'!D10</f>
        <v/>
      </c>
      <c r="G38" s="66" t="str">
        <f>'30 Eylül-13 Ekim 2024'!D10</f>
        <v/>
      </c>
      <c r="S38" s="66" t="str">
        <f>'18-31 Mart 2024'!D10</f>
        <v/>
      </c>
      <c r="AA38" s="67"/>
      <c r="AC38" s="66" t="str">
        <f>'11 Aralık-24Aralık 2023'!D10</f>
        <v/>
      </c>
      <c r="AD38" s="66" t="str">
        <f>'27 Kasım-10 Aralık'!D10</f>
        <v/>
      </c>
      <c r="AE38" s="66" t="str">
        <f>'13 Kasım-26 Kasım'!D10</f>
        <v/>
      </c>
      <c r="AF38" s="66" t="str">
        <f>'30 Ekim-12 Kasım'!D10</f>
        <v/>
      </c>
      <c r="AI38" s="66" t="str">
        <f>'18 Eylül-1 Ekim 2023'!D10</f>
        <v/>
      </c>
      <c r="AJ38" s="66" t="str">
        <f>'28 Ağustos-17 Eylül 2023'!D10</f>
        <v/>
      </c>
      <c r="AK38" s="66" t="str">
        <f>'14-27 Ağustos'!D10</f>
        <v/>
      </c>
      <c r="AL38" s="66" t="str">
        <f>'31 Temmuz-13 Ağustos'!D10</f>
        <v/>
      </c>
      <c r="AM38" s="66" t="str">
        <f>'17 Temmuz-30 Temmuz 2023'!D10</f>
        <v/>
      </c>
      <c r="AN38" s="66" t="str">
        <f>'26 Haziran-16Temmuz 2023'!D10</f>
        <v/>
      </c>
      <c r="AO38" s="66" t="str">
        <f>'12-25 Haziran 2023'!D10</f>
        <v/>
      </c>
      <c r="AP38" s="52">
        <f>'29 mayıs-11 Haziran 2023'!D10</f>
        <v>100</v>
      </c>
      <c r="AQ38" s="52">
        <f>'15 mayıs-28 mayıs 2023'!D10</f>
        <v>18</v>
      </c>
      <c r="AR38" s="52">
        <f>'2 mayıs-14 mayıs 2023'!D10</f>
        <v>18</v>
      </c>
      <c r="AS38" s="52">
        <f>'17 nisan-1 mayıs 2023'!D10</f>
        <v>16</v>
      </c>
      <c r="AT38" s="52">
        <f>'17 nisan-1 mayıs 2023'!D10</f>
        <v>16</v>
      </c>
      <c r="AU38" s="52">
        <f>'3-16 nisan 2023'!D10</f>
        <v>20</v>
      </c>
      <c r="AV38" s="52">
        <f>'20 Mart-2 nisan 2023'!D10</f>
        <v>20</v>
      </c>
      <c r="AW38" s="52">
        <f>'6 mart-19 mart 2023'!D10</f>
        <v>20</v>
      </c>
      <c r="AX38" s="52">
        <f>'20 şubat-5 mart 2023'!D10</f>
        <v>19</v>
      </c>
      <c r="AY38" s="66">
        <f>'23 ocak-17 şubat'!D10</f>
        <v>40</v>
      </c>
      <c r="AZ38" s="66">
        <f>'26 aralık-20 ocak'!D10</f>
        <v>36</v>
      </c>
      <c r="BB38" s="55">
        <v>100.0</v>
      </c>
    </row>
    <row r="39">
      <c r="A39" s="7" t="s">
        <v>92</v>
      </c>
      <c r="B39" s="66" t="str">
        <f>'9-22 Aralık  2024'!D11</f>
        <v/>
      </c>
      <c r="C39" s="66" t="str">
        <f>'25 Kasım-8 Aralık  2024'!D11</f>
        <v/>
      </c>
      <c r="D39" s="66" t="str">
        <f>'11_24 Kasım 2024'!D11</f>
        <v/>
      </c>
      <c r="E39" s="66" t="str">
        <f>'30 Ekim-10 Kasım 2024'!D11</f>
        <v/>
      </c>
      <c r="S39" s="66" t="str">
        <f>'18-31 Mart 2024'!D11</f>
        <v/>
      </c>
      <c r="AA39" s="67"/>
      <c r="AC39" s="66" t="str">
        <f>'11 Aralık-24Aralık 2023'!D11</f>
        <v/>
      </c>
      <c r="AD39" s="66" t="str">
        <f>'27 Kasım-10 Aralık'!D11</f>
        <v/>
      </c>
      <c r="AE39" s="66" t="str">
        <f>'13 Kasım-26 Kasım'!D11</f>
        <v/>
      </c>
      <c r="AF39" s="66" t="str">
        <f>'30 Ekim-12 Kasım'!D11</f>
        <v/>
      </c>
      <c r="AG39" s="66" t="str">
        <f>'16-29 Ekim'!D11</f>
        <v/>
      </c>
      <c r="AH39" s="66" t="str">
        <f>'2 Ekim-15 Ekim 2023 '!D11</f>
        <v/>
      </c>
      <c r="AI39" s="66" t="str">
        <f>'18 Eylül-1 Ekim 2023'!D11</f>
        <v/>
      </c>
      <c r="AJ39" s="66" t="str">
        <f>'28 Ağustos-17 Eylül 2023'!D11</f>
        <v/>
      </c>
      <c r="AK39" s="66" t="str">
        <f>'14-27 Ağustos'!D11</f>
        <v/>
      </c>
      <c r="AL39" s="66" t="str">
        <f>'31 Temmuz-13 Ağustos'!D11</f>
        <v/>
      </c>
      <c r="AO39" s="66" t="str">
        <f>'12-25 Haziran 2023'!D11</f>
        <v/>
      </c>
      <c r="AP39" s="52">
        <f>'29 mayıs-11 Haziran 2023'!D11</f>
        <v>80</v>
      </c>
      <c r="AQ39" s="52">
        <f>'15 mayıs-28 mayıs 2023'!D11</f>
        <v>14.4</v>
      </c>
      <c r="AR39" s="52">
        <f>'2 mayıs-14 mayıs 2023'!D11</f>
        <v>9.6</v>
      </c>
      <c r="AS39" s="52">
        <f>'17 nisan-1 mayıs 2023'!D11</f>
        <v>12.8</v>
      </c>
      <c r="AT39" s="52">
        <f>'17 nisan-1 mayıs 2023'!D11</f>
        <v>12.8</v>
      </c>
      <c r="AU39" s="52">
        <f>'3-16 nisan 2023'!D11</f>
        <v>12.8</v>
      </c>
      <c r="AV39" s="52">
        <f>'20 Mart-2 nisan 2023'!D11</f>
        <v>16</v>
      </c>
      <c r="AW39" s="52">
        <f>'6 mart-19 mart 2023'!D11</f>
        <v>16</v>
      </c>
      <c r="AX39" s="52">
        <f>'20 şubat-5 mart 2023'!D11</f>
        <v>10.5</v>
      </c>
      <c r="AY39" s="66">
        <f>'23 ocak-17 şubat'!D11</f>
        <v>27.8</v>
      </c>
      <c r="AZ39" s="66">
        <f>'26 aralık-20 ocak'!D11</f>
        <v>32</v>
      </c>
      <c r="BB39" s="55">
        <v>80.0</v>
      </c>
    </row>
    <row r="40">
      <c r="AA40" s="67"/>
      <c r="AO40" s="66" t="str">
        <f>'12-25 Haziran 2023'!D12</f>
        <v/>
      </c>
      <c r="AP40" s="66" t="str">
        <f>'29 mayıs-11 Haziran 2023'!D12</f>
        <v/>
      </c>
      <c r="AQ40" s="66" t="str">
        <f>'15 mayıs-28 mayıs 2023'!D12</f>
        <v/>
      </c>
      <c r="AR40" s="66" t="str">
        <f>'2 mayıs-14 mayıs 2023'!D12</f>
        <v/>
      </c>
      <c r="AS40" s="66" t="str">
        <f>'17 nisan-1 mayıs 2023'!D12</f>
        <v/>
      </c>
      <c r="AT40" s="66" t="str">
        <f>'17 nisan-1 mayıs 2023'!D12</f>
        <v/>
      </c>
      <c r="AU40" s="66" t="str">
        <f>'3-16 nisan 2023'!D12</f>
        <v/>
      </c>
      <c r="AV40" s="66" t="str">
        <f>'20 Mart-2 nisan 2023'!D12</f>
        <v/>
      </c>
      <c r="AW40" s="66" t="str">
        <f>'6 mart-19 mart 2023'!D12</f>
        <v/>
      </c>
      <c r="AX40" s="66" t="str">
        <f>'20 şubat-5 mart 2023'!D12</f>
        <v/>
      </c>
      <c r="AY40" s="66" t="str">
        <f>'23 ocak-17 şubat'!D12</f>
        <v/>
      </c>
      <c r="AZ40" s="66" t="str">
        <f>'26 aralık-20 ocak'!D12</f>
        <v/>
      </c>
    </row>
    <row r="41">
      <c r="AA41" s="65">
        <f>SUM(AA30:AA37)</f>
        <v>13060.25</v>
      </c>
      <c r="BB41" s="66">
        <f>SUM(BB30:BB39)*11/6</f>
        <v>14951.75</v>
      </c>
    </row>
    <row r="42">
      <c r="AA42" s="67"/>
    </row>
    <row r="43">
      <c r="AA43" s="67"/>
    </row>
    <row r="44">
      <c r="AA44" s="67"/>
    </row>
    <row r="45">
      <c r="AA45" s="67"/>
    </row>
    <row r="46">
      <c r="AA46" s="67"/>
    </row>
    <row r="47">
      <c r="AA47" s="67"/>
    </row>
    <row r="48">
      <c r="AA48" s="67"/>
    </row>
    <row r="49">
      <c r="AA49" s="67"/>
    </row>
    <row r="50">
      <c r="AA50" s="67"/>
    </row>
    <row r="51">
      <c r="AA51" s="67"/>
    </row>
    <row r="52">
      <c r="AA52" s="67"/>
    </row>
    <row r="53">
      <c r="AA53" s="67"/>
    </row>
    <row r="54">
      <c r="AA54" s="67"/>
    </row>
    <row r="55">
      <c r="AA55" s="67"/>
    </row>
    <row r="56">
      <c r="AA56" s="67"/>
    </row>
    <row r="57">
      <c r="AA57" s="67"/>
    </row>
    <row r="58">
      <c r="AA58" s="67"/>
    </row>
    <row r="59">
      <c r="AA59" s="67"/>
    </row>
    <row r="60">
      <c r="AA60" s="67"/>
    </row>
    <row r="61">
      <c r="AA61" s="67"/>
    </row>
    <row r="62">
      <c r="AA62" s="67"/>
    </row>
    <row r="63">
      <c r="AA63" s="67"/>
    </row>
    <row r="64">
      <c r="AA64" s="67"/>
    </row>
    <row r="65">
      <c r="AA65" s="67"/>
    </row>
    <row r="66">
      <c r="AA66" s="67"/>
    </row>
    <row r="67">
      <c r="AA67" s="67"/>
    </row>
    <row r="68">
      <c r="AA68" s="67"/>
    </row>
    <row r="69">
      <c r="AA69" s="67"/>
    </row>
    <row r="70">
      <c r="AA70" s="67"/>
    </row>
    <row r="71">
      <c r="AA71" s="67"/>
    </row>
    <row r="72">
      <c r="AA72" s="67"/>
    </row>
    <row r="73">
      <c r="AA73" s="67"/>
    </row>
    <row r="74">
      <c r="AA74" s="67"/>
    </row>
    <row r="75">
      <c r="AA75" s="67"/>
    </row>
    <row r="76">
      <c r="AA76" s="67"/>
    </row>
    <row r="77">
      <c r="AA77" s="67"/>
    </row>
    <row r="78">
      <c r="AA78" s="67"/>
    </row>
    <row r="79">
      <c r="AA79" s="67"/>
    </row>
    <row r="80">
      <c r="AA80" s="67"/>
    </row>
    <row r="81">
      <c r="AA81" s="67"/>
    </row>
    <row r="82">
      <c r="AA82" s="67"/>
    </row>
    <row r="83">
      <c r="AA83" s="67"/>
    </row>
    <row r="84">
      <c r="AA84" s="67"/>
    </row>
    <row r="85">
      <c r="AA85" s="67"/>
    </row>
    <row r="86">
      <c r="AA86" s="67"/>
    </row>
    <row r="87">
      <c r="AA87" s="67"/>
    </row>
    <row r="88">
      <c r="AA88" s="67"/>
    </row>
    <row r="89">
      <c r="AA89" s="67"/>
    </row>
    <row r="90">
      <c r="AA90" s="67"/>
    </row>
    <row r="91">
      <c r="AA91" s="67"/>
    </row>
    <row r="92">
      <c r="AA92" s="67"/>
    </row>
    <row r="93">
      <c r="AA93" s="67"/>
    </row>
    <row r="94">
      <c r="AA94" s="67"/>
    </row>
    <row r="95">
      <c r="AA95" s="67"/>
    </row>
    <row r="96">
      <c r="AA96" s="67"/>
    </row>
    <row r="97">
      <c r="AA97" s="67"/>
    </row>
    <row r="98">
      <c r="AA98" s="67"/>
    </row>
    <row r="99">
      <c r="AA99" s="67"/>
    </row>
    <row r="100">
      <c r="AA100" s="67"/>
    </row>
    <row r="101">
      <c r="AA101" s="67"/>
    </row>
    <row r="102">
      <c r="AA102" s="67"/>
    </row>
    <row r="103">
      <c r="AA103" s="67"/>
    </row>
    <row r="104">
      <c r="AA104" s="67"/>
    </row>
    <row r="105">
      <c r="AA105" s="67"/>
    </row>
    <row r="106">
      <c r="AA106" s="67"/>
    </row>
    <row r="107">
      <c r="AA107" s="67"/>
    </row>
    <row r="108">
      <c r="AA108" s="67"/>
    </row>
    <row r="109">
      <c r="AA109" s="67"/>
    </row>
    <row r="110">
      <c r="AA110" s="67"/>
    </row>
    <row r="111">
      <c r="AA111" s="67"/>
    </row>
    <row r="112">
      <c r="AA112" s="67"/>
    </row>
    <row r="113">
      <c r="AA113" s="67"/>
    </row>
    <row r="114">
      <c r="AA114" s="67"/>
    </row>
    <row r="115">
      <c r="AA115" s="67"/>
    </row>
    <row r="116">
      <c r="AA116" s="67"/>
    </row>
    <row r="117">
      <c r="AA117" s="67"/>
    </row>
    <row r="118">
      <c r="AA118" s="67"/>
    </row>
    <row r="119">
      <c r="AA119" s="67"/>
    </row>
    <row r="120">
      <c r="AA120" s="67"/>
    </row>
    <row r="121">
      <c r="AA121" s="67"/>
    </row>
    <row r="122">
      <c r="AA122" s="67"/>
    </row>
    <row r="123">
      <c r="AA123" s="67"/>
    </row>
    <row r="124">
      <c r="AA124" s="67"/>
    </row>
    <row r="125">
      <c r="AA125" s="67"/>
    </row>
    <row r="126">
      <c r="AA126" s="67"/>
    </row>
    <row r="127">
      <c r="AA127" s="67"/>
    </row>
    <row r="128">
      <c r="AA128" s="67"/>
    </row>
    <row r="129">
      <c r="AA129" s="67"/>
    </row>
    <row r="130">
      <c r="AA130" s="67"/>
    </row>
    <row r="131">
      <c r="AA131" s="67"/>
    </row>
    <row r="132">
      <c r="AA132" s="67"/>
    </row>
    <row r="133">
      <c r="AA133" s="67"/>
    </row>
    <row r="134">
      <c r="AA134" s="67"/>
    </row>
    <row r="135">
      <c r="AA135" s="67"/>
    </row>
    <row r="136">
      <c r="AA136" s="67"/>
    </row>
    <row r="137">
      <c r="AA137" s="67"/>
    </row>
    <row r="138">
      <c r="AA138" s="67"/>
    </row>
    <row r="139">
      <c r="AA139" s="67"/>
    </row>
    <row r="140">
      <c r="AA140" s="67"/>
    </row>
    <row r="141">
      <c r="AA141" s="67"/>
    </row>
    <row r="142">
      <c r="AA142" s="67"/>
    </row>
    <row r="143">
      <c r="AA143" s="67"/>
    </row>
    <row r="144">
      <c r="AA144" s="67"/>
    </row>
    <row r="145">
      <c r="AA145" s="67"/>
    </row>
    <row r="146">
      <c r="AA146" s="67"/>
    </row>
    <row r="147">
      <c r="AA147" s="67"/>
    </row>
    <row r="148">
      <c r="AA148" s="67"/>
    </row>
    <row r="149">
      <c r="AA149" s="67"/>
    </row>
    <row r="150">
      <c r="AA150" s="67"/>
    </row>
    <row r="151">
      <c r="AA151" s="67"/>
    </row>
    <row r="152">
      <c r="AA152" s="67"/>
    </row>
    <row r="153">
      <c r="AA153" s="67"/>
    </row>
    <row r="154">
      <c r="AA154" s="67"/>
    </row>
    <row r="155">
      <c r="AA155" s="67"/>
    </row>
    <row r="156">
      <c r="AA156" s="67"/>
    </row>
    <row r="157">
      <c r="AA157" s="67"/>
    </row>
    <row r="158">
      <c r="AA158" s="67"/>
    </row>
    <row r="159">
      <c r="AA159" s="67"/>
    </row>
    <row r="160">
      <c r="AA160" s="67"/>
    </row>
    <row r="161">
      <c r="AA161" s="67"/>
    </row>
    <row r="162">
      <c r="AA162" s="67"/>
    </row>
    <row r="163">
      <c r="AA163" s="67"/>
    </row>
    <row r="164">
      <c r="AA164" s="67"/>
    </row>
    <row r="165">
      <c r="AA165" s="67"/>
    </row>
    <row r="166">
      <c r="AA166" s="67"/>
    </row>
    <row r="167">
      <c r="AA167" s="67"/>
    </row>
    <row r="168">
      <c r="AA168" s="67"/>
    </row>
    <row r="169">
      <c r="AA169" s="67"/>
    </row>
    <row r="170">
      <c r="AA170" s="67"/>
    </row>
    <row r="171">
      <c r="AA171" s="67"/>
    </row>
    <row r="172">
      <c r="AA172" s="67"/>
    </row>
    <row r="173">
      <c r="AA173" s="67"/>
    </row>
    <row r="174">
      <c r="AA174" s="67"/>
    </row>
    <row r="175">
      <c r="AA175" s="67"/>
    </row>
    <row r="176">
      <c r="AA176" s="67"/>
    </row>
    <row r="177">
      <c r="AA177" s="67"/>
    </row>
    <row r="178">
      <c r="AA178" s="67"/>
    </row>
    <row r="179">
      <c r="AA179" s="67"/>
    </row>
    <row r="180">
      <c r="AA180" s="67"/>
    </row>
    <row r="181">
      <c r="AA181" s="67"/>
    </row>
    <row r="182">
      <c r="AA182" s="67"/>
    </row>
    <row r="183">
      <c r="AA183" s="67"/>
    </row>
    <row r="184">
      <c r="AA184" s="67"/>
    </row>
    <row r="185">
      <c r="AA185" s="67"/>
    </row>
    <row r="186">
      <c r="AA186" s="67"/>
    </row>
    <row r="187">
      <c r="AA187" s="67"/>
    </row>
    <row r="188">
      <c r="AA188" s="67"/>
    </row>
    <row r="189">
      <c r="AA189" s="67"/>
    </row>
    <row r="190">
      <c r="AA190" s="67"/>
    </row>
    <row r="191">
      <c r="AA191" s="67"/>
    </row>
    <row r="192">
      <c r="AA192" s="67"/>
    </row>
    <row r="193">
      <c r="AA193" s="67"/>
    </row>
    <row r="194">
      <c r="AA194" s="67"/>
    </row>
    <row r="195">
      <c r="AA195" s="67"/>
    </row>
    <row r="196">
      <c r="AA196" s="67"/>
    </row>
    <row r="197">
      <c r="AA197" s="67"/>
    </row>
    <row r="198">
      <c r="AA198" s="67"/>
    </row>
    <row r="199">
      <c r="AA199" s="67"/>
    </row>
    <row r="200">
      <c r="AA200" s="67"/>
    </row>
    <row r="201">
      <c r="AA201" s="67"/>
    </row>
    <row r="202">
      <c r="AA202" s="67"/>
    </row>
    <row r="203">
      <c r="AA203" s="67"/>
    </row>
    <row r="204">
      <c r="AA204" s="67"/>
    </row>
    <row r="205">
      <c r="AA205" s="67"/>
    </row>
    <row r="206">
      <c r="AA206" s="67"/>
    </row>
    <row r="207">
      <c r="AA207" s="67"/>
    </row>
    <row r="208">
      <c r="AA208" s="67"/>
    </row>
    <row r="209">
      <c r="AA209" s="67"/>
    </row>
    <row r="210">
      <c r="AA210" s="67"/>
    </row>
    <row r="211">
      <c r="AA211" s="67"/>
    </row>
    <row r="212">
      <c r="AA212" s="67"/>
    </row>
    <row r="213">
      <c r="AA213" s="67"/>
    </row>
    <row r="214">
      <c r="AA214" s="67"/>
    </row>
    <row r="215">
      <c r="AA215" s="67"/>
    </row>
    <row r="216">
      <c r="AA216" s="67"/>
    </row>
    <row r="217">
      <c r="AA217" s="67"/>
    </row>
    <row r="218">
      <c r="AA218" s="67"/>
    </row>
    <row r="219">
      <c r="AA219" s="67"/>
    </row>
    <row r="220">
      <c r="AA220" s="67"/>
    </row>
    <row r="221">
      <c r="AA221" s="67"/>
    </row>
    <row r="222">
      <c r="AA222" s="67"/>
    </row>
    <row r="223">
      <c r="AA223" s="67"/>
    </row>
    <row r="224">
      <c r="AA224" s="67"/>
    </row>
    <row r="225">
      <c r="AA225" s="67"/>
    </row>
    <row r="226">
      <c r="AA226" s="67"/>
    </row>
    <row r="227">
      <c r="AA227" s="67"/>
    </row>
    <row r="228">
      <c r="AA228" s="67"/>
    </row>
    <row r="229">
      <c r="AA229" s="67"/>
    </row>
    <row r="230">
      <c r="AA230" s="67"/>
    </row>
    <row r="231">
      <c r="AA231" s="67"/>
    </row>
    <row r="232">
      <c r="AA232" s="67"/>
    </row>
    <row r="233">
      <c r="AA233" s="67"/>
    </row>
    <row r="234">
      <c r="AA234" s="67"/>
    </row>
    <row r="235">
      <c r="AA235" s="67"/>
    </row>
    <row r="236">
      <c r="AA236" s="67"/>
    </row>
    <row r="237">
      <c r="AA237" s="67"/>
    </row>
    <row r="238">
      <c r="AA238" s="67"/>
    </row>
    <row r="239">
      <c r="AA239" s="67"/>
    </row>
    <row r="240">
      <c r="AA240" s="67"/>
    </row>
    <row r="241">
      <c r="AA241" s="67"/>
    </row>
    <row r="242">
      <c r="AA242" s="67"/>
    </row>
    <row r="243">
      <c r="AA243" s="67"/>
    </row>
    <row r="244">
      <c r="AA244" s="67"/>
    </row>
    <row r="245">
      <c r="AA245" s="67"/>
    </row>
    <row r="246">
      <c r="AA246" s="67"/>
    </row>
    <row r="247">
      <c r="AA247" s="67"/>
    </row>
    <row r="248">
      <c r="AA248" s="67"/>
    </row>
    <row r="249">
      <c r="AA249" s="67"/>
    </row>
    <row r="250">
      <c r="AA250" s="67"/>
    </row>
    <row r="251">
      <c r="AA251" s="67"/>
    </row>
    <row r="252">
      <c r="AA252" s="67"/>
    </row>
    <row r="253">
      <c r="AA253" s="67"/>
    </row>
    <row r="254">
      <c r="AA254" s="67"/>
    </row>
    <row r="255">
      <c r="AA255" s="67"/>
    </row>
    <row r="256">
      <c r="AA256" s="67"/>
    </row>
    <row r="257">
      <c r="AA257" s="67"/>
    </row>
    <row r="258">
      <c r="AA258" s="67"/>
    </row>
    <row r="259">
      <c r="AA259" s="67"/>
    </row>
    <row r="260">
      <c r="AA260" s="67"/>
    </row>
    <row r="261">
      <c r="AA261" s="67"/>
    </row>
    <row r="262">
      <c r="AA262" s="67"/>
    </row>
    <row r="263">
      <c r="AA263" s="67"/>
    </row>
    <row r="264">
      <c r="AA264" s="67"/>
    </row>
    <row r="265">
      <c r="AA265" s="67"/>
    </row>
    <row r="266">
      <c r="AA266" s="67"/>
    </row>
    <row r="267">
      <c r="AA267" s="67"/>
    </row>
    <row r="268">
      <c r="AA268" s="67"/>
    </row>
    <row r="269">
      <c r="AA269" s="67"/>
    </row>
    <row r="270">
      <c r="AA270" s="67"/>
    </row>
    <row r="271">
      <c r="AA271" s="67"/>
    </row>
    <row r="272">
      <c r="AA272" s="67"/>
    </row>
    <row r="273">
      <c r="AA273" s="67"/>
    </row>
    <row r="274">
      <c r="AA274" s="67"/>
    </row>
    <row r="275">
      <c r="AA275" s="67"/>
    </row>
    <row r="276">
      <c r="AA276" s="67"/>
    </row>
    <row r="277">
      <c r="AA277" s="67"/>
    </row>
    <row r="278">
      <c r="AA278" s="67"/>
    </row>
    <row r="279">
      <c r="AA279" s="67"/>
    </row>
    <row r="280">
      <c r="AA280" s="67"/>
    </row>
    <row r="281">
      <c r="AA281" s="67"/>
    </row>
    <row r="282">
      <c r="AA282" s="67"/>
    </row>
    <row r="283">
      <c r="AA283" s="67"/>
    </row>
    <row r="284">
      <c r="AA284" s="67"/>
    </row>
    <row r="285">
      <c r="AA285" s="67"/>
    </row>
    <row r="286">
      <c r="AA286" s="67"/>
    </row>
    <row r="287">
      <c r="AA287" s="67"/>
    </row>
    <row r="288">
      <c r="AA288" s="67"/>
    </row>
    <row r="289">
      <c r="AA289" s="67"/>
    </row>
    <row r="290">
      <c r="AA290" s="67"/>
    </row>
    <row r="291">
      <c r="AA291" s="67"/>
    </row>
    <row r="292">
      <c r="AA292" s="67"/>
    </row>
    <row r="293">
      <c r="AA293" s="67"/>
    </row>
    <row r="294">
      <c r="AA294" s="67"/>
    </row>
    <row r="295">
      <c r="AA295" s="67"/>
    </row>
    <row r="296">
      <c r="AA296" s="67"/>
    </row>
    <row r="297">
      <c r="AA297" s="67"/>
    </row>
    <row r="298">
      <c r="AA298" s="67"/>
    </row>
    <row r="299">
      <c r="AA299" s="67"/>
    </row>
    <row r="300">
      <c r="AA300" s="67"/>
    </row>
    <row r="301">
      <c r="AA301" s="67"/>
    </row>
    <row r="302">
      <c r="AA302" s="67"/>
    </row>
    <row r="303">
      <c r="AA303" s="67"/>
    </row>
    <row r="304">
      <c r="AA304" s="67"/>
    </row>
    <row r="305">
      <c r="AA305" s="67"/>
    </row>
    <row r="306">
      <c r="AA306" s="67"/>
    </row>
    <row r="307">
      <c r="AA307" s="67"/>
    </row>
    <row r="308">
      <c r="AA308" s="67"/>
    </row>
    <row r="309">
      <c r="AA309" s="67"/>
    </row>
    <row r="310">
      <c r="AA310" s="67"/>
    </row>
    <row r="311">
      <c r="AA311" s="67"/>
    </row>
    <row r="312">
      <c r="AA312" s="67"/>
    </row>
    <row r="313">
      <c r="AA313" s="67"/>
    </row>
    <row r="314">
      <c r="AA314" s="67"/>
    </row>
    <row r="315">
      <c r="AA315" s="67"/>
    </row>
    <row r="316">
      <c r="AA316" s="67"/>
    </row>
    <row r="317">
      <c r="AA317" s="67"/>
    </row>
    <row r="318">
      <c r="AA318" s="67"/>
    </row>
    <row r="319">
      <c r="AA319" s="67"/>
    </row>
    <row r="320">
      <c r="AA320" s="67"/>
    </row>
    <row r="321">
      <c r="AA321" s="67"/>
    </row>
    <row r="322">
      <c r="AA322" s="67"/>
    </row>
    <row r="323">
      <c r="AA323" s="67"/>
    </row>
    <row r="324">
      <c r="AA324" s="67"/>
    </row>
    <row r="325">
      <c r="AA325" s="67"/>
    </row>
    <row r="326">
      <c r="AA326" s="67"/>
    </row>
    <row r="327">
      <c r="AA327" s="67"/>
    </row>
    <row r="328">
      <c r="AA328" s="67"/>
    </row>
    <row r="329">
      <c r="AA329" s="67"/>
    </row>
    <row r="330">
      <c r="AA330" s="67"/>
    </row>
    <row r="331">
      <c r="AA331" s="67"/>
    </row>
    <row r="332">
      <c r="AA332" s="67"/>
    </row>
    <row r="333">
      <c r="AA333" s="67"/>
    </row>
    <row r="334">
      <c r="AA334" s="67"/>
    </row>
    <row r="335">
      <c r="AA335" s="67"/>
    </row>
    <row r="336">
      <c r="AA336" s="67"/>
    </row>
    <row r="337">
      <c r="AA337" s="67"/>
    </row>
    <row r="338">
      <c r="AA338" s="67"/>
    </row>
    <row r="339">
      <c r="AA339" s="67"/>
    </row>
    <row r="340">
      <c r="AA340" s="67"/>
    </row>
    <row r="341">
      <c r="AA341" s="67"/>
    </row>
    <row r="342">
      <c r="AA342" s="67"/>
    </row>
    <row r="343">
      <c r="AA343" s="67"/>
    </row>
    <row r="344">
      <c r="AA344" s="67"/>
    </row>
    <row r="345">
      <c r="AA345" s="67"/>
    </row>
    <row r="346">
      <c r="AA346" s="67"/>
    </row>
    <row r="347">
      <c r="AA347" s="67"/>
    </row>
    <row r="348">
      <c r="AA348" s="67"/>
    </row>
    <row r="349">
      <c r="AA349" s="67"/>
    </row>
    <row r="350">
      <c r="AA350" s="67"/>
    </row>
    <row r="351">
      <c r="AA351" s="67"/>
    </row>
    <row r="352">
      <c r="AA352" s="67"/>
    </row>
    <row r="353">
      <c r="AA353" s="67"/>
    </row>
    <row r="354">
      <c r="AA354" s="67"/>
    </row>
    <row r="355">
      <c r="AA355" s="67"/>
    </row>
    <row r="356">
      <c r="AA356" s="67"/>
    </row>
    <row r="357">
      <c r="AA357" s="67"/>
    </row>
    <row r="358">
      <c r="AA358" s="67"/>
    </row>
    <row r="359">
      <c r="AA359" s="67"/>
    </row>
    <row r="360">
      <c r="AA360" s="67"/>
    </row>
    <row r="361">
      <c r="AA361" s="67"/>
    </row>
    <row r="362">
      <c r="AA362" s="67"/>
    </row>
    <row r="363">
      <c r="AA363" s="67"/>
    </row>
    <row r="364">
      <c r="AA364" s="67"/>
    </row>
    <row r="365">
      <c r="AA365" s="67"/>
    </row>
    <row r="366">
      <c r="AA366" s="67"/>
    </row>
    <row r="367">
      <c r="AA367" s="67"/>
    </row>
    <row r="368">
      <c r="AA368" s="67"/>
    </row>
    <row r="369">
      <c r="AA369" s="67"/>
    </row>
    <row r="370">
      <c r="AA370" s="67"/>
    </row>
    <row r="371">
      <c r="AA371" s="67"/>
    </row>
    <row r="372">
      <c r="AA372" s="67"/>
    </row>
    <row r="373">
      <c r="AA373" s="67"/>
    </row>
    <row r="374">
      <c r="AA374" s="67"/>
    </row>
    <row r="375">
      <c r="AA375" s="67"/>
    </row>
    <row r="376">
      <c r="AA376" s="67"/>
    </row>
    <row r="377">
      <c r="AA377" s="67"/>
    </row>
    <row r="378">
      <c r="AA378" s="67"/>
    </row>
    <row r="379">
      <c r="AA379" s="67"/>
    </row>
    <row r="380">
      <c r="AA380" s="67"/>
    </row>
    <row r="381">
      <c r="AA381" s="67"/>
    </row>
    <row r="382">
      <c r="AA382" s="67"/>
    </row>
    <row r="383">
      <c r="AA383" s="67"/>
    </row>
    <row r="384">
      <c r="AA384" s="67"/>
    </row>
    <row r="385">
      <c r="AA385" s="67"/>
    </row>
    <row r="386">
      <c r="AA386" s="67"/>
    </row>
    <row r="387">
      <c r="AA387" s="67"/>
    </row>
    <row r="388">
      <c r="AA388" s="67"/>
    </row>
    <row r="389">
      <c r="AA389" s="67"/>
    </row>
    <row r="390">
      <c r="AA390" s="67"/>
    </row>
    <row r="391">
      <c r="AA391" s="67"/>
    </row>
    <row r="392">
      <c r="AA392" s="67"/>
    </row>
    <row r="393">
      <c r="AA393" s="67"/>
    </row>
    <row r="394">
      <c r="AA394" s="67"/>
    </row>
    <row r="395">
      <c r="AA395" s="67"/>
    </row>
    <row r="396">
      <c r="AA396" s="67"/>
    </row>
    <row r="397">
      <c r="AA397" s="67"/>
    </row>
    <row r="398">
      <c r="AA398" s="67"/>
    </row>
    <row r="399">
      <c r="AA399" s="67"/>
    </row>
    <row r="400">
      <c r="AA400" s="67"/>
    </row>
    <row r="401">
      <c r="AA401" s="67"/>
    </row>
    <row r="402">
      <c r="AA402" s="67"/>
    </row>
    <row r="403">
      <c r="AA403" s="67"/>
    </row>
    <row r="404">
      <c r="AA404" s="67"/>
    </row>
    <row r="405">
      <c r="AA405" s="67"/>
    </row>
    <row r="406">
      <c r="AA406" s="67"/>
    </row>
    <row r="407">
      <c r="AA407" s="67"/>
    </row>
    <row r="408">
      <c r="AA408" s="67"/>
    </row>
    <row r="409">
      <c r="AA409" s="67"/>
    </row>
    <row r="410">
      <c r="AA410" s="67"/>
    </row>
    <row r="411">
      <c r="AA411" s="67"/>
    </row>
    <row r="412">
      <c r="AA412" s="67"/>
    </row>
    <row r="413">
      <c r="AA413" s="67"/>
    </row>
    <row r="414">
      <c r="AA414" s="67"/>
    </row>
    <row r="415">
      <c r="AA415" s="67"/>
    </row>
    <row r="416">
      <c r="AA416" s="67"/>
    </row>
    <row r="417">
      <c r="AA417" s="67"/>
    </row>
    <row r="418">
      <c r="AA418" s="67"/>
    </row>
    <row r="419">
      <c r="AA419" s="67"/>
    </row>
    <row r="420">
      <c r="AA420" s="67"/>
    </row>
    <row r="421">
      <c r="AA421" s="67"/>
    </row>
    <row r="422">
      <c r="AA422" s="67"/>
    </row>
    <row r="423">
      <c r="AA423" s="67"/>
    </row>
    <row r="424">
      <c r="AA424" s="67"/>
    </row>
    <row r="425">
      <c r="AA425" s="67"/>
    </row>
    <row r="426">
      <c r="AA426" s="67"/>
    </row>
    <row r="427">
      <c r="AA427" s="67"/>
    </row>
    <row r="428">
      <c r="AA428" s="67"/>
    </row>
    <row r="429">
      <c r="AA429" s="67"/>
    </row>
    <row r="430">
      <c r="AA430" s="67"/>
    </row>
    <row r="431">
      <c r="AA431" s="67"/>
    </row>
    <row r="432">
      <c r="AA432" s="67"/>
    </row>
    <row r="433">
      <c r="AA433" s="67"/>
    </row>
    <row r="434">
      <c r="AA434" s="67"/>
    </row>
    <row r="435">
      <c r="AA435" s="67"/>
    </row>
    <row r="436">
      <c r="AA436" s="67"/>
    </row>
    <row r="437">
      <c r="AA437" s="67"/>
    </row>
    <row r="438">
      <c r="AA438" s="67"/>
    </row>
    <row r="439">
      <c r="AA439" s="67"/>
    </row>
    <row r="440">
      <c r="AA440" s="67"/>
    </row>
    <row r="441">
      <c r="AA441" s="67"/>
    </row>
    <row r="442">
      <c r="AA442" s="67"/>
    </row>
    <row r="443">
      <c r="AA443" s="67"/>
    </row>
    <row r="444">
      <c r="AA444" s="67"/>
    </row>
    <row r="445">
      <c r="AA445" s="67"/>
    </row>
    <row r="446">
      <c r="AA446" s="67"/>
    </row>
    <row r="447">
      <c r="AA447" s="67"/>
    </row>
    <row r="448">
      <c r="AA448" s="67"/>
    </row>
    <row r="449">
      <c r="AA449" s="67"/>
    </row>
    <row r="450">
      <c r="AA450" s="67"/>
    </row>
    <row r="451">
      <c r="AA451" s="67"/>
    </row>
    <row r="452">
      <c r="AA452" s="67"/>
    </row>
    <row r="453">
      <c r="AA453" s="67"/>
    </row>
    <row r="454">
      <c r="AA454" s="67"/>
    </row>
    <row r="455">
      <c r="AA455" s="67"/>
    </row>
    <row r="456">
      <c r="AA456" s="67"/>
    </row>
    <row r="457">
      <c r="AA457" s="67"/>
    </row>
    <row r="458">
      <c r="AA458" s="67"/>
    </row>
    <row r="459">
      <c r="AA459" s="67"/>
    </row>
    <row r="460">
      <c r="AA460" s="67"/>
    </row>
    <row r="461">
      <c r="AA461" s="67"/>
    </row>
    <row r="462">
      <c r="AA462" s="67"/>
    </row>
    <row r="463">
      <c r="AA463" s="67"/>
    </row>
    <row r="464">
      <c r="AA464" s="67"/>
    </row>
    <row r="465">
      <c r="AA465" s="67"/>
    </row>
    <row r="466">
      <c r="AA466" s="67"/>
    </row>
    <row r="467">
      <c r="AA467" s="67"/>
    </row>
    <row r="468">
      <c r="AA468" s="67"/>
    </row>
    <row r="469">
      <c r="AA469" s="67"/>
    </row>
    <row r="470">
      <c r="AA470" s="67"/>
    </row>
    <row r="471">
      <c r="AA471" s="67"/>
    </row>
    <row r="472">
      <c r="AA472" s="67"/>
    </row>
    <row r="473">
      <c r="AA473" s="67"/>
    </row>
    <row r="474">
      <c r="AA474" s="67"/>
    </row>
    <row r="475">
      <c r="AA475" s="67"/>
    </row>
    <row r="476">
      <c r="AA476" s="67"/>
    </row>
    <row r="477">
      <c r="AA477" s="67"/>
    </row>
    <row r="478">
      <c r="AA478" s="67"/>
    </row>
    <row r="479">
      <c r="AA479" s="67"/>
    </row>
    <row r="480">
      <c r="AA480" s="67"/>
    </row>
    <row r="481">
      <c r="AA481" s="67"/>
    </row>
    <row r="482">
      <c r="AA482" s="67"/>
    </row>
    <row r="483">
      <c r="AA483" s="67"/>
    </row>
    <row r="484">
      <c r="AA484" s="67"/>
    </row>
    <row r="485">
      <c r="AA485" s="67"/>
    </row>
    <row r="486">
      <c r="AA486" s="67"/>
    </row>
    <row r="487">
      <c r="AA487" s="67"/>
    </row>
    <row r="488">
      <c r="AA488" s="67"/>
    </row>
    <row r="489">
      <c r="AA489" s="67"/>
    </row>
    <row r="490">
      <c r="AA490" s="67"/>
    </row>
    <row r="491">
      <c r="AA491" s="67"/>
    </row>
    <row r="492">
      <c r="AA492" s="67"/>
    </row>
    <row r="493">
      <c r="AA493" s="67"/>
    </row>
    <row r="494">
      <c r="AA494" s="67"/>
    </row>
    <row r="495">
      <c r="AA495" s="67"/>
    </row>
    <row r="496">
      <c r="AA496" s="67"/>
    </row>
    <row r="497">
      <c r="AA497" s="67"/>
    </row>
    <row r="498">
      <c r="AA498" s="67"/>
    </row>
    <row r="499">
      <c r="AA499" s="67"/>
    </row>
    <row r="500">
      <c r="AA500" s="67"/>
    </row>
    <row r="501">
      <c r="AA501" s="67"/>
    </row>
    <row r="502">
      <c r="AA502" s="67"/>
    </row>
    <row r="503">
      <c r="AA503" s="67"/>
    </row>
    <row r="504">
      <c r="AA504" s="67"/>
    </row>
    <row r="505">
      <c r="AA505" s="67"/>
    </row>
    <row r="506">
      <c r="AA506" s="67"/>
    </row>
    <row r="507">
      <c r="AA507" s="67"/>
    </row>
    <row r="508">
      <c r="AA508" s="67"/>
    </row>
    <row r="509">
      <c r="AA509" s="67"/>
    </row>
    <row r="510">
      <c r="AA510" s="67"/>
    </row>
    <row r="511">
      <c r="AA511" s="67"/>
    </row>
    <row r="512">
      <c r="AA512" s="67"/>
    </row>
    <row r="513">
      <c r="AA513" s="67"/>
    </row>
    <row r="514">
      <c r="AA514" s="67"/>
    </row>
    <row r="515">
      <c r="AA515" s="67"/>
    </row>
    <row r="516">
      <c r="AA516" s="67"/>
    </row>
    <row r="517">
      <c r="AA517" s="67"/>
    </row>
    <row r="518">
      <c r="AA518" s="67"/>
    </row>
    <row r="519">
      <c r="AA519" s="67"/>
    </row>
    <row r="520">
      <c r="AA520" s="67"/>
    </row>
    <row r="521">
      <c r="AA521" s="67"/>
    </row>
    <row r="522">
      <c r="AA522" s="67"/>
    </row>
    <row r="523">
      <c r="AA523" s="67"/>
    </row>
    <row r="524">
      <c r="AA524" s="67"/>
    </row>
    <row r="525">
      <c r="AA525" s="67"/>
    </row>
    <row r="526">
      <c r="AA526" s="67"/>
    </row>
    <row r="527">
      <c r="AA527" s="67"/>
    </row>
    <row r="528">
      <c r="AA528" s="67"/>
    </row>
    <row r="529">
      <c r="AA529" s="67"/>
    </row>
    <row r="530">
      <c r="AA530" s="67"/>
    </row>
    <row r="531">
      <c r="AA531" s="67"/>
    </row>
    <row r="532">
      <c r="AA532" s="67"/>
    </row>
    <row r="533">
      <c r="AA533" s="67"/>
    </row>
    <row r="534">
      <c r="AA534" s="67"/>
    </row>
    <row r="535">
      <c r="AA535" s="67"/>
    </row>
    <row r="536">
      <c r="AA536" s="67"/>
    </row>
    <row r="537">
      <c r="AA537" s="67"/>
    </row>
    <row r="538">
      <c r="AA538" s="67"/>
    </row>
    <row r="539">
      <c r="AA539" s="67"/>
    </row>
    <row r="540">
      <c r="AA540" s="67"/>
    </row>
    <row r="541">
      <c r="AA541" s="67"/>
    </row>
    <row r="542">
      <c r="AA542" s="67"/>
    </row>
    <row r="543">
      <c r="AA543" s="67"/>
    </row>
    <row r="544">
      <c r="AA544" s="67"/>
    </row>
    <row r="545">
      <c r="AA545" s="67"/>
    </row>
    <row r="546">
      <c r="AA546" s="67"/>
    </row>
    <row r="547">
      <c r="AA547" s="67"/>
    </row>
    <row r="548">
      <c r="AA548" s="67"/>
    </row>
    <row r="549">
      <c r="AA549" s="67"/>
    </row>
    <row r="550">
      <c r="AA550" s="67"/>
    </row>
    <row r="551">
      <c r="AA551" s="67"/>
    </row>
    <row r="552">
      <c r="AA552" s="67"/>
    </row>
    <row r="553">
      <c r="AA553" s="67"/>
    </row>
    <row r="554">
      <c r="AA554" s="67"/>
    </row>
    <row r="555">
      <c r="AA555" s="67"/>
    </row>
    <row r="556">
      <c r="AA556" s="67"/>
    </row>
    <row r="557">
      <c r="AA557" s="67"/>
    </row>
    <row r="558">
      <c r="AA558" s="67"/>
    </row>
    <row r="559">
      <c r="AA559" s="67"/>
    </row>
    <row r="560">
      <c r="AA560" s="67"/>
    </row>
    <row r="561">
      <c r="AA561" s="67"/>
    </row>
    <row r="562">
      <c r="AA562" s="67"/>
    </row>
    <row r="563">
      <c r="AA563" s="67"/>
    </row>
    <row r="564">
      <c r="AA564" s="67"/>
    </row>
    <row r="565">
      <c r="AA565" s="67"/>
    </row>
    <row r="566">
      <c r="AA566" s="67"/>
    </row>
    <row r="567">
      <c r="AA567" s="67"/>
    </row>
    <row r="568">
      <c r="AA568" s="67"/>
    </row>
    <row r="569">
      <c r="AA569" s="67"/>
    </row>
    <row r="570">
      <c r="AA570" s="67"/>
    </row>
    <row r="571">
      <c r="AA571" s="67"/>
    </row>
    <row r="572">
      <c r="AA572" s="67"/>
    </row>
    <row r="573">
      <c r="AA573" s="67"/>
    </row>
    <row r="574">
      <c r="AA574" s="67"/>
    </row>
    <row r="575">
      <c r="AA575" s="67"/>
    </row>
    <row r="576">
      <c r="AA576" s="67"/>
    </row>
    <row r="577">
      <c r="AA577" s="67"/>
    </row>
    <row r="578">
      <c r="AA578" s="67"/>
    </row>
    <row r="579">
      <c r="AA579" s="67"/>
    </row>
    <row r="580">
      <c r="AA580" s="67"/>
    </row>
    <row r="581">
      <c r="AA581" s="67"/>
    </row>
    <row r="582">
      <c r="AA582" s="67"/>
    </row>
    <row r="583">
      <c r="AA583" s="67"/>
    </row>
    <row r="584">
      <c r="AA584" s="67"/>
    </row>
    <row r="585">
      <c r="AA585" s="67"/>
    </row>
    <row r="586">
      <c r="AA586" s="67"/>
    </row>
    <row r="587">
      <c r="AA587" s="67"/>
    </row>
    <row r="588">
      <c r="AA588" s="67"/>
    </row>
    <row r="589">
      <c r="AA589" s="67"/>
    </row>
    <row r="590">
      <c r="AA590" s="67"/>
    </row>
    <row r="591">
      <c r="AA591" s="67"/>
    </row>
    <row r="592">
      <c r="AA592" s="67"/>
    </row>
    <row r="593">
      <c r="AA593" s="67"/>
    </row>
    <row r="594">
      <c r="AA594" s="67"/>
    </row>
    <row r="595">
      <c r="AA595" s="67"/>
    </row>
    <row r="596">
      <c r="AA596" s="67"/>
    </row>
    <row r="597">
      <c r="AA597" s="67"/>
    </row>
    <row r="598">
      <c r="AA598" s="67"/>
    </row>
    <row r="599">
      <c r="AA599" s="67"/>
    </row>
    <row r="600">
      <c r="AA600" s="67"/>
    </row>
    <row r="601">
      <c r="AA601" s="67"/>
    </row>
    <row r="602">
      <c r="AA602" s="67"/>
    </row>
    <row r="603">
      <c r="AA603" s="67"/>
    </row>
    <row r="604">
      <c r="AA604" s="67"/>
    </row>
    <row r="605">
      <c r="AA605" s="67"/>
    </row>
    <row r="606">
      <c r="AA606" s="67"/>
    </row>
    <row r="607">
      <c r="AA607" s="67"/>
    </row>
    <row r="608">
      <c r="AA608" s="67"/>
    </row>
    <row r="609">
      <c r="AA609" s="67"/>
    </row>
    <row r="610">
      <c r="AA610" s="67"/>
    </row>
    <row r="611">
      <c r="AA611" s="67"/>
    </row>
    <row r="612">
      <c r="AA612" s="67"/>
    </row>
    <row r="613">
      <c r="AA613" s="67"/>
    </row>
    <row r="614">
      <c r="AA614" s="67"/>
    </row>
    <row r="615">
      <c r="AA615" s="67"/>
    </row>
    <row r="616">
      <c r="AA616" s="67"/>
    </row>
    <row r="617">
      <c r="AA617" s="67"/>
    </row>
    <row r="618">
      <c r="AA618" s="67"/>
    </row>
    <row r="619">
      <c r="AA619" s="67"/>
    </row>
    <row r="620">
      <c r="AA620" s="67"/>
    </row>
    <row r="621">
      <c r="AA621" s="67"/>
    </row>
    <row r="622">
      <c r="AA622" s="67"/>
    </row>
    <row r="623">
      <c r="AA623" s="67"/>
    </row>
    <row r="624">
      <c r="AA624" s="67"/>
    </row>
    <row r="625">
      <c r="AA625" s="67"/>
    </row>
    <row r="626">
      <c r="AA626" s="67"/>
    </row>
    <row r="627">
      <c r="AA627" s="67"/>
    </row>
    <row r="628">
      <c r="AA628" s="67"/>
    </row>
    <row r="629">
      <c r="AA629" s="67"/>
    </row>
    <row r="630">
      <c r="AA630" s="67"/>
    </row>
    <row r="631">
      <c r="AA631" s="67"/>
    </row>
    <row r="632">
      <c r="AA632" s="67"/>
    </row>
    <row r="633">
      <c r="AA633" s="67"/>
    </row>
    <row r="634">
      <c r="AA634" s="67"/>
    </row>
    <row r="635">
      <c r="AA635" s="67"/>
    </row>
    <row r="636">
      <c r="AA636" s="67"/>
    </row>
    <row r="637">
      <c r="AA637" s="67"/>
    </row>
    <row r="638">
      <c r="AA638" s="67"/>
    </row>
    <row r="639">
      <c r="AA639" s="67"/>
    </row>
    <row r="640">
      <c r="AA640" s="67"/>
    </row>
    <row r="641">
      <c r="AA641" s="67"/>
    </row>
    <row r="642">
      <c r="AA642" s="67"/>
    </row>
    <row r="643">
      <c r="AA643" s="67"/>
    </row>
    <row r="644">
      <c r="AA644" s="67"/>
    </row>
    <row r="645">
      <c r="AA645" s="67"/>
    </row>
    <row r="646">
      <c r="AA646" s="67"/>
    </row>
    <row r="647">
      <c r="AA647" s="67"/>
    </row>
    <row r="648">
      <c r="AA648" s="67"/>
    </row>
    <row r="649">
      <c r="AA649" s="67"/>
    </row>
    <row r="650">
      <c r="AA650" s="67"/>
    </row>
    <row r="651">
      <c r="AA651" s="67"/>
    </row>
    <row r="652">
      <c r="AA652" s="67"/>
    </row>
    <row r="653">
      <c r="AA653" s="67"/>
    </row>
    <row r="654">
      <c r="AA654" s="67"/>
    </row>
    <row r="655">
      <c r="AA655" s="67"/>
    </row>
    <row r="656">
      <c r="AA656" s="67"/>
    </row>
    <row r="657">
      <c r="AA657" s="67"/>
    </row>
    <row r="658">
      <c r="AA658" s="67"/>
    </row>
    <row r="659">
      <c r="AA659" s="67"/>
    </row>
    <row r="660">
      <c r="AA660" s="67"/>
    </row>
    <row r="661">
      <c r="AA661" s="67"/>
    </row>
    <row r="662">
      <c r="AA662" s="67"/>
    </row>
    <row r="663">
      <c r="AA663" s="67"/>
    </row>
    <row r="664">
      <c r="AA664" s="67"/>
    </row>
    <row r="665">
      <c r="AA665" s="67"/>
    </row>
    <row r="666">
      <c r="AA666" s="67"/>
    </row>
    <row r="667">
      <c r="AA667" s="67"/>
    </row>
    <row r="668">
      <c r="AA668" s="67"/>
    </row>
    <row r="669">
      <c r="AA669" s="67"/>
    </row>
    <row r="670">
      <c r="AA670" s="67"/>
    </row>
    <row r="671">
      <c r="AA671" s="67"/>
    </row>
    <row r="672">
      <c r="AA672" s="67"/>
    </row>
    <row r="673">
      <c r="AA673" s="67"/>
    </row>
    <row r="674">
      <c r="AA674" s="67"/>
    </row>
    <row r="675">
      <c r="AA675" s="67"/>
    </row>
    <row r="676">
      <c r="AA676" s="67"/>
    </row>
    <row r="677">
      <c r="AA677" s="67"/>
    </row>
    <row r="678">
      <c r="AA678" s="67"/>
    </row>
    <row r="679">
      <c r="AA679" s="67"/>
    </row>
    <row r="680">
      <c r="AA680" s="67"/>
    </row>
    <row r="681">
      <c r="AA681" s="67"/>
    </row>
    <row r="682">
      <c r="AA682" s="67"/>
    </row>
    <row r="683">
      <c r="AA683" s="67"/>
    </row>
    <row r="684">
      <c r="AA684" s="67"/>
    </row>
    <row r="685">
      <c r="AA685" s="67"/>
    </row>
    <row r="686">
      <c r="AA686" s="67"/>
    </row>
    <row r="687">
      <c r="AA687" s="67"/>
    </row>
    <row r="688">
      <c r="AA688" s="67"/>
    </row>
    <row r="689">
      <c r="AA689" s="67"/>
    </row>
    <row r="690">
      <c r="AA690" s="67"/>
    </row>
    <row r="691">
      <c r="AA691" s="67"/>
    </row>
    <row r="692">
      <c r="AA692" s="67"/>
    </row>
    <row r="693">
      <c r="AA693" s="67"/>
    </row>
    <row r="694">
      <c r="AA694" s="67"/>
    </row>
    <row r="695">
      <c r="AA695" s="67"/>
    </row>
    <row r="696">
      <c r="AA696" s="67"/>
    </row>
    <row r="697">
      <c r="AA697" s="67"/>
    </row>
    <row r="698">
      <c r="AA698" s="67"/>
    </row>
    <row r="699">
      <c r="AA699" s="67"/>
    </row>
    <row r="700">
      <c r="AA700" s="67"/>
    </row>
    <row r="701">
      <c r="AA701" s="67"/>
    </row>
    <row r="702">
      <c r="AA702" s="67"/>
    </row>
    <row r="703">
      <c r="AA703" s="67"/>
    </row>
    <row r="704">
      <c r="AA704" s="67"/>
    </row>
    <row r="705">
      <c r="AA705" s="67"/>
    </row>
    <row r="706">
      <c r="AA706" s="67"/>
    </row>
    <row r="707">
      <c r="AA707" s="67"/>
    </row>
    <row r="708">
      <c r="AA708" s="67"/>
    </row>
    <row r="709">
      <c r="AA709" s="67"/>
    </row>
    <row r="710">
      <c r="AA710" s="67"/>
    </row>
    <row r="711">
      <c r="AA711" s="67"/>
    </row>
    <row r="712">
      <c r="AA712" s="67"/>
    </row>
    <row r="713">
      <c r="AA713" s="67"/>
    </row>
    <row r="714">
      <c r="AA714" s="67"/>
    </row>
    <row r="715">
      <c r="AA715" s="67"/>
    </row>
    <row r="716">
      <c r="AA716" s="67"/>
    </row>
    <row r="717">
      <c r="AA717" s="67"/>
    </row>
    <row r="718">
      <c r="AA718" s="67"/>
    </row>
    <row r="719">
      <c r="AA719" s="67"/>
    </row>
    <row r="720">
      <c r="AA720" s="67"/>
    </row>
    <row r="721">
      <c r="AA721" s="67"/>
    </row>
    <row r="722">
      <c r="AA722" s="67"/>
    </row>
    <row r="723">
      <c r="AA723" s="67"/>
    </row>
    <row r="724">
      <c r="AA724" s="67"/>
    </row>
    <row r="725">
      <c r="AA725" s="67"/>
    </row>
    <row r="726">
      <c r="AA726" s="67"/>
    </row>
    <row r="727">
      <c r="AA727" s="67"/>
    </row>
    <row r="728">
      <c r="AA728" s="67"/>
    </row>
    <row r="729">
      <c r="AA729" s="67"/>
    </row>
    <row r="730">
      <c r="AA730" s="67"/>
    </row>
    <row r="731">
      <c r="AA731" s="67"/>
    </row>
    <row r="732">
      <c r="AA732" s="67"/>
    </row>
    <row r="733">
      <c r="AA733" s="67"/>
    </row>
    <row r="734">
      <c r="AA734" s="67"/>
    </row>
    <row r="735">
      <c r="AA735" s="67"/>
    </row>
    <row r="736">
      <c r="AA736" s="67"/>
    </row>
    <row r="737">
      <c r="AA737" s="67"/>
    </row>
    <row r="738">
      <c r="AA738" s="67"/>
    </row>
    <row r="739">
      <c r="AA739" s="67"/>
    </row>
    <row r="740">
      <c r="AA740" s="67"/>
    </row>
    <row r="741">
      <c r="AA741" s="67"/>
    </row>
    <row r="742">
      <c r="AA742" s="67"/>
    </row>
    <row r="743">
      <c r="AA743" s="67"/>
    </row>
    <row r="744">
      <c r="AA744" s="67"/>
    </row>
    <row r="745">
      <c r="AA745" s="67"/>
    </row>
    <row r="746">
      <c r="AA746" s="67"/>
    </row>
    <row r="747">
      <c r="AA747" s="67"/>
    </row>
    <row r="748">
      <c r="AA748" s="67"/>
    </row>
    <row r="749">
      <c r="AA749" s="67"/>
    </row>
    <row r="750">
      <c r="AA750" s="67"/>
    </row>
    <row r="751">
      <c r="AA751" s="67"/>
    </row>
    <row r="752">
      <c r="AA752" s="67"/>
    </row>
    <row r="753">
      <c r="AA753" s="67"/>
    </row>
    <row r="754">
      <c r="AA754" s="67"/>
    </row>
    <row r="755">
      <c r="AA755" s="67"/>
    </row>
    <row r="756">
      <c r="AA756" s="67"/>
    </row>
    <row r="757">
      <c r="AA757" s="67"/>
    </row>
    <row r="758">
      <c r="AA758" s="67"/>
    </row>
    <row r="759">
      <c r="AA759" s="67"/>
    </row>
    <row r="760">
      <c r="AA760" s="67"/>
    </row>
    <row r="761">
      <c r="AA761" s="67"/>
    </row>
    <row r="762">
      <c r="AA762" s="67"/>
    </row>
    <row r="763">
      <c r="AA763" s="67"/>
    </row>
    <row r="764">
      <c r="AA764" s="67"/>
    </row>
    <row r="765">
      <c r="AA765" s="67"/>
    </row>
    <row r="766">
      <c r="AA766" s="67"/>
    </row>
    <row r="767">
      <c r="AA767" s="67"/>
    </row>
    <row r="768">
      <c r="AA768" s="67"/>
    </row>
    <row r="769">
      <c r="AA769" s="67"/>
    </row>
    <row r="770">
      <c r="AA770" s="67"/>
    </row>
    <row r="771">
      <c r="AA771" s="67"/>
    </row>
    <row r="772">
      <c r="AA772" s="67"/>
    </row>
    <row r="773">
      <c r="AA773" s="67"/>
    </row>
    <row r="774">
      <c r="AA774" s="67"/>
    </row>
    <row r="775">
      <c r="AA775" s="67"/>
    </row>
    <row r="776">
      <c r="AA776" s="67"/>
    </row>
    <row r="777">
      <c r="AA777" s="67"/>
    </row>
    <row r="778">
      <c r="AA778" s="67"/>
    </row>
    <row r="779">
      <c r="AA779" s="67"/>
    </row>
    <row r="780">
      <c r="AA780" s="67"/>
    </row>
    <row r="781">
      <c r="AA781" s="67"/>
    </row>
    <row r="782">
      <c r="AA782" s="67"/>
    </row>
    <row r="783">
      <c r="AA783" s="67"/>
    </row>
    <row r="784">
      <c r="AA784" s="67"/>
    </row>
    <row r="785">
      <c r="AA785" s="67"/>
    </row>
    <row r="786">
      <c r="AA786" s="67"/>
    </row>
    <row r="787">
      <c r="AA787" s="67"/>
    </row>
    <row r="788">
      <c r="AA788" s="67"/>
    </row>
    <row r="789">
      <c r="AA789" s="67"/>
    </row>
    <row r="790">
      <c r="AA790" s="67"/>
    </row>
    <row r="791">
      <c r="AA791" s="67"/>
    </row>
    <row r="792">
      <c r="AA792" s="67"/>
    </row>
    <row r="793">
      <c r="AA793" s="67"/>
    </row>
    <row r="794">
      <c r="AA794" s="67"/>
    </row>
    <row r="795">
      <c r="AA795" s="67"/>
    </row>
    <row r="796">
      <c r="AA796" s="67"/>
    </row>
    <row r="797">
      <c r="AA797" s="67"/>
    </row>
    <row r="798">
      <c r="AA798" s="67"/>
    </row>
    <row r="799">
      <c r="AA799" s="67"/>
    </row>
    <row r="800">
      <c r="AA800" s="67"/>
    </row>
    <row r="801">
      <c r="AA801" s="67"/>
    </row>
    <row r="802">
      <c r="AA802" s="67"/>
    </row>
    <row r="803">
      <c r="AA803" s="67"/>
    </row>
    <row r="804">
      <c r="AA804" s="67"/>
    </row>
    <row r="805">
      <c r="AA805" s="67"/>
    </row>
    <row r="806">
      <c r="AA806" s="67"/>
    </row>
    <row r="807">
      <c r="AA807" s="67"/>
    </row>
    <row r="808">
      <c r="AA808" s="67"/>
    </row>
    <row r="809">
      <c r="AA809" s="67"/>
    </row>
    <row r="810">
      <c r="AA810" s="67"/>
    </row>
    <row r="811">
      <c r="AA811" s="67"/>
    </row>
    <row r="812">
      <c r="AA812" s="67"/>
    </row>
    <row r="813">
      <c r="AA813" s="67"/>
    </row>
    <row r="814">
      <c r="AA814" s="67"/>
    </row>
    <row r="815">
      <c r="AA815" s="67"/>
    </row>
    <row r="816">
      <c r="AA816" s="67"/>
    </row>
    <row r="817">
      <c r="AA817" s="67"/>
    </row>
    <row r="818">
      <c r="AA818" s="67"/>
    </row>
    <row r="819">
      <c r="AA819" s="67"/>
    </row>
    <row r="820">
      <c r="AA820" s="67"/>
    </row>
    <row r="821">
      <c r="AA821" s="67"/>
    </row>
    <row r="822">
      <c r="AA822" s="67"/>
    </row>
    <row r="823">
      <c r="AA823" s="67"/>
    </row>
    <row r="824">
      <c r="AA824" s="67"/>
    </row>
    <row r="825">
      <c r="AA825" s="67"/>
    </row>
    <row r="826">
      <c r="AA826" s="67"/>
    </row>
    <row r="827">
      <c r="AA827" s="67"/>
    </row>
    <row r="828">
      <c r="AA828" s="67"/>
    </row>
    <row r="829">
      <c r="AA829" s="67"/>
    </row>
    <row r="830">
      <c r="AA830" s="67"/>
    </row>
    <row r="831">
      <c r="AA831" s="67"/>
    </row>
    <row r="832">
      <c r="AA832" s="67"/>
    </row>
    <row r="833">
      <c r="AA833" s="67"/>
    </row>
    <row r="834">
      <c r="AA834" s="67"/>
    </row>
    <row r="835">
      <c r="AA835" s="67"/>
    </row>
    <row r="836">
      <c r="AA836" s="67"/>
    </row>
    <row r="837">
      <c r="AA837" s="67"/>
    </row>
    <row r="838">
      <c r="AA838" s="67"/>
    </row>
    <row r="839">
      <c r="AA839" s="67"/>
    </row>
    <row r="840">
      <c r="AA840" s="67"/>
    </row>
    <row r="841">
      <c r="AA841" s="67"/>
    </row>
    <row r="842">
      <c r="AA842" s="67"/>
    </row>
    <row r="843">
      <c r="AA843" s="67"/>
    </row>
    <row r="844">
      <c r="AA844" s="67"/>
    </row>
    <row r="845">
      <c r="AA845" s="67"/>
    </row>
    <row r="846">
      <c r="AA846" s="67"/>
    </row>
    <row r="847">
      <c r="AA847" s="67"/>
    </row>
    <row r="848">
      <c r="AA848" s="67"/>
    </row>
    <row r="849">
      <c r="AA849" s="67"/>
    </row>
    <row r="850">
      <c r="AA850" s="67"/>
    </row>
    <row r="851">
      <c r="AA851" s="67"/>
    </row>
    <row r="852">
      <c r="AA852" s="67"/>
    </row>
    <row r="853">
      <c r="AA853" s="67"/>
    </row>
    <row r="854">
      <c r="AA854" s="67"/>
    </row>
    <row r="855">
      <c r="AA855" s="67"/>
    </row>
    <row r="856">
      <c r="AA856" s="67"/>
    </row>
    <row r="857">
      <c r="AA857" s="67"/>
    </row>
    <row r="858">
      <c r="AA858" s="67"/>
    </row>
    <row r="859">
      <c r="AA859" s="67"/>
    </row>
    <row r="860">
      <c r="AA860" s="67"/>
    </row>
    <row r="861">
      <c r="AA861" s="67"/>
    </row>
    <row r="862">
      <c r="AA862" s="67"/>
    </row>
    <row r="863">
      <c r="AA863" s="67"/>
    </row>
    <row r="864">
      <c r="AA864" s="67"/>
    </row>
    <row r="865">
      <c r="AA865" s="67"/>
    </row>
    <row r="866">
      <c r="AA866" s="67"/>
    </row>
    <row r="867">
      <c r="AA867" s="67"/>
    </row>
    <row r="868">
      <c r="AA868" s="67"/>
    </row>
    <row r="869">
      <c r="AA869" s="67"/>
    </row>
    <row r="870">
      <c r="AA870" s="67"/>
    </row>
    <row r="871">
      <c r="AA871" s="67"/>
    </row>
    <row r="872">
      <c r="AA872" s="67"/>
    </row>
    <row r="873">
      <c r="AA873" s="67"/>
    </row>
    <row r="874">
      <c r="AA874" s="67"/>
    </row>
    <row r="875">
      <c r="AA875" s="67"/>
    </row>
    <row r="876">
      <c r="AA876" s="67"/>
    </row>
    <row r="877">
      <c r="AA877" s="67"/>
    </row>
    <row r="878">
      <c r="AA878" s="67"/>
    </row>
    <row r="879">
      <c r="AA879" s="67"/>
    </row>
    <row r="880">
      <c r="AA880" s="67"/>
    </row>
    <row r="881">
      <c r="AA881" s="67"/>
    </row>
    <row r="882">
      <c r="AA882" s="67"/>
    </row>
    <row r="883">
      <c r="AA883" s="67"/>
    </row>
    <row r="884">
      <c r="AA884" s="67"/>
    </row>
    <row r="885">
      <c r="AA885" s="67"/>
    </row>
    <row r="886">
      <c r="AA886" s="67"/>
    </row>
    <row r="887">
      <c r="AA887" s="67"/>
    </row>
    <row r="888">
      <c r="AA888" s="67"/>
    </row>
    <row r="889">
      <c r="AA889" s="67"/>
    </row>
    <row r="890">
      <c r="AA890" s="67"/>
    </row>
    <row r="891">
      <c r="AA891" s="67"/>
    </row>
    <row r="892">
      <c r="AA892" s="67"/>
    </row>
    <row r="893">
      <c r="AA893" s="67"/>
    </row>
    <row r="894">
      <c r="AA894" s="67"/>
    </row>
    <row r="895">
      <c r="AA895" s="67"/>
    </row>
    <row r="896">
      <c r="AA896" s="67"/>
    </row>
    <row r="897">
      <c r="AA897" s="67"/>
    </row>
    <row r="898">
      <c r="AA898" s="67"/>
    </row>
    <row r="899">
      <c r="AA899" s="67"/>
    </row>
    <row r="900">
      <c r="AA900" s="67"/>
    </row>
    <row r="901">
      <c r="AA901" s="67"/>
    </row>
    <row r="902">
      <c r="AA902" s="67"/>
    </row>
    <row r="903">
      <c r="AA903" s="67"/>
    </row>
    <row r="904">
      <c r="AA904" s="67"/>
    </row>
    <row r="905">
      <c r="AA905" s="67"/>
    </row>
    <row r="906">
      <c r="AA906" s="67"/>
    </row>
    <row r="907">
      <c r="AA907" s="67"/>
    </row>
    <row r="908">
      <c r="AA908" s="67"/>
    </row>
    <row r="909">
      <c r="AA909" s="67"/>
    </row>
    <row r="910">
      <c r="AA910" s="67"/>
    </row>
    <row r="911">
      <c r="AA911" s="67"/>
    </row>
    <row r="912">
      <c r="AA912" s="67"/>
    </row>
    <row r="913">
      <c r="AA913" s="67"/>
    </row>
    <row r="914">
      <c r="AA914" s="67"/>
    </row>
    <row r="915">
      <c r="AA915" s="67"/>
    </row>
    <row r="916">
      <c r="AA916" s="67"/>
    </row>
    <row r="917">
      <c r="AA917" s="67"/>
    </row>
    <row r="918">
      <c r="AA918" s="67"/>
    </row>
    <row r="919">
      <c r="AA919" s="67"/>
    </row>
    <row r="920">
      <c r="AA920" s="67"/>
    </row>
    <row r="921">
      <c r="AA921" s="67"/>
    </row>
    <row r="922">
      <c r="AA922" s="67"/>
    </row>
    <row r="923">
      <c r="AA923" s="67"/>
    </row>
    <row r="924">
      <c r="AA924" s="67"/>
    </row>
    <row r="925">
      <c r="AA925" s="67"/>
    </row>
    <row r="926">
      <c r="AA926" s="67"/>
    </row>
    <row r="927">
      <c r="AA927" s="67"/>
    </row>
    <row r="928">
      <c r="AA928" s="67"/>
    </row>
    <row r="929">
      <c r="AA929" s="67"/>
    </row>
    <row r="930">
      <c r="AA930" s="67"/>
    </row>
    <row r="931">
      <c r="AA931" s="67"/>
    </row>
    <row r="932">
      <c r="AA932" s="67"/>
    </row>
    <row r="933">
      <c r="AA933" s="67"/>
    </row>
    <row r="934">
      <c r="AA934" s="67"/>
    </row>
    <row r="935">
      <c r="AA935" s="67"/>
    </row>
    <row r="936">
      <c r="AA936" s="67"/>
    </row>
    <row r="937">
      <c r="AA937" s="67"/>
    </row>
    <row r="938">
      <c r="AA938" s="67"/>
    </row>
    <row r="939">
      <c r="AA939" s="67"/>
    </row>
    <row r="940">
      <c r="AA940" s="67"/>
    </row>
    <row r="941">
      <c r="AA941" s="67"/>
    </row>
    <row r="942">
      <c r="AA942" s="67"/>
    </row>
    <row r="943">
      <c r="AA943" s="67"/>
    </row>
    <row r="944">
      <c r="AA944" s="67"/>
    </row>
    <row r="945">
      <c r="AA945" s="67"/>
    </row>
    <row r="946">
      <c r="AA946" s="67"/>
    </row>
    <row r="947">
      <c r="AA947" s="67"/>
    </row>
    <row r="948">
      <c r="AA948" s="67"/>
    </row>
    <row r="949">
      <c r="AA949" s="67"/>
    </row>
    <row r="950">
      <c r="AA950" s="67"/>
    </row>
    <row r="951">
      <c r="AA951" s="67"/>
    </row>
    <row r="952">
      <c r="AA952" s="67"/>
    </row>
    <row r="953">
      <c r="AA953" s="67"/>
    </row>
    <row r="954">
      <c r="AA954" s="67"/>
    </row>
    <row r="955">
      <c r="AA955" s="67"/>
    </row>
    <row r="956">
      <c r="AA956" s="67"/>
    </row>
    <row r="957">
      <c r="AA957" s="67"/>
    </row>
    <row r="958">
      <c r="AA958" s="67"/>
    </row>
    <row r="959">
      <c r="AA959" s="67"/>
    </row>
    <row r="960">
      <c r="AA960" s="67"/>
    </row>
    <row r="961">
      <c r="AA961" s="67"/>
    </row>
    <row r="962">
      <c r="AA962" s="67"/>
    </row>
    <row r="963">
      <c r="AA963" s="67"/>
    </row>
    <row r="964">
      <c r="AA964" s="67"/>
    </row>
    <row r="965">
      <c r="AA965" s="67"/>
    </row>
    <row r="966">
      <c r="AA966" s="67"/>
    </row>
    <row r="967">
      <c r="AA967" s="67"/>
    </row>
    <row r="968">
      <c r="AA968" s="67"/>
    </row>
    <row r="969">
      <c r="AA969" s="67"/>
    </row>
    <row r="970">
      <c r="AA970" s="67"/>
    </row>
    <row r="971">
      <c r="AA971" s="67"/>
    </row>
    <row r="972">
      <c r="AA972" s="67"/>
    </row>
    <row r="973">
      <c r="AA973" s="67"/>
    </row>
    <row r="974">
      <c r="AA974" s="67"/>
    </row>
    <row r="975">
      <c r="AA975" s="67"/>
    </row>
    <row r="976">
      <c r="AA976" s="67"/>
    </row>
    <row r="977">
      <c r="AA977" s="67"/>
    </row>
    <row r="978">
      <c r="AA978" s="67"/>
    </row>
    <row r="979">
      <c r="AA979" s="67"/>
    </row>
    <row r="980">
      <c r="AA980" s="67"/>
    </row>
    <row r="981">
      <c r="AA981" s="67"/>
    </row>
    <row r="982">
      <c r="AA982" s="67"/>
    </row>
    <row r="983">
      <c r="AA983" s="67"/>
    </row>
    <row r="984">
      <c r="AA984" s="67"/>
    </row>
    <row r="985">
      <c r="AA985" s="67"/>
    </row>
    <row r="986">
      <c r="AA986" s="67"/>
    </row>
    <row r="987">
      <c r="AA987" s="67"/>
    </row>
    <row r="988">
      <c r="AA988" s="67"/>
    </row>
    <row r="989">
      <c r="AA989" s="67"/>
    </row>
    <row r="990">
      <c r="AA990" s="67"/>
    </row>
    <row r="991">
      <c r="AA991" s="67"/>
    </row>
    <row r="992">
      <c r="AA992" s="67"/>
    </row>
    <row r="993">
      <c r="AA993" s="67"/>
    </row>
    <row r="994">
      <c r="AA994" s="67"/>
    </row>
    <row r="995">
      <c r="AA995" s="67"/>
    </row>
    <row r="996">
      <c r="AA996" s="67"/>
    </row>
    <row r="997">
      <c r="AA997" s="67"/>
    </row>
    <row r="998">
      <c r="AA998" s="67"/>
    </row>
    <row r="999">
      <c r="AA999" s="67"/>
    </row>
    <row r="1000">
      <c r="AA1000" s="67"/>
    </row>
    <row r="1001">
      <c r="AA1001" s="67"/>
    </row>
    <row r="1002">
      <c r="AA1002" s="67"/>
    </row>
    <row r="1003">
      <c r="AA1003" s="67"/>
    </row>
    <row r="1004">
      <c r="AA1004" s="67"/>
    </row>
    <row r="1005">
      <c r="AA1005" s="67"/>
    </row>
    <row r="1006">
      <c r="AA1006" s="6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hidden="1" min="2" max="2" width="12.63"/>
    <col customWidth="1" hidden="1" min="3" max="3" width="15.38"/>
    <col customWidth="1" hidden="1" min="4" max="4" width="14.38"/>
    <col customWidth="1" hidden="1" min="5" max="5" width="15.25"/>
    <col hidden="1" min="6" max="7" width="12.63"/>
    <col customWidth="1" hidden="1" min="8" max="8" width="14.0"/>
    <col customWidth="1" hidden="1" min="9" max="9" width="15.0"/>
    <col customWidth="1" hidden="1" min="10" max="10" width="14.0"/>
    <col customWidth="1" hidden="1" min="11" max="11" width="15.0"/>
    <col customWidth="1" hidden="1" min="12" max="12" width="14.38"/>
    <col customWidth="1" hidden="1" min="13" max="13" width="17.25"/>
    <col customWidth="1" hidden="1" min="14" max="14" width="19.75"/>
    <col hidden="1" min="15" max="15" width="12.63"/>
    <col customWidth="1" hidden="1" min="16" max="16" width="20.5"/>
    <col hidden="1" min="17" max="17" width="12.63"/>
    <col customWidth="1" min="18" max="18" width="20.0"/>
    <col customWidth="1" min="19" max="19" width="17.38"/>
    <col customWidth="1" min="20" max="20" width="18.88"/>
    <col customWidth="1" min="22" max="22" width="19.0"/>
    <col customWidth="1" min="23" max="23" width="14.13"/>
    <col customWidth="1" min="24" max="24" width="18.38"/>
    <col customWidth="1" min="25" max="25" width="16.5"/>
  </cols>
  <sheetData>
    <row r="1">
      <c r="A1" s="68" t="s">
        <v>141</v>
      </c>
    </row>
    <row r="2">
      <c r="A2" s="38"/>
      <c r="B2" s="7" t="s">
        <v>149</v>
      </c>
      <c r="C2" s="7" t="s">
        <v>150</v>
      </c>
      <c r="D2" s="7" t="s">
        <v>56</v>
      </c>
      <c r="E2" s="7" t="s">
        <v>151</v>
      </c>
      <c r="F2" s="7" t="s">
        <v>152</v>
      </c>
      <c r="G2" s="7" t="s">
        <v>153</v>
      </c>
      <c r="H2" s="7" t="s">
        <v>60</v>
      </c>
      <c r="I2" s="7" t="s">
        <v>61</v>
      </c>
      <c r="J2" s="7" t="s">
        <v>62</v>
      </c>
      <c r="K2" s="7" t="s">
        <v>63</v>
      </c>
      <c r="L2" s="69" t="s">
        <v>64</v>
      </c>
      <c r="M2" s="7" t="s">
        <v>65</v>
      </c>
      <c r="N2" s="7" t="s">
        <v>66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71</v>
      </c>
      <c r="T2" s="70" t="s">
        <v>72</v>
      </c>
      <c r="U2" s="7" t="s">
        <v>73</v>
      </c>
      <c r="V2" s="7" t="s">
        <v>158</v>
      </c>
      <c r="W2" s="7" t="s">
        <v>75</v>
      </c>
      <c r="X2" s="7" t="s">
        <v>76</v>
      </c>
      <c r="Y2" s="7" t="s">
        <v>77</v>
      </c>
    </row>
    <row r="3">
      <c r="A3" s="38" t="s">
        <v>85</v>
      </c>
      <c r="B3" s="71">
        <v>3.0</v>
      </c>
      <c r="C3" s="71">
        <v>9.0</v>
      </c>
      <c r="D3" s="72">
        <v>2.0</v>
      </c>
      <c r="E3" s="71">
        <v>8.0</v>
      </c>
      <c r="F3" s="71">
        <v>9.0</v>
      </c>
      <c r="G3" s="71">
        <v>7.0</v>
      </c>
      <c r="H3" s="71">
        <v>6.0</v>
      </c>
      <c r="I3" s="71">
        <v>9.0</v>
      </c>
      <c r="J3" s="71">
        <v>8.0</v>
      </c>
      <c r="K3" s="71">
        <v>7.0</v>
      </c>
      <c r="L3" s="71">
        <v>6.0</v>
      </c>
      <c r="M3" s="71">
        <v>10.0</v>
      </c>
      <c r="N3" s="71">
        <v>7.0</v>
      </c>
      <c r="O3" s="72">
        <v>15.0</v>
      </c>
      <c r="P3" s="71">
        <v>16.0</v>
      </c>
      <c r="Q3" s="71">
        <v>10.0</v>
      </c>
      <c r="R3" s="71">
        <v>6.0</v>
      </c>
      <c r="S3" s="71">
        <v>11.0</v>
      </c>
      <c r="T3" s="71">
        <v>11.0</v>
      </c>
      <c r="U3" s="71">
        <v>12.0</v>
      </c>
      <c r="V3" s="71">
        <v>6.0</v>
      </c>
      <c r="W3" s="71">
        <v>21.0</v>
      </c>
      <c r="X3" s="71">
        <v>4.0</v>
      </c>
      <c r="Y3" s="71">
        <v>14.0</v>
      </c>
    </row>
    <row r="4">
      <c r="A4" s="38" t="s">
        <v>86</v>
      </c>
      <c r="B4" s="71">
        <v>2.0</v>
      </c>
      <c r="C4" s="71">
        <v>1.0</v>
      </c>
      <c r="D4" s="72">
        <v>2.0</v>
      </c>
      <c r="E4" s="71">
        <v>5.0</v>
      </c>
      <c r="F4" s="71">
        <v>6.0</v>
      </c>
      <c r="G4" s="71">
        <v>3.0</v>
      </c>
      <c r="H4" s="71">
        <v>11.0</v>
      </c>
      <c r="I4" s="71">
        <v>6.0</v>
      </c>
      <c r="J4" s="71">
        <v>5.0</v>
      </c>
      <c r="K4" s="71">
        <v>5.0</v>
      </c>
      <c r="L4" s="71">
        <v>5.0</v>
      </c>
      <c r="M4" s="71">
        <v>3.0</v>
      </c>
      <c r="N4" s="71">
        <v>4.0</v>
      </c>
      <c r="O4" s="71">
        <v>4.0</v>
      </c>
      <c r="P4" s="71">
        <v>8.0</v>
      </c>
      <c r="Q4" s="71">
        <v>1.0</v>
      </c>
      <c r="R4" s="71">
        <v>3.0</v>
      </c>
      <c r="S4" s="71">
        <v>10.0</v>
      </c>
      <c r="T4" s="71">
        <v>5.0</v>
      </c>
      <c r="U4" s="71">
        <v>5.0</v>
      </c>
      <c r="V4" s="71">
        <v>4.0</v>
      </c>
      <c r="W4" s="71">
        <v>4.0</v>
      </c>
      <c r="X4" s="71">
        <v>3.0</v>
      </c>
      <c r="Y4" s="71">
        <v>8.0</v>
      </c>
    </row>
    <row r="5">
      <c r="A5" s="38" t="s">
        <v>88</v>
      </c>
      <c r="B5" s="71">
        <v>3.0</v>
      </c>
      <c r="C5" s="71">
        <v>7.0</v>
      </c>
      <c r="D5" s="72">
        <v>2.0</v>
      </c>
      <c r="E5" s="71">
        <v>14.0</v>
      </c>
      <c r="F5" s="71">
        <v>7.0</v>
      </c>
      <c r="G5" s="71">
        <v>9.0</v>
      </c>
      <c r="H5" s="71">
        <v>8.0</v>
      </c>
      <c r="I5" s="71">
        <v>14.0</v>
      </c>
      <c r="J5" s="71">
        <v>12.0</v>
      </c>
      <c r="K5" s="71">
        <v>12.0</v>
      </c>
      <c r="L5" s="71">
        <v>9.0</v>
      </c>
      <c r="M5" s="71">
        <v>18.0</v>
      </c>
      <c r="N5" s="71">
        <v>6.0</v>
      </c>
      <c r="O5" s="72">
        <v>10.0</v>
      </c>
      <c r="P5" s="71">
        <v>13.0</v>
      </c>
      <c r="Q5" s="71">
        <v>8.0</v>
      </c>
      <c r="R5" s="71">
        <v>11.0</v>
      </c>
      <c r="S5" s="71">
        <v>10.0</v>
      </c>
      <c r="T5" s="71">
        <v>9.0</v>
      </c>
      <c r="U5" s="71">
        <v>8.0</v>
      </c>
      <c r="V5" s="71">
        <v>9.0</v>
      </c>
      <c r="W5" s="71">
        <v>8.0</v>
      </c>
      <c r="X5" s="71">
        <v>6.0</v>
      </c>
      <c r="Y5" s="71">
        <v>12.0</v>
      </c>
    </row>
    <row r="6">
      <c r="A6" s="38" t="s">
        <v>90</v>
      </c>
      <c r="B6" s="71">
        <v>4.0</v>
      </c>
      <c r="C6" s="71">
        <v>16.0</v>
      </c>
      <c r="D6" s="72">
        <v>2.0</v>
      </c>
      <c r="E6" s="71">
        <v>15.0</v>
      </c>
      <c r="F6" s="71">
        <v>13.0</v>
      </c>
      <c r="G6" s="71">
        <v>9.0</v>
      </c>
      <c r="H6" s="71">
        <v>11.0</v>
      </c>
      <c r="I6" s="71">
        <v>17.0</v>
      </c>
      <c r="J6" s="71">
        <v>12.0</v>
      </c>
      <c r="K6" s="71">
        <v>9.0</v>
      </c>
      <c r="L6" s="73"/>
      <c r="M6" s="71">
        <v>11.0</v>
      </c>
      <c r="N6" s="71">
        <v>12.0</v>
      </c>
      <c r="O6" s="72">
        <v>16.0</v>
      </c>
      <c r="P6" s="71">
        <v>9.0</v>
      </c>
      <c r="Q6" s="71">
        <v>6.0</v>
      </c>
      <c r="R6" s="71">
        <v>8.0</v>
      </c>
      <c r="S6" s="71">
        <v>3.0</v>
      </c>
      <c r="T6" s="71">
        <v>8.0</v>
      </c>
      <c r="U6" s="71">
        <v>9.0</v>
      </c>
      <c r="V6" s="71">
        <v>6.0</v>
      </c>
      <c r="W6" s="71">
        <v>7.0</v>
      </c>
      <c r="X6" s="71">
        <v>12.0</v>
      </c>
      <c r="Y6" s="71">
        <v>19.0</v>
      </c>
    </row>
    <row r="7" hidden="1">
      <c r="A7" s="38" t="s">
        <v>91</v>
      </c>
      <c r="B7" s="71">
        <v>14.0</v>
      </c>
      <c r="C7" s="71">
        <v>14.0</v>
      </c>
      <c r="D7" s="72">
        <v>1.0</v>
      </c>
      <c r="E7" s="71">
        <v>10.0</v>
      </c>
      <c r="F7" s="71">
        <v>26.0</v>
      </c>
      <c r="G7" s="71">
        <v>12.0</v>
      </c>
      <c r="H7" s="71">
        <v>14.0</v>
      </c>
      <c r="I7" s="71">
        <v>9.0</v>
      </c>
      <c r="J7" s="71">
        <v>7.0</v>
      </c>
      <c r="K7" s="71">
        <v>8.0</v>
      </c>
      <c r="L7" s="71">
        <v>13.0</v>
      </c>
      <c r="M7" s="71">
        <v>10.0</v>
      </c>
      <c r="N7" s="71">
        <v>13.0</v>
      </c>
      <c r="O7" s="71"/>
      <c r="P7" s="38"/>
      <c r="Q7" s="71">
        <v>11.0</v>
      </c>
      <c r="R7" s="38"/>
      <c r="S7" s="38"/>
      <c r="T7" s="38"/>
      <c r="U7" s="38"/>
      <c r="W7" s="71">
        <v>7.0</v>
      </c>
      <c r="X7" s="71"/>
      <c r="Y7" s="38"/>
    </row>
    <row r="8">
      <c r="A8" s="38" t="s">
        <v>94</v>
      </c>
      <c r="B8" s="71">
        <v>3.0</v>
      </c>
      <c r="C8" s="71">
        <v>3.0</v>
      </c>
      <c r="D8" s="72">
        <v>2.0</v>
      </c>
      <c r="E8" s="71">
        <v>3.0</v>
      </c>
      <c r="F8" s="71">
        <v>3.0</v>
      </c>
      <c r="G8" s="71">
        <v>2.0</v>
      </c>
      <c r="H8" s="71">
        <v>2.0</v>
      </c>
      <c r="I8" s="71">
        <v>4.0</v>
      </c>
      <c r="J8" s="71">
        <v>9.0</v>
      </c>
      <c r="K8" s="71">
        <v>7.0</v>
      </c>
      <c r="L8" s="71">
        <v>5.0</v>
      </c>
      <c r="M8" s="71">
        <v>6.0</v>
      </c>
      <c r="N8" s="71">
        <v>5.0</v>
      </c>
      <c r="O8" s="72">
        <v>8.0</v>
      </c>
      <c r="P8" s="71">
        <v>9.0</v>
      </c>
      <c r="Q8" s="71">
        <v>13.0</v>
      </c>
      <c r="R8" s="71">
        <v>1.0</v>
      </c>
      <c r="S8" s="71">
        <v>13.0</v>
      </c>
      <c r="T8" s="71">
        <v>11.0</v>
      </c>
      <c r="U8" s="71">
        <v>18.0</v>
      </c>
      <c r="V8" s="71">
        <v>8.0</v>
      </c>
      <c r="W8" s="71">
        <v>7.0</v>
      </c>
      <c r="X8" s="71">
        <v>10.0</v>
      </c>
      <c r="Y8" s="71">
        <v>8.0</v>
      </c>
    </row>
    <row r="9">
      <c r="A9" s="7" t="s">
        <v>96</v>
      </c>
      <c r="B9" s="71">
        <v>5.0</v>
      </c>
      <c r="C9" s="71">
        <v>9.0</v>
      </c>
      <c r="D9" s="72">
        <v>1.0</v>
      </c>
      <c r="E9" s="71">
        <v>16.0</v>
      </c>
      <c r="F9" s="71">
        <v>3.0</v>
      </c>
      <c r="G9" s="71">
        <v>6.0</v>
      </c>
      <c r="H9" s="71">
        <v>9.0</v>
      </c>
      <c r="I9" s="71">
        <v>4.0</v>
      </c>
      <c r="J9" s="71">
        <v>6.0</v>
      </c>
      <c r="K9" s="71">
        <v>6.0</v>
      </c>
      <c r="L9" s="71">
        <v>4.0</v>
      </c>
      <c r="M9" s="71">
        <v>8.0</v>
      </c>
      <c r="N9" s="71">
        <v>7.0</v>
      </c>
      <c r="O9" s="72">
        <v>9.0</v>
      </c>
      <c r="P9" s="71">
        <v>7.0</v>
      </c>
      <c r="Q9" s="71">
        <v>4.0</v>
      </c>
      <c r="R9" s="71">
        <v>10.0</v>
      </c>
      <c r="S9" s="71">
        <v>8.0</v>
      </c>
      <c r="T9" s="71">
        <v>16.0</v>
      </c>
      <c r="U9" s="71">
        <v>7.0</v>
      </c>
      <c r="V9" s="71">
        <v>20.0</v>
      </c>
      <c r="W9" s="72">
        <v>7.0</v>
      </c>
      <c r="X9" s="71">
        <v>14.0</v>
      </c>
      <c r="Y9" s="71">
        <v>10.0</v>
      </c>
    </row>
    <row r="10">
      <c r="A10" s="7" t="s">
        <v>97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74"/>
      <c r="M10" s="38"/>
      <c r="N10" s="38"/>
      <c r="O10" s="38"/>
      <c r="P10" s="38"/>
      <c r="Q10" s="38"/>
      <c r="R10" s="71">
        <v>9.0</v>
      </c>
      <c r="S10" s="71">
        <v>10.0</v>
      </c>
      <c r="T10" s="71">
        <v>3.0</v>
      </c>
      <c r="U10" s="38"/>
      <c r="V10" s="71">
        <v>8.0</v>
      </c>
      <c r="W10" s="7">
        <v>5.0</v>
      </c>
      <c r="X10" s="71">
        <v>8.0</v>
      </c>
      <c r="Y10" s="71">
        <v>8.0</v>
      </c>
    </row>
    <row r="11">
      <c r="L11" s="56"/>
    </row>
    <row r="12">
      <c r="A12" s="68" t="s">
        <v>146</v>
      </c>
    </row>
    <row r="13">
      <c r="A13" s="38"/>
      <c r="B13" s="7" t="s">
        <v>149</v>
      </c>
      <c r="C13" s="7" t="s">
        <v>150</v>
      </c>
      <c r="D13" s="7" t="s">
        <v>56</v>
      </c>
      <c r="E13" s="7" t="s">
        <v>151</v>
      </c>
      <c r="F13" s="7" t="s">
        <v>159</v>
      </c>
      <c r="G13" s="7" t="s">
        <v>153</v>
      </c>
      <c r="H13" s="7" t="s">
        <v>60</v>
      </c>
      <c r="I13" s="7" t="s">
        <v>61</v>
      </c>
      <c r="J13" s="7" t="s">
        <v>62</v>
      </c>
      <c r="K13" s="7" t="s">
        <v>63</v>
      </c>
      <c r="L13" s="69" t="s">
        <v>64</v>
      </c>
      <c r="M13" s="7" t="s">
        <v>65</v>
      </c>
      <c r="N13" s="7" t="s">
        <v>66</v>
      </c>
      <c r="O13" s="7" t="s">
        <v>154</v>
      </c>
      <c r="P13" s="7" t="s">
        <v>155</v>
      </c>
      <c r="Q13" s="7" t="s">
        <v>156</v>
      </c>
      <c r="R13" s="7" t="s">
        <v>157</v>
      </c>
      <c r="S13" s="7" t="s">
        <v>71</v>
      </c>
      <c r="T13" s="70" t="s">
        <v>72</v>
      </c>
      <c r="U13" s="7" t="s">
        <v>73</v>
      </c>
      <c r="V13" s="7" t="s">
        <v>158</v>
      </c>
      <c r="W13" s="7" t="s">
        <v>75</v>
      </c>
      <c r="X13" s="7" t="s">
        <v>76</v>
      </c>
      <c r="Y13" s="7" t="s">
        <v>77</v>
      </c>
    </row>
    <row r="14">
      <c r="A14" s="38" t="s">
        <v>85</v>
      </c>
      <c r="B14" s="75">
        <v>33.956</v>
      </c>
      <c r="C14" s="71">
        <v>101.292</v>
      </c>
      <c r="D14" s="71">
        <v>51.34</v>
      </c>
      <c r="E14" s="75">
        <v>50.27</v>
      </c>
      <c r="F14" s="75">
        <v>77.221</v>
      </c>
      <c r="G14" s="75">
        <v>30.195</v>
      </c>
      <c r="H14" s="75">
        <v>65.481</v>
      </c>
      <c r="I14" s="75">
        <v>70.105</v>
      </c>
      <c r="J14" s="71">
        <v>41.28</v>
      </c>
      <c r="K14" s="71">
        <v>103.26</v>
      </c>
      <c r="L14" s="71">
        <v>33.66</v>
      </c>
      <c r="M14" s="75">
        <f>67.329+7.26</f>
        <v>74.589</v>
      </c>
      <c r="N14" s="71">
        <v>65.695</v>
      </c>
      <c r="O14" s="71">
        <v>57.14</v>
      </c>
      <c r="P14" s="75">
        <v>66.81</v>
      </c>
      <c r="Q14" s="71">
        <v>75.868</v>
      </c>
      <c r="R14" s="75">
        <v>77.17</v>
      </c>
      <c r="S14" s="75">
        <v>68.904</v>
      </c>
      <c r="T14" s="75">
        <v>61.948</v>
      </c>
      <c r="U14" s="75">
        <v>49.855</v>
      </c>
      <c r="V14" s="75">
        <f>8.8+56.12</f>
        <v>64.92</v>
      </c>
      <c r="W14" s="75">
        <v>64.17</v>
      </c>
      <c r="X14" s="75">
        <v>74.392</v>
      </c>
      <c r="Y14" s="75">
        <v>57.13</v>
      </c>
    </row>
    <row r="15">
      <c r="A15" s="38" t="s">
        <v>86</v>
      </c>
      <c r="B15" s="76">
        <v>75.0</v>
      </c>
      <c r="C15" s="77">
        <v>76.752</v>
      </c>
      <c r="D15" s="77">
        <v>68.412</v>
      </c>
      <c r="E15" s="76">
        <v>78.88</v>
      </c>
      <c r="F15" s="76">
        <v>76.664</v>
      </c>
      <c r="G15" s="76">
        <v>37.4</v>
      </c>
      <c r="H15" s="76">
        <v>44.98</v>
      </c>
      <c r="I15" s="76">
        <v>64.808</v>
      </c>
      <c r="J15" s="77">
        <v>60.38</v>
      </c>
      <c r="K15" s="77">
        <v>81.0</v>
      </c>
      <c r="L15" s="71">
        <v>28.091</v>
      </c>
      <c r="M15" s="76">
        <v>70.0</v>
      </c>
      <c r="N15" s="77">
        <v>68.98</v>
      </c>
      <c r="O15" s="77">
        <v>68.808</v>
      </c>
      <c r="P15" s="76">
        <f>41.076+34.56</f>
        <v>75.636</v>
      </c>
      <c r="Q15" s="77">
        <v>22.08</v>
      </c>
      <c r="R15" s="76">
        <v>13.45</v>
      </c>
      <c r="S15" s="76">
        <v>63.576</v>
      </c>
      <c r="T15" s="76">
        <v>34.83</v>
      </c>
      <c r="U15" s="76">
        <v>60.75</v>
      </c>
      <c r="V15" s="76">
        <v>45.18</v>
      </c>
      <c r="W15" s="76">
        <v>61.997</v>
      </c>
      <c r="X15" s="76">
        <v>66.275</v>
      </c>
      <c r="Y15" s="78">
        <v>77.06</v>
      </c>
    </row>
    <row r="16">
      <c r="A16" s="38" t="s">
        <v>88</v>
      </c>
      <c r="B16" s="75">
        <v>72.336</v>
      </c>
      <c r="C16" s="71">
        <v>61.76</v>
      </c>
      <c r="D16" s="71">
        <v>71.13</v>
      </c>
      <c r="E16" s="75">
        <v>66.005</v>
      </c>
      <c r="F16" s="75">
        <v>72.735</v>
      </c>
      <c r="G16" s="75">
        <v>46.732</v>
      </c>
      <c r="H16" s="75">
        <f>56.325+3.795</f>
        <v>60.12</v>
      </c>
      <c r="I16" s="75">
        <v>68.47</v>
      </c>
      <c r="J16" s="71">
        <v>75.086</v>
      </c>
      <c r="K16" s="71">
        <v>69.0</v>
      </c>
      <c r="L16" s="71">
        <v>59.896</v>
      </c>
      <c r="M16" s="75">
        <v>72.036</v>
      </c>
      <c r="N16" s="71">
        <v>39.531</v>
      </c>
      <c r="O16" s="71">
        <v>54.7</v>
      </c>
      <c r="P16" s="75">
        <v>83.625</v>
      </c>
      <c r="Q16" s="71">
        <v>67.54</v>
      </c>
      <c r="R16" s="75">
        <v>79.425</v>
      </c>
      <c r="S16" s="75">
        <v>75.32</v>
      </c>
      <c r="T16" s="75">
        <v>93.29</v>
      </c>
      <c r="U16" s="75">
        <v>70.35</v>
      </c>
      <c r="V16" s="75">
        <v>74.072</v>
      </c>
      <c r="W16" s="75">
        <v>72.372</v>
      </c>
      <c r="X16" s="75">
        <v>85.21</v>
      </c>
      <c r="Y16" s="75">
        <v>76.17</v>
      </c>
    </row>
    <row r="17">
      <c r="A17" s="38" t="s">
        <v>90</v>
      </c>
      <c r="B17" s="75">
        <v>68.4</v>
      </c>
      <c r="C17" s="71">
        <v>88.715</v>
      </c>
      <c r="D17" s="71">
        <v>62.714</v>
      </c>
      <c r="E17" s="75">
        <v>53.816</v>
      </c>
      <c r="F17" s="75">
        <v>111.917</v>
      </c>
      <c r="G17" s="75">
        <v>30.61</v>
      </c>
      <c r="H17" s="75">
        <v>73.316</v>
      </c>
      <c r="I17" s="75">
        <v>91.04</v>
      </c>
      <c r="J17" s="71">
        <v>54.5</v>
      </c>
      <c r="K17" s="71">
        <v>49.106</v>
      </c>
      <c r="L17" s="73"/>
      <c r="M17" s="75">
        <v>64.05</v>
      </c>
      <c r="N17" s="71">
        <v>80.792</v>
      </c>
      <c r="O17" s="71">
        <v>82.238</v>
      </c>
      <c r="P17" s="75">
        <v>33.574</v>
      </c>
      <c r="Q17" s="71">
        <v>26.308</v>
      </c>
      <c r="R17" s="75">
        <v>41.55</v>
      </c>
      <c r="S17" s="75">
        <v>68.112</v>
      </c>
      <c r="T17" s="75">
        <v>57.362</v>
      </c>
      <c r="U17" s="75">
        <v>116.204</v>
      </c>
      <c r="V17" s="75">
        <v>28.76</v>
      </c>
      <c r="W17" s="75">
        <v>55.55</v>
      </c>
      <c r="X17" s="75">
        <v>73.072</v>
      </c>
      <c r="Y17" s="75">
        <v>61.37</v>
      </c>
    </row>
    <row r="18" hidden="1">
      <c r="A18" s="38" t="s">
        <v>91</v>
      </c>
      <c r="B18" s="75">
        <v>63.21</v>
      </c>
      <c r="C18" s="71">
        <v>53.695</v>
      </c>
      <c r="D18" s="71">
        <v>60.896</v>
      </c>
      <c r="E18" s="75">
        <v>36.06</v>
      </c>
      <c r="F18" s="75">
        <f>91.544-14</f>
        <v>77.544</v>
      </c>
      <c r="G18" s="75">
        <v>60.749</v>
      </c>
      <c r="H18" s="75">
        <v>93.569</v>
      </c>
      <c r="I18" s="75">
        <v>68.408</v>
      </c>
      <c r="J18" s="71">
        <v>58.613</v>
      </c>
      <c r="K18" s="71">
        <v>59.45</v>
      </c>
      <c r="L18" s="71">
        <v>31.75</v>
      </c>
      <c r="M18" s="75">
        <v>35.08</v>
      </c>
      <c r="N18" s="71">
        <v>45.74</v>
      </c>
      <c r="O18" s="38"/>
      <c r="P18" s="38"/>
      <c r="Q18" s="71">
        <v>111.206</v>
      </c>
      <c r="R18" s="38"/>
      <c r="S18" s="38"/>
      <c r="T18" s="38"/>
      <c r="U18" s="38"/>
      <c r="W18" s="38"/>
      <c r="X18" s="38"/>
      <c r="Y18" s="38"/>
    </row>
    <row r="19">
      <c r="A19" s="38" t="s">
        <v>94</v>
      </c>
      <c r="B19" s="75">
        <v>82.0</v>
      </c>
      <c r="C19" s="71">
        <v>98.9</v>
      </c>
      <c r="D19" s="71">
        <v>59.788</v>
      </c>
      <c r="E19" s="75">
        <v>130.68</v>
      </c>
      <c r="F19" s="75">
        <v>107.4</v>
      </c>
      <c r="G19" s="75">
        <v>158.4</v>
      </c>
      <c r="H19" s="75">
        <v>144.0</v>
      </c>
      <c r="I19" s="75">
        <v>47.18</v>
      </c>
      <c r="J19" s="71">
        <v>124.14</v>
      </c>
      <c r="K19" s="71">
        <v>98.65</v>
      </c>
      <c r="L19" s="71">
        <v>56.706</v>
      </c>
      <c r="M19" s="75">
        <v>85.716</v>
      </c>
      <c r="N19" s="71">
        <f>42.644+31.68</f>
        <v>74.324</v>
      </c>
      <c r="O19" s="71">
        <v>112.69</v>
      </c>
      <c r="P19" s="75">
        <v>94.18</v>
      </c>
      <c r="Q19" s="71">
        <v>111.206</v>
      </c>
      <c r="R19" s="75">
        <v>18.72</v>
      </c>
      <c r="S19" s="75">
        <v>141.545</v>
      </c>
      <c r="T19" s="75">
        <v>123.486</v>
      </c>
      <c r="U19" s="75">
        <v>123.486</v>
      </c>
      <c r="V19" s="75">
        <v>88.46</v>
      </c>
      <c r="W19" s="75">
        <v>91.582</v>
      </c>
      <c r="X19" s="75">
        <v>71.158</v>
      </c>
      <c r="Y19" s="75">
        <v>124.02</v>
      </c>
    </row>
    <row r="20">
      <c r="A20" s="7" t="s">
        <v>96</v>
      </c>
      <c r="B20" s="75">
        <v>98.992</v>
      </c>
      <c r="C20" s="79">
        <v>76.13</v>
      </c>
      <c r="D20" s="79">
        <v>108.022</v>
      </c>
      <c r="E20" s="75">
        <v>63.75</v>
      </c>
      <c r="F20" s="75">
        <v>67.66</v>
      </c>
      <c r="G20" s="75">
        <v>60.391</v>
      </c>
      <c r="H20" s="75">
        <v>72.65</v>
      </c>
      <c r="I20" s="75">
        <v>66.078</v>
      </c>
      <c r="J20" s="79">
        <v>63.625</v>
      </c>
      <c r="K20" s="79">
        <v>36.28</v>
      </c>
      <c r="L20" s="79">
        <v>25.735</v>
      </c>
      <c r="M20" s="75">
        <v>59.814</v>
      </c>
      <c r="N20" s="79">
        <v>66.882</v>
      </c>
      <c r="O20" s="71">
        <v>97.71</v>
      </c>
      <c r="P20" s="75">
        <v>67.462</v>
      </c>
      <c r="Q20" s="79">
        <v>41.2</v>
      </c>
      <c r="R20" s="75">
        <v>27.916</v>
      </c>
      <c r="S20" s="75">
        <v>75.9</v>
      </c>
      <c r="T20" s="75">
        <v>47.55</v>
      </c>
      <c r="U20" s="75">
        <v>65.908</v>
      </c>
      <c r="V20" s="75">
        <v>45.444</v>
      </c>
      <c r="W20" s="75">
        <v>31.305</v>
      </c>
      <c r="X20" s="75">
        <v>44.725</v>
      </c>
      <c r="Y20" s="75">
        <v>30.59</v>
      </c>
    </row>
    <row r="21">
      <c r="A21" s="7" t="s">
        <v>97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74"/>
      <c r="M21" s="38"/>
      <c r="N21" s="38"/>
      <c r="O21" s="38"/>
      <c r="P21" s="38"/>
      <c r="Q21" s="38"/>
      <c r="R21" s="75">
        <v>25.9</v>
      </c>
      <c r="S21" s="75">
        <v>47.45</v>
      </c>
      <c r="T21" s="75">
        <v>15.388</v>
      </c>
      <c r="U21" s="75">
        <v>35.902</v>
      </c>
      <c r="V21" s="75">
        <v>25.2</v>
      </c>
      <c r="W21" s="75">
        <v>65.256</v>
      </c>
      <c r="X21" s="75">
        <v>33.7</v>
      </c>
      <c r="Y21" s="75">
        <v>17.7</v>
      </c>
    </row>
    <row r="22">
      <c r="L22" s="56"/>
    </row>
    <row r="23">
      <c r="A23" s="68" t="s">
        <v>148</v>
      </c>
    </row>
    <row r="24">
      <c r="A24" s="38"/>
      <c r="B24" s="7" t="s">
        <v>149</v>
      </c>
      <c r="C24" s="7" t="s">
        <v>150</v>
      </c>
      <c r="D24" s="7" t="s">
        <v>56</v>
      </c>
      <c r="E24" s="7" t="s">
        <v>151</v>
      </c>
      <c r="F24" s="7" t="s">
        <v>159</v>
      </c>
      <c r="G24" s="7" t="s">
        <v>153</v>
      </c>
      <c r="H24" s="7" t="s">
        <v>60</v>
      </c>
      <c r="I24" s="7" t="s">
        <v>61</v>
      </c>
      <c r="J24" s="7" t="s">
        <v>62</v>
      </c>
      <c r="K24" s="7" t="s">
        <v>63</v>
      </c>
      <c r="L24" s="69" t="s">
        <v>64</v>
      </c>
      <c r="M24" s="7" t="s">
        <v>65</v>
      </c>
      <c r="N24" s="7" t="s">
        <v>66</v>
      </c>
      <c r="O24" s="7" t="s">
        <v>154</v>
      </c>
      <c r="P24" s="7" t="s">
        <v>155</v>
      </c>
      <c r="Q24" s="7" t="s">
        <v>156</v>
      </c>
      <c r="R24" s="7" t="s">
        <v>157</v>
      </c>
      <c r="S24" s="7" t="s">
        <v>71</v>
      </c>
      <c r="T24" s="70" t="s">
        <v>72</v>
      </c>
      <c r="U24" s="7" t="s">
        <v>73</v>
      </c>
      <c r="V24" s="7" t="s">
        <v>158</v>
      </c>
      <c r="W24" s="7" t="s">
        <v>75</v>
      </c>
      <c r="X24" s="7" t="s">
        <v>76</v>
      </c>
      <c r="Y24" s="7" t="s">
        <v>77</v>
      </c>
    </row>
    <row r="25">
      <c r="A25" s="38" t="s">
        <v>85</v>
      </c>
      <c r="B25" s="71">
        <v>100.0</v>
      </c>
      <c r="C25" s="71">
        <v>100.0</v>
      </c>
      <c r="D25" s="71">
        <v>100.0</v>
      </c>
      <c r="E25" s="71">
        <v>95.0</v>
      </c>
      <c r="F25" s="71">
        <v>100.0</v>
      </c>
      <c r="G25" s="71">
        <v>80.0</v>
      </c>
      <c r="H25" s="71">
        <v>100.0</v>
      </c>
      <c r="I25" s="71">
        <v>90.0</v>
      </c>
      <c r="J25" s="71">
        <v>90.0</v>
      </c>
      <c r="K25" s="71">
        <v>90.0</v>
      </c>
      <c r="L25" s="71">
        <v>70.0</v>
      </c>
      <c r="M25" s="71">
        <v>100.0</v>
      </c>
      <c r="N25" s="71">
        <v>100.0</v>
      </c>
      <c r="O25" s="71">
        <v>90.0</v>
      </c>
      <c r="P25" s="71">
        <v>100.0</v>
      </c>
      <c r="Q25" s="71">
        <v>100.0</v>
      </c>
      <c r="R25" s="71">
        <v>100.0</v>
      </c>
      <c r="S25" s="71">
        <v>95.0</v>
      </c>
      <c r="T25" s="71">
        <v>100.0</v>
      </c>
      <c r="U25" s="71">
        <v>100.0</v>
      </c>
      <c r="V25" s="71">
        <v>70.0</v>
      </c>
      <c r="W25" s="71">
        <v>100.0</v>
      </c>
      <c r="X25" s="71">
        <v>90.0</v>
      </c>
      <c r="Y25" s="71">
        <v>70.0</v>
      </c>
    </row>
    <row r="26">
      <c r="A26" s="38" t="s">
        <v>86</v>
      </c>
      <c r="B26" s="71">
        <v>75.0</v>
      </c>
      <c r="C26" s="71">
        <v>75.0</v>
      </c>
      <c r="D26" s="71">
        <v>75.0</v>
      </c>
      <c r="E26" s="71">
        <v>75.0</v>
      </c>
      <c r="F26" s="71">
        <v>75.0</v>
      </c>
      <c r="G26" s="71">
        <v>45.0</v>
      </c>
      <c r="H26" s="71">
        <v>67.5</v>
      </c>
      <c r="I26" s="71">
        <v>67.5</v>
      </c>
      <c r="J26" s="71">
        <v>67.5</v>
      </c>
      <c r="K26" s="71">
        <v>67.5</v>
      </c>
      <c r="L26" s="71">
        <v>45.0</v>
      </c>
      <c r="M26" s="71">
        <v>60.0</v>
      </c>
      <c r="N26" s="71">
        <v>75.0</v>
      </c>
      <c r="O26" s="71">
        <v>67.5</v>
      </c>
      <c r="P26" s="71">
        <v>75.0</v>
      </c>
      <c r="Q26" s="71">
        <v>37.5</v>
      </c>
      <c r="R26" s="71">
        <v>37.5</v>
      </c>
      <c r="S26" s="71">
        <v>75.0</v>
      </c>
      <c r="T26" s="71">
        <v>75.0</v>
      </c>
      <c r="U26" s="71">
        <v>75.0</v>
      </c>
      <c r="V26" s="71">
        <v>52.5</v>
      </c>
      <c r="W26" s="71">
        <v>71.25</v>
      </c>
      <c r="X26" s="71">
        <v>75.0</v>
      </c>
      <c r="Y26" s="71">
        <v>67.5</v>
      </c>
    </row>
    <row r="27">
      <c r="A27" s="38" t="s">
        <v>88</v>
      </c>
      <c r="B27" s="71">
        <v>90.0</v>
      </c>
      <c r="C27" s="71">
        <v>95.0</v>
      </c>
      <c r="D27" s="71">
        <v>95.0</v>
      </c>
      <c r="E27" s="71">
        <v>100.0</v>
      </c>
      <c r="F27" s="71">
        <v>95.0</v>
      </c>
      <c r="G27" s="71">
        <v>70.0</v>
      </c>
      <c r="H27" s="71">
        <v>65.0</v>
      </c>
      <c r="I27" s="71">
        <v>90.0</v>
      </c>
      <c r="J27" s="71">
        <v>90.0</v>
      </c>
      <c r="K27" s="71">
        <v>90.0</v>
      </c>
      <c r="L27" s="71">
        <v>70.0</v>
      </c>
      <c r="M27" s="71">
        <v>95.0</v>
      </c>
      <c r="N27" s="71">
        <v>70.0</v>
      </c>
      <c r="O27" s="71">
        <v>70.0</v>
      </c>
      <c r="P27" s="71">
        <v>100.0</v>
      </c>
      <c r="Q27" s="71">
        <v>80.0</v>
      </c>
      <c r="R27" s="71">
        <v>90.0</v>
      </c>
      <c r="S27" s="71">
        <v>90.0</v>
      </c>
      <c r="T27" s="71">
        <v>100.0</v>
      </c>
      <c r="U27" s="71">
        <v>100.0</v>
      </c>
      <c r="V27" s="71">
        <v>85.0</v>
      </c>
      <c r="W27" s="71">
        <v>100.0</v>
      </c>
      <c r="X27" s="71">
        <v>100.0</v>
      </c>
      <c r="Y27" s="71">
        <v>100.0</v>
      </c>
    </row>
    <row r="28">
      <c r="A28" s="38" t="s">
        <v>90</v>
      </c>
      <c r="B28" s="71">
        <v>75.0</v>
      </c>
      <c r="C28" s="71">
        <v>67.5</v>
      </c>
      <c r="D28" s="71">
        <v>75.0</v>
      </c>
      <c r="E28" s="71">
        <v>75.0</v>
      </c>
      <c r="F28" s="71">
        <v>75.0</v>
      </c>
      <c r="G28" s="71">
        <v>52.5</v>
      </c>
      <c r="H28" s="71">
        <v>60.0</v>
      </c>
      <c r="I28" s="71">
        <v>67.5</v>
      </c>
      <c r="J28" s="71">
        <v>67.5</v>
      </c>
      <c r="K28" s="71">
        <v>52.5</v>
      </c>
      <c r="L28" s="71">
        <v>0.0</v>
      </c>
      <c r="M28" s="71">
        <v>75.0</v>
      </c>
      <c r="N28" s="71">
        <v>75.0</v>
      </c>
      <c r="O28" s="71">
        <v>67.5</v>
      </c>
      <c r="P28" s="71">
        <v>75.0</v>
      </c>
      <c r="Q28" s="71">
        <v>52.5</v>
      </c>
      <c r="R28" s="71">
        <v>37.5</v>
      </c>
      <c r="S28" s="71">
        <v>75.0</v>
      </c>
      <c r="T28" s="71">
        <v>75.0</v>
      </c>
      <c r="U28" s="71">
        <v>75.0</v>
      </c>
      <c r="V28" s="71">
        <v>63.75</v>
      </c>
      <c r="W28" s="71">
        <v>56.25</v>
      </c>
      <c r="X28" s="71">
        <v>75.0</v>
      </c>
      <c r="Y28" s="71">
        <v>75.0</v>
      </c>
    </row>
    <row r="29" hidden="1">
      <c r="A29" s="38" t="s">
        <v>91</v>
      </c>
      <c r="B29" s="71">
        <v>100.0</v>
      </c>
      <c r="C29" s="71">
        <v>100.0</v>
      </c>
      <c r="D29" s="71">
        <v>100.0</v>
      </c>
      <c r="E29" s="71">
        <v>100.0</v>
      </c>
      <c r="F29" s="71">
        <v>100.0</v>
      </c>
      <c r="G29" s="71">
        <v>80.0</v>
      </c>
      <c r="H29" s="71">
        <v>100.0</v>
      </c>
      <c r="I29" s="71">
        <v>90.0</v>
      </c>
      <c r="J29" s="71">
        <v>80.0</v>
      </c>
      <c r="K29" s="71">
        <v>90.0</v>
      </c>
      <c r="L29" s="71">
        <v>70.0</v>
      </c>
      <c r="M29" s="71">
        <v>70.0</v>
      </c>
      <c r="N29" s="71">
        <v>100.0</v>
      </c>
      <c r="O29" s="38"/>
      <c r="P29" s="38"/>
      <c r="Q29" s="38"/>
      <c r="R29" s="38"/>
      <c r="S29" s="38"/>
      <c r="T29" s="38"/>
      <c r="W29" s="38"/>
      <c r="X29" s="38"/>
      <c r="Y29" s="38"/>
    </row>
    <row r="30">
      <c r="A30" s="38" t="s">
        <v>94</v>
      </c>
      <c r="B30" s="71">
        <v>100.0</v>
      </c>
      <c r="C30" s="71">
        <v>100.0</v>
      </c>
      <c r="D30" s="71">
        <v>80.0</v>
      </c>
      <c r="E30" s="71">
        <v>100.0</v>
      </c>
      <c r="F30" s="71">
        <v>100.0</v>
      </c>
      <c r="G30" s="71">
        <v>80.0</v>
      </c>
      <c r="H30" s="71">
        <v>100.0</v>
      </c>
      <c r="I30" s="71">
        <v>90.0</v>
      </c>
      <c r="J30" s="71">
        <v>90.0</v>
      </c>
      <c r="K30" s="71">
        <v>90.0</v>
      </c>
      <c r="L30" s="71">
        <v>70.0</v>
      </c>
      <c r="M30" s="71">
        <v>100.0</v>
      </c>
      <c r="N30" s="71">
        <v>75.0</v>
      </c>
      <c r="O30" s="71">
        <v>90.0</v>
      </c>
      <c r="P30" s="71">
        <v>100.0</v>
      </c>
      <c r="Q30" s="71">
        <v>100.0</v>
      </c>
      <c r="R30" s="71">
        <v>60.0</v>
      </c>
      <c r="S30" s="71">
        <v>100.0</v>
      </c>
      <c r="T30" s="71">
        <v>100.0</v>
      </c>
      <c r="U30" s="71">
        <v>100.0</v>
      </c>
      <c r="V30" s="71">
        <v>70.0</v>
      </c>
      <c r="W30" s="71">
        <v>100.0</v>
      </c>
      <c r="X30" s="71">
        <v>100.0</v>
      </c>
      <c r="Y30" s="71">
        <v>80.0</v>
      </c>
    </row>
    <row r="31">
      <c r="A31" s="7" t="s">
        <v>96</v>
      </c>
      <c r="B31" s="71">
        <v>80.0</v>
      </c>
      <c r="C31" s="71">
        <v>80.0</v>
      </c>
      <c r="D31" s="71">
        <v>80.0</v>
      </c>
      <c r="E31" s="71">
        <v>80.0</v>
      </c>
      <c r="F31" s="71">
        <v>80.0</v>
      </c>
      <c r="G31" s="71">
        <v>64.0</v>
      </c>
      <c r="H31" s="71">
        <v>80.0</v>
      </c>
      <c r="I31" s="71">
        <v>72.0</v>
      </c>
      <c r="J31" s="71">
        <v>72.0</v>
      </c>
      <c r="K31" s="71">
        <v>72.0</v>
      </c>
      <c r="L31" s="71">
        <v>56.0</v>
      </c>
      <c r="M31" s="71">
        <v>80.0</v>
      </c>
      <c r="N31" s="71">
        <v>80.0</v>
      </c>
      <c r="O31" s="71">
        <v>72.0</v>
      </c>
      <c r="P31" s="71">
        <v>64.0</v>
      </c>
      <c r="Q31" s="71">
        <v>80.0</v>
      </c>
      <c r="R31" s="71">
        <v>56.0</v>
      </c>
      <c r="S31" s="71">
        <v>80.0</v>
      </c>
      <c r="T31" s="71">
        <v>72.0</v>
      </c>
      <c r="U31" s="71">
        <v>80.0</v>
      </c>
      <c r="V31" s="71">
        <v>68.0</v>
      </c>
      <c r="W31" s="71">
        <v>80.0</v>
      </c>
      <c r="X31" s="71">
        <v>64.0</v>
      </c>
      <c r="Y31" s="71">
        <v>72.0</v>
      </c>
    </row>
    <row r="32">
      <c r="A32" s="7" t="s">
        <v>97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74"/>
      <c r="M32" s="38"/>
      <c r="N32" s="38"/>
      <c r="O32" s="38"/>
      <c r="P32" s="38"/>
      <c r="Q32" s="38"/>
      <c r="R32" s="75">
        <v>80.0</v>
      </c>
      <c r="S32" s="75">
        <v>80.0</v>
      </c>
      <c r="T32" s="75">
        <v>80.0</v>
      </c>
      <c r="U32" s="75">
        <v>80.0</v>
      </c>
      <c r="V32" s="75">
        <v>68.0</v>
      </c>
      <c r="W32" s="75">
        <v>80.0</v>
      </c>
      <c r="X32" s="75">
        <v>80.0</v>
      </c>
      <c r="Y32" s="75">
        <v>80.0</v>
      </c>
    </row>
    <row r="33">
      <c r="L33" s="56"/>
    </row>
    <row r="34">
      <c r="A34" s="68"/>
    </row>
    <row r="35">
      <c r="L35" s="56"/>
    </row>
    <row r="36">
      <c r="B36" s="55" t="s">
        <v>160</v>
      </c>
      <c r="L36" s="56"/>
    </row>
    <row r="37">
      <c r="A37" s="38" t="s">
        <v>85</v>
      </c>
      <c r="B37" s="80"/>
      <c r="L37" s="56"/>
    </row>
    <row r="38">
      <c r="A38" s="38" t="s">
        <v>86</v>
      </c>
      <c r="L38" s="56"/>
    </row>
    <row r="39">
      <c r="A39" s="38" t="s">
        <v>88</v>
      </c>
      <c r="L39" s="56"/>
    </row>
    <row r="40">
      <c r="A40" s="38" t="s">
        <v>90</v>
      </c>
      <c r="L40" s="56"/>
    </row>
    <row r="41">
      <c r="A41" s="38" t="s">
        <v>91</v>
      </c>
      <c r="L41" s="56"/>
    </row>
    <row r="42">
      <c r="A42" s="38" t="s">
        <v>94</v>
      </c>
      <c r="L42" s="56"/>
    </row>
    <row r="43">
      <c r="A43" s="7" t="s">
        <v>96</v>
      </c>
      <c r="L43" s="56"/>
    </row>
    <row r="44">
      <c r="L44" s="56"/>
    </row>
    <row r="45">
      <c r="L45" s="56"/>
    </row>
    <row r="46">
      <c r="L46" s="56"/>
    </row>
    <row r="47">
      <c r="L47" s="56"/>
    </row>
    <row r="48">
      <c r="L48" s="56"/>
    </row>
    <row r="49">
      <c r="L49" s="56"/>
    </row>
    <row r="50">
      <c r="L50" s="56"/>
    </row>
    <row r="51">
      <c r="L51" s="56"/>
    </row>
    <row r="52">
      <c r="L52" s="56"/>
    </row>
    <row r="53">
      <c r="L53" s="56"/>
    </row>
    <row r="54">
      <c r="L54" s="56"/>
    </row>
    <row r="55">
      <c r="L55" s="56"/>
    </row>
    <row r="56">
      <c r="L56" s="56"/>
    </row>
    <row r="57">
      <c r="L57" s="56"/>
    </row>
    <row r="58">
      <c r="L58" s="56"/>
    </row>
    <row r="59">
      <c r="L59" s="56"/>
    </row>
    <row r="60">
      <c r="L60" s="56"/>
    </row>
    <row r="61">
      <c r="L61" s="56"/>
    </row>
    <row r="62">
      <c r="L62" s="56"/>
    </row>
    <row r="63">
      <c r="L63" s="56"/>
    </row>
    <row r="64">
      <c r="L64" s="56"/>
    </row>
    <row r="65">
      <c r="L65" s="56"/>
    </row>
    <row r="66">
      <c r="L66" s="56"/>
    </row>
    <row r="67">
      <c r="L67" s="56"/>
    </row>
    <row r="68">
      <c r="L68" s="56"/>
    </row>
    <row r="69">
      <c r="L69" s="56"/>
    </row>
    <row r="70">
      <c r="L70" s="56"/>
    </row>
    <row r="71">
      <c r="L71" s="56"/>
    </row>
    <row r="72">
      <c r="L72" s="56"/>
    </row>
    <row r="73">
      <c r="L73" s="56"/>
    </row>
    <row r="74">
      <c r="L74" s="56"/>
    </row>
    <row r="75">
      <c r="L75" s="56"/>
    </row>
    <row r="76">
      <c r="L76" s="56"/>
    </row>
    <row r="77">
      <c r="L77" s="56"/>
    </row>
    <row r="78">
      <c r="L78" s="56"/>
    </row>
    <row r="79">
      <c r="L79" s="56"/>
    </row>
    <row r="80">
      <c r="L80" s="56"/>
    </row>
    <row r="81">
      <c r="L81" s="56"/>
    </row>
    <row r="82">
      <c r="L82" s="56"/>
    </row>
    <row r="83">
      <c r="L83" s="56"/>
    </row>
    <row r="84">
      <c r="L84" s="56"/>
    </row>
    <row r="85">
      <c r="L85" s="56"/>
    </row>
    <row r="86">
      <c r="L86" s="56"/>
    </row>
    <row r="87">
      <c r="L87" s="56"/>
    </row>
    <row r="88">
      <c r="L88" s="56"/>
    </row>
    <row r="89">
      <c r="L89" s="56"/>
    </row>
    <row r="90">
      <c r="L90" s="56"/>
    </row>
    <row r="91">
      <c r="L91" s="56"/>
    </row>
    <row r="92">
      <c r="L92" s="56"/>
    </row>
    <row r="93">
      <c r="L93" s="56"/>
    </row>
    <row r="94">
      <c r="L94" s="56"/>
    </row>
    <row r="95">
      <c r="L95" s="56"/>
    </row>
    <row r="96">
      <c r="L96" s="56"/>
    </row>
    <row r="97">
      <c r="L97" s="56"/>
    </row>
    <row r="98">
      <c r="L98" s="56"/>
    </row>
    <row r="99">
      <c r="L99" s="56"/>
    </row>
    <row r="100">
      <c r="L100" s="56"/>
    </row>
    <row r="101">
      <c r="L101" s="56"/>
    </row>
    <row r="102">
      <c r="L102" s="56"/>
    </row>
    <row r="103">
      <c r="L103" s="56"/>
    </row>
    <row r="104">
      <c r="L104" s="56"/>
    </row>
    <row r="105">
      <c r="L105" s="56"/>
    </row>
    <row r="106">
      <c r="L106" s="56"/>
    </row>
    <row r="107">
      <c r="L107" s="56"/>
    </row>
    <row r="108">
      <c r="L108" s="56"/>
    </row>
    <row r="109">
      <c r="L109" s="56"/>
    </row>
    <row r="110">
      <c r="L110" s="56"/>
    </row>
    <row r="111">
      <c r="L111" s="56"/>
    </row>
    <row r="112">
      <c r="L112" s="56"/>
    </row>
    <row r="113">
      <c r="L113" s="56"/>
    </row>
    <row r="114">
      <c r="L114" s="56"/>
    </row>
    <row r="115">
      <c r="L115" s="56"/>
    </row>
    <row r="116">
      <c r="L116" s="56"/>
    </row>
    <row r="117">
      <c r="L117" s="56"/>
    </row>
    <row r="118">
      <c r="L118" s="56"/>
    </row>
    <row r="119">
      <c r="L119" s="56"/>
    </row>
    <row r="120">
      <c r="L120" s="56"/>
    </row>
    <row r="121">
      <c r="L121" s="56"/>
    </row>
    <row r="122">
      <c r="L122" s="56"/>
    </row>
    <row r="123">
      <c r="L123" s="56"/>
    </row>
    <row r="124">
      <c r="L124" s="56"/>
    </row>
    <row r="125">
      <c r="L125" s="56"/>
    </row>
    <row r="126">
      <c r="L126" s="56"/>
    </row>
    <row r="127">
      <c r="L127" s="56"/>
    </row>
    <row r="128">
      <c r="L128" s="56"/>
    </row>
    <row r="129">
      <c r="L129" s="56"/>
    </row>
    <row r="130">
      <c r="L130" s="56"/>
    </row>
    <row r="131">
      <c r="L131" s="56"/>
    </row>
    <row r="132">
      <c r="L132" s="56"/>
    </row>
    <row r="133">
      <c r="L133" s="56"/>
    </row>
    <row r="134">
      <c r="L134" s="56"/>
    </row>
    <row r="135">
      <c r="L135" s="56"/>
    </row>
    <row r="136">
      <c r="L136" s="56"/>
    </row>
    <row r="137">
      <c r="L137" s="56"/>
    </row>
    <row r="138">
      <c r="L138" s="56"/>
    </row>
    <row r="139">
      <c r="L139" s="56"/>
    </row>
    <row r="140">
      <c r="L140" s="56"/>
    </row>
    <row r="141">
      <c r="L141" s="56"/>
    </row>
    <row r="142">
      <c r="L142" s="56"/>
    </row>
    <row r="143">
      <c r="L143" s="56"/>
    </row>
    <row r="144">
      <c r="L144" s="56"/>
    </row>
    <row r="145">
      <c r="L145" s="56"/>
    </row>
    <row r="146">
      <c r="L146" s="56"/>
    </row>
    <row r="147">
      <c r="L147" s="56"/>
    </row>
    <row r="148">
      <c r="L148" s="56"/>
    </row>
    <row r="149">
      <c r="L149" s="56"/>
    </row>
    <row r="150">
      <c r="L150" s="56"/>
    </row>
    <row r="151">
      <c r="L151" s="56"/>
    </row>
    <row r="152">
      <c r="L152" s="56"/>
    </row>
    <row r="153">
      <c r="L153" s="56"/>
    </row>
    <row r="154">
      <c r="L154" s="56"/>
    </row>
    <row r="155">
      <c r="L155" s="56"/>
    </row>
    <row r="156">
      <c r="L156" s="56"/>
    </row>
    <row r="157">
      <c r="L157" s="56"/>
    </row>
    <row r="158">
      <c r="L158" s="56"/>
    </row>
    <row r="159">
      <c r="L159" s="56"/>
    </row>
    <row r="160">
      <c r="L160" s="56"/>
    </row>
    <row r="161">
      <c r="L161" s="56"/>
    </row>
    <row r="162">
      <c r="L162" s="56"/>
    </row>
    <row r="163">
      <c r="L163" s="56"/>
    </row>
    <row r="164">
      <c r="L164" s="56"/>
    </row>
    <row r="165">
      <c r="L165" s="56"/>
    </row>
    <row r="166">
      <c r="L166" s="56"/>
    </row>
    <row r="167">
      <c r="L167" s="56"/>
    </row>
    <row r="168">
      <c r="L168" s="56"/>
    </row>
    <row r="169">
      <c r="L169" s="56"/>
    </row>
    <row r="170">
      <c r="L170" s="56"/>
    </row>
    <row r="171">
      <c r="L171" s="56"/>
    </row>
    <row r="172">
      <c r="L172" s="56"/>
    </row>
    <row r="173">
      <c r="L173" s="56"/>
    </row>
    <row r="174">
      <c r="L174" s="56"/>
    </row>
    <row r="175">
      <c r="L175" s="56"/>
    </row>
    <row r="176">
      <c r="L176" s="56"/>
    </row>
    <row r="177">
      <c r="L177" s="56"/>
    </row>
    <row r="178">
      <c r="L178" s="56"/>
    </row>
    <row r="179">
      <c r="L179" s="56"/>
    </row>
    <row r="180">
      <c r="L180" s="56"/>
    </row>
    <row r="181">
      <c r="L181" s="56"/>
    </row>
    <row r="182">
      <c r="L182" s="56"/>
    </row>
    <row r="183">
      <c r="L183" s="56"/>
    </row>
    <row r="184">
      <c r="L184" s="56"/>
    </row>
    <row r="185">
      <c r="L185" s="56"/>
    </row>
    <row r="186">
      <c r="L186" s="56"/>
    </row>
    <row r="187">
      <c r="L187" s="56"/>
    </row>
    <row r="188">
      <c r="L188" s="56"/>
    </row>
    <row r="189">
      <c r="L189" s="56"/>
    </row>
    <row r="190">
      <c r="L190" s="56"/>
    </row>
    <row r="191">
      <c r="L191" s="56"/>
    </row>
    <row r="192">
      <c r="L192" s="56"/>
    </row>
    <row r="193">
      <c r="L193" s="56"/>
    </row>
    <row r="194">
      <c r="L194" s="56"/>
    </row>
    <row r="195">
      <c r="L195" s="56"/>
    </row>
    <row r="196">
      <c r="L196" s="56"/>
    </row>
    <row r="197">
      <c r="L197" s="56"/>
    </row>
    <row r="198">
      <c r="L198" s="56"/>
    </row>
    <row r="199">
      <c r="L199" s="56"/>
    </row>
    <row r="200">
      <c r="L200" s="56"/>
    </row>
    <row r="201">
      <c r="L201" s="56"/>
    </row>
    <row r="202">
      <c r="L202" s="56"/>
    </row>
    <row r="203">
      <c r="L203" s="56"/>
    </row>
    <row r="204">
      <c r="L204" s="56"/>
    </row>
    <row r="205">
      <c r="L205" s="56"/>
    </row>
    <row r="206">
      <c r="L206" s="56"/>
    </row>
    <row r="207">
      <c r="L207" s="56"/>
    </row>
    <row r="208">
      <c r="L208" s="56"/>
    </row>
    <row r="209">
      <c r="L209" s="56"/>
    </row>
    <row r="210">
      <c r="L210" s="56"/>
    </row>
    <row r="211">
      <c r="L211" s="56"/>
    </row>
    <row r="212">
      <c r="L212" s="56"/>
    </row>
    <row r="213">
      <c r="L213" s="56"/>
    </row>
    <row r="214">
      <c r="L214" s="56"/>
    </row>
    <row r="215">
      <c r="L215" s="56"/>
    </row>
    <row r="216">
      <c r="L216" s="56"/>
    </row>
    <row r="217">
      <c r="L217" s="56"/>
    </row>
    <row r="218">
      <c r="L218" s="56"/>
    </row>
    <row r="219">
      <c r="L219" s="56"/>
    </row>
    <row r="220">
      <c r="L220" s="56"/>
    </row>
    <row r="221">
      <c r="L221" s="56"/>
    </row>
    <row r="222">
      <c r="L222" s="56"/>
    </row>
    <row r="223">
      <c r="L223" s="56"/>
    </row>
    <row r="224">
      <c r="L224" s="56"/>
    </row>
    <row r="225">
      <c r="L225" s="56"/>
    </row>
    <row r="226">
      <c r="L226" s="56"/>
    </row>
    <row r="227">
      <c r="L227" s="56"/>
    </row>
    <row r="228">
      <c r="L228" s="56"/>
    </row>
    <row r="229">
      <c r="L229" s="56"/>
    </row>
    <row r="230">
      <c r="L230" s="56"/>
    </row>
    <row r="231">
      <c r="L231" s="56"/>
    </row>
    <row r="232">
      <c r="L232" s="56"/>
    </row>
    <row r="233">
      <c r="L233" s="56"/>
    </row>
    <row r="234">
      <c r="L234" s="56"/>
    </row>
    <row r="235">
      <c r="L235" s="56"/>
    </row>
    <row r="236">
      <c r="L236" s="56"/>
    </row>
    <row r="237">
      <c r="L237" s="56"/>
    </row>
    <row r="238">
      <c r="L238" s="56"/>
    </row>
    <row r="239">
      <c r="L239" s="56"/>
    </row>
    <row r="240">
      <c r="L240" s="56"/>
    </row>
    <row r="241">
      <c r="L241" s="56"/>
    </row>
    <row r="242">
      <c r="L242" s="56"/>
    </row>
    <row r="243">
      <c r="L243" s="56"/>
    </row>
    <row r="244">
      <c r="L244" s="56"/>
    </row>
    <row r="245">
      <c r="L245" s="56"/>
    </row>
    <row r="246">
      <c r="L246" s="56"/>
    </row>
    <row r="247">
      <c r="L247" s="56"/>
    </row>
    <row r="248">
      <c r="L248" s="56"/>
    </row>
    <row r="249">
      <c r="L249" s="56"/>
    </row>
    <row r="250">
      <c r="L250" s="56"/>
    </row>
    <row r="251">
      <c r="L251" s="56"/>
    </row>
    <row r="252">
      <c r="L252" s="56"/>
    </row>
    <row r="253">
      <c r="L253" s="56"/>
    </row>
    <row r="254">
      <c r="L254" s="56"/>
    </row>
    <row r="255">
      <c r="L255" s="56"/>
    </row>
    <row r="256">
      <c r="L256" s="56"/>
    </row>
    <row r="257">
      <c r="L257" s="56"/>
    </row>
    <row r="258">
      <c r="L258" s="56"/>
    </row>
    <row r="259">
      <c r="L259" s="56"/>
    </row>
    <row r="260">
      <c r="L260" s="56"/>
    </row>
    <row r="261">
      <c r="L261" s="56"/>
    </row>
    <row r="262">
      <c r="L262" s="56"/>
    </row>
    <row r="263">
      <c r="L263" s="56"/>
    </row>
    <row r="264">
      <c r="L264" s="56"/>
    </row>
    <row r="265">
      <c r="L265" s="56"/>
    </row>
    <row r="266">
      <c r="L266" s="56"/>
    </row>
    <row r="267">
      <c r="L267" s="56"/>
    </row>
    <row r="268">
      <c r="L268" s="56"/>
    </row>
    <row r="269">
      <c r="L269" s="56"/>
    </row>
    <row r="270">
      <c r="L270" s="56"/>
    </row>
    <row r="271">
      <c r="L271" s="56"/>
    </row>
    <row r="272">
      <c r="L272" s="56"/>
    </row>
    <row r="273">
      <c r="L273" s="56"/>
    </row>
    <row r="274">
      <c r="L274" s="56"/>
    </row>
    <row r="275">
      <c r="L275" s="56"/>
    </row>
    <row r="276">
      <c r="L276" s="56"/>
    </row>
    <row r="277">
      <c r="L277" s="56"/>
    </row>
    <row r="278">
      <c r="L278" s="56"/>
    </row>
    <row r="279">
      <c r="L279" s="56"/>
    </row>
    <row r="280">
      <c r="L280" s="56"/>
    </row>
    <row r="281">
      <c r="L281" s="56"/>
    </row>
    <row r="282">
      <c r="L282" s="56"/>
    </row>
    <row r="283">
      <c r="L283" s="56"/>
    </row>
    <row r="284">
      <c r="L284" s="56"/>
    </row>
    <row r="285">
      <c r="L285" s="56"/>
    </row>
    <row r="286">
      <c r="L286" s="56"/>
    </row>
    <row r="287">
      <c r="L287" s="56"/>
    </row>
    <row r="288">
      <c r="L288" s="56"/>
    </row>
    <row r="289">
      <c r="L289" s="56"/>
    </row>
    <row r="290">
      <c r="L290" s="56"/>
    </row>
    <row r="291">
      <c r="L291" s="56"/>
    </row>
    <row r="292">
      <c r="L292" s="56"/>
    </row>
    <row r="293">
      <c r="L293" s="56"/>
    </row>
    <row r="294">
      <c r="L294" s="56"/>
    </row>
    <row r="295">
      <c r="L295" s="56"/>
    </row>
    <row r="296">
      <c r="L296" s="56"/>
    </row>
    <row r="297">
      <c r="L297" s="56"/>
    </row>
    <row r="298">
      <c r="L298" s="56"/>
    </row>
    <row r="299">
      <c r="L299" s="56"/>
    </row>
    <row r="300">
      <c r="L300" s="56"/>
    </row>
    <row r="301">
      <c r="L301" s="56"/>
    </row>
    <row r="302">
      <c r="L302" s="56"/>
    </row>
    <row r="303">
      <c r="L303" s="56"/>
    </row>
    <row r="304">
      <c r="L304" s="56"/>
    </row>
    <row r="305">
      <c r="L305" s="56"/>
    </row>
    <row r="306">
      <c r="L306" s="56"/>
    </row>
    <row r="307">
      <c r="L307" s="56"/>
    </row>
    <row r="308">
      <c r="L308" s="56"/>
    </row>
    <row r="309">
      <c r="L309" s="56"/>
    </row>
    <row r="310">
      <c r="L310" s="56"/>
    </row>
    <row r="311">
      <c r="L311" s="56"/>
    </row>
    <row r="312">
      <c r="L312" s="56"/>
    </row>
    <row r="313">
      <c r="L313" s="56"/>
    </row>
    <row r="314">
      <c r="L314" s="56"/>
    </row>
    <row r="315">
      <c r="L315" s="56"/>
    </row>
    <row r="316">
      <c r="L316" s="56"/>
    </row>
    <row r="317">
      <c r="L317" s="56"/>
    </row>
    <row r="318">
      <c r="L318" s="56"/>
    </row>
    <row r="319">
      <c r="L319" s="56"/>
    </row>
    <row r="320">
      <c r="L320" s="56"/>
    </row>
    <row r="321">
      <c r="L321" s="56"/>
    </row>
    <row r="322">
      <c r="L322" s="56"/>
    </row>
    <row r="323">
      <c r="L323" s="56"/>
    </row>
    <row r="324">
      <c r="L324" s="56"/>
    </row>
    <row r="325">
      <c r="L325" s="56"/>
    </row>
    <row r="326">
      <c r="L326" s="56"/>
    </row>
    <row r="327">
      <c r="L327" s="56"/>
    </row>
    <row r="328">
      <c r="L328" s="56"/>
    </row>
    <row r="329">
      <c r="L329" s="56"/>
    </row>
    <row r="330">
      <c r="L330" s="56"/>
    </row>
    <row r="331">
      <c r="L331" s="56"/>
    </row>
    <row r="332">
      <c r="L332" s="56"/>
    </row>
    <row r="333">
      <c r="L333" s="56"/>
    </row>
    <row r="334">
      <c r="L334" s="56"/>
    </row>
    <row r="335">
      <c r="L335" s="56"/>
    </row>
    <row r="336">
      <c r="L336" s="56"/>
    </row>
    <row r="337">
      <c r="L337" s="56"/>
    </row>
    <row r="338">
      <c r="L338" s="56"/>
    </row>
    <row r="339">
      <c r="L339" s="56"/>
    </row>
    <row r="340">
      <c r="L340" s="56"/>
    </row>
    <row r="341">
      <c r="L341" s="56"/>
    </row>
    <row r="342">
      <c r="L342" s="56"/>
    </row>
    <row r="343">
      <c r="L343" s="56"/>
    </row>
    <row r="344">
      <c r="L344" s="56"/>
    </row>
    <row r="345">
      <c r="L345" s="56"/>
    </row>
    <row r="346">
      <c r="L346" s="56"/>
    </row>
    <row r="347">
      <c r="L347" s="56"/>
    </row>
    <row r="348">
      <c r="L348" s="56"/>
    </row>
    <row r="349">
      <c r="L349" s="56"/>
    </row>
    <row r="350">
      <c r="L350" s="56"/>
    </row>
    <row r="351">
      <c r="L351" s="56"/>
    </row>
    <row r="352">
      <c r="L352" s="56"/>
    </row>
    <row r="353">
      <c r="L353" s="56"/>
    </row>
    <row r="354">
      <c r="L354" s="56"/>
    </row>
    <row r="355">
      <c r="L355" s="56"/>
    </row>
    <row r="356">
      <c r="L356" s="56"/>
    </row>
    <row r="357">
      <c r="L357" s="56"/>
    </row>
    <row r="358">
      <c r="L358" s="56"/>
    </row>
    <row r="359">
      <c r="L359" s="56"/>
    </row>
    <row r="360">
      <c r="L360" s="56"/>
    </row>
    <row r="361">
      <c r="L361" s="56"/>
    </row>
    <row r="362">
      <c r="L362" s="56"/>
    </row>
    <row r="363">
      <c r="L363" s="56"/>
    </row>
    <row r="364">
      <c r="L364" s="56"/>
    </row>
    <row r="365">
      <c r="L365" s="56"/>
    </row>
    <row r="366">
      <c r="L366" s="56"/>
    </row>
    <row r="367">
      <c r="L367" s="56"/>
    </row>
    <row r="368">
      <c r="L368" s="56"/>
    </row>
    <row r="369">
      <c r="L369" s="56"/>
    </row>
    <row r="370">
      <c r="L370" s="56"/>
    </row>
    <row r="371">
      <c r="L371" s="56"/>
    </row>
    <row r="372">
      <c r="L372" s="56"/>
    </row>
    <row r="373">
      <c r="L373" s="56"/>
    </row>
    <row r="374">
      <c r="L374" s="56"/>
    </row>
    <row r="375">
      <c r="L375" s="56"/>
    </row>
    <row r="376">
      <c r="L376" s="56"/>
    </row>
    <row r="377">
      <c r="L377" s="56"/>
    </row>
    <row r="378">
      <c r="L378" s="56"/>
    </row>
    <row r="379">
      <c r="L379" s="56"/>
    </row>
    <row r="380">
      <c r="L380" s="56"/>
    </row>
    <row r="381">
      <c r="L381" s="56"/>
    </row>
    <row r="382">
      <c r="L382" s="56"/>
    </row>
    <row r="383">
      <c r="L383" s="56"/>
    </row>
    <row r="384">
      <c r="L384" s="56"/>
    </row>
    <row r="385">
      <c r="L385" s="56"/>
    </row>
    <row r="386">
      <c r="L386" s="56"/>
    </row>
    <row r="387">
      <c r="L387" s="56"/>
    </row>
    <row r="388">
      <c r="L388" s="56"/>
    </row>
    <row r="389">
      <c r="L389" s="56"/>
    </row>
    <row r="390">
      <c r="L390" s="56"/>
    </row>
    <row r="391">
      <c r="L391" s="56"/>
    </row>
    <row r="392">
      <c r="L392" s="56"/>
    </row>
    <row r="393">
      <c r="L393" s="56"/>
    </row>
    <row r="394">
      <c r="L394" s="56"/>
    </row>
    <row r="395">
      <c r="L395" s="56"/>
    </row>
    <row r="396">
      <c r="L396" s="56"/>
    </row>
    <row r="397">
      <c r="L397" s="56"/>
    </row>
    <row r="398">
      <c r="L398" s="56"/>
    </row>
    <row r="399">
      <c r="L399" s="56"/>
    </row>
    <row r="400">
      <c r="L400" s="56"/>
    </row>
    <row r="401">
      <c r="L401" s="56"/>
    </row>
    <row r="402">
      <c r="L402" s="56"/>
    </row>
    <row r="403">
      <c r="L403" s="56"/>
    </row>
    <row r="404">
      <c r="L404" s="56"/>
    </row>
    <row r="405">
      <c r="L405" s="56"/>
    </row>
    <row r="406">
      <c r="L406" s="56"/>
    </row>
    <row r="407">
      <c r="L407" s="56"/>
    </row>
    <row r="408">
      <c r="L408" s="56"/>
    </row>
    <row r="409">
      <c r="L409" s="56"/>
    </row>
    <row r="410">
      <c r="L410" s="56"/>
    </row>
    <row r="411">
      <c r="L411" s="56"/>
    </row>
    <row r="412">
      <c r="L412" s="56"/>
    </row>
    <row r="413">
      <c r="L413" s="56"/>
    </row>
    <row r="414">
      <c r="L414" s="56"/>
    </row>
    <row r="415">
      <c r="L415" s="56"/>
    </row>
    <row r="416">
      <c r="L416" s="56"/>
    </row>
    <row r="417">
      <c r="L417" s="56"/>
    </row>
    <row r="418">
      <c r="L418" s="56"/>
    </row>
    <row r="419">
      <c r="L419" s="56"/>
    </row>
    <row r="420">
      <c r="L420" s="56"/>
    </row>
    <row r="421">
      <c r="L421" s="56"/>
    </row>
    <row r="422">
      <c r="L422" s="56"/>
    </row>
    <row r="423">
      <c r="L423" s="56"/>
    </row>
    <row r="424">
      <c r="L424" s="56"/>
    </row>
    <row r="425">
      <c r="L425" s="56"/>
    </row>
    <row r="426">
      <c r="L426" s="56"/>
    </row>
    <row r="427">
      <c r="L427" s="56"/>
    </row>
    <row r="428">
      <c r="L428" s="56"/>
    </row>
    <row r="429">
      <c r="L429" s="56"/>
    </row>
    <row r="430">
      <c r="L430" s="56"/>
    </row>
    <row r="431">
      <c r="L431" s="56"/>
    </row>
    <row r="432">
      <c r="L432" s="56"/>
    </row>
    <row r="433">
      <c r="L433" s="56"/>
    </row>
    <row r="434">
      <c r="L434" s="56"/>
    </row>
    <row r="435">
      <c r="L435" s="56"/>
    </row>
    <row r="436">
      <c r="L436" s="56"/>
    </row>
    <row r="437">
      <c r="L437" s="56"/>
    </row>
    <row r="438">
      <c r="L438" s="56"/>
    </row>
    <row r="439">
      <c r="L439" s="56"/>
    </row>
    <row r="440">
      <c r="L440" s="56"/>
    </row>
    <row r="441">
      <c r="L441" s="56"/>
    </row>
    <row r="442">
      <c r="L442" s="56"/>
    </row>
    <row r="443">
      <c r="L443" s="56"/>
    </row>
    <row r="444">
      <c r="L444" s="56"/>
    </row>
    <row r="445">
      <c r="L445" s="56"/>
    </row>
    <row r="446">
      <c r="L446" s="56"/>
    </row>
    <row r="447">
      <c r="L447" s="56"/>
    </row>
    <row r="448">
      <c r="L448" s="56"/>
    </row>
    <row r="449">
      <c r="L449" s="56"/>
    </row>
    <row r="450">
      <c r="L450" s="56"/>
    </row>
    <row r="451">
      <c r="L451" s="56"/>
    </row>
    <row r="452">
      <c r="L452" s="56"/>
    </row>
    <row r="453">
      <c r="L453" s="56"/>
    </row>
    <row r="454">
      <c r="L454" s="56"/>
    </row>
    <row r="455">
      <c r="L455" s="56"/>
    </row>
    <row r="456">
      <c r="L456" s="56"/>
    </row>
    <row r="457">
      <c r="L457" s="56"/>
    </row>
    <row r="458">
      <c r="L458" s="56"/>
    </row>
    <row r="459">
      <c r="L459" s="56"/>
    </row>
    <row r="460">
      <c r="L460" s="56"/>
    </row>
    <row r="461">
      <c r="L461" s="56"/>
    </row>
    <row r="462">
      <c r="L462" s="56"/>
    </row>
    <row r="463">
      <c r="L463" s="56"/>
    </row>
    <row r="464">
      <c r="L464" s="56"/>
    </row>
    <row r="465">
      <c r="L465" s="56"/>
    </row>
    <row r="466">
      <c r="L466" s="56"/>
    </row>
    <row r="467">
      <c r="L467" s="56"/>
    </row>
    <row r="468">
      <c r="L468" s="56"/>
    </row>
    <row r="469">
      <c r="L469" s="56"/>
    </row>
    <row r="470">
      <c r="L470" s="56"/>
    </row>
    <row r="471">
      <c r="L471" s="56"/>
    </row>
    <row r="472">
      <c r="L472" s="56"/>
    </row>
    <row r="473">
      <c r="L473" s="56"/>
    </row>
    <row r="474">
      <c r="L474" s="56"/>
    </row>
    <row r="475">
      <c r="L475" s="56"/>
    </row>
    <row r="476">
      <c r="L476" s="56"/>
    </row>
    <row r="477">
      <c r="L477" s="56"/>
    </row>
    <row r="478">
      <c r="L478" s="56"/>
    </row>
    <row r="479">
      <c r="L479" s="56"/>
    </row>
    <row r="480">
      <c r="L480" s="56"/>
    </row>
    <row r="481">
      <c r="L481" s="56"/>
    </row>
    <row r="482">
      <c r="L482" s="56"/>
    </row>
    <row r="483">
      <c r="L483" s="56"/>
    </row>
    <row r="484">
      <c r="L484" s="56"/>
    </row>
    <row r="485">
      <c r="L485" s="56"/>
    </row>
    <row r="486">
      <c r="L486" s="56"/>
    </row>
    <row r="487">
      <c r="L487" s="56"/>
    </row>
    <row r="488">
      <c r="L488" s="56"/>
    </row>
    <row r="489">
      <c r="L489" s="56"/>
    </row>
    <row r="490">
      <c r="L490" s="56"/>
    </row>
    <row r="491">
      <c r="L491" s="56"/>
    </row>
    <row r="492">
      <c r="L492" s="56"/>
    </row>
    <row r="493">
      <c r="L493" s="56"/>
    </row>
    <row r="494">
      <c r="L494" s="56"/>
    </row>
    <row r="495">
      <c r="L495" s="56"/>
    </row>
    <row r="496">
      <c r="L496" s="56"/>
    </row>
    <row r="497">
      <c r="L497" s="56"/>
    </row>
    <row r="498">
      <c r="L498" s="56"/>
    </row>
    <row r="499">
      <c r="L499" s="56"/>
    </row>
    <row r="500">
      <c r="L500" s="56"/>
    </row>
    <row r="501">
      <c r="L501" s="56"/>
    </row>
    <row r="502">
      <c r="L502" s="56"/>
    </row>
    <row r="503">
      <c r="L503" s="56"/>
    </row>
    <row r="504">
      <c r="L504" s="56"/>
    </row>
    <row r="505">
      <c r="L505" s="56"/>
    </row>
    <row r="506">
      <c r="L506" s="56"/>
    </row>
    <row r="507">
      <c r="L507" s="56"/>
    </row>
    <row r="508">
      <c r="L508" s="56"/>
    </row>
    <row r="509">
      <c r="L509" s="56"/>
    </row>
    <row r="510">
      <c r="L510" s="56"/>
    </row>
    <row r="511">
      <c r="L511" s="56"/>
    </row>
    <row r="512">
      <c r="L512" s="56"/>
    </row>
    <row r="513">
      <c r="L513" s="56"/>
    </row>
    <row r="514">
      <c r="L514" s="56"/>
    </row>
    <row r="515">
      <c r="L515" s="56"/>
    </row>
    <row r="516">
      <c r="L516" s="56"/>
    </row>
    <row r="517">
      <c r="L517" s="56"/>
    </row>
    <row r="518">
      <c r="L518" s="56"/>
    </row>
    <row r="519">
      <c r="L519" s="56"/>
    </row>
    <row r="520">
      <c r="L520" s="56"/>
    </row>
    <row r="521">
      <c r="L521" s="56"/>
    </row>
    <row r="522">
      <c r="L522" s="56"/>
    </row>
    <row r="523">
      <c r="L523" s="56"/>
    </row>
    <row r="524">
      <c r="L524" s="56"/>
    </row>
    <row r="525">
      <c r="L525" s="56"/>
    </row>
    <row r="526">
      <c r="L526" s="56"/>
    </row>
    <row r="527">
      <c r="L527" s="56"/>
    </row>
    <row r="528">
      <c r="L528" s="56"/>
    </row>
    <row r="529">
      <c r="L529" s="56"/>
    </row>
    <row r="530">
      <c r="L530" s="56"/>
    </row>
    <row r="531">
      <c r="L531" s="56"/>
    </row>
    <row r="532">
      <c r="L532" s="56"/>
    </row>
    <row r="533">
      <c r="L533" s="56"/>
    </row>
    <row r="534">
      <c r="L534" s="56"/>
    </row>
    <row r="535">
      <c r="L535" s="56"/>
    </row>
    <row r="536">
      <c r="L536" s="56"/>
    </row>
    <row r="537">
      <c r="L537" s="56"/>
    </row>
    <row r="538">
      <c r="L538" s="56"/>
    </row>
    <row r="539">
      <c r="L539" s="56"/>
    </row>
    <row r="540">
      <c r="L540" s="56"/>
    </row>
    <row r="541">
      <c r="L541" s="56"/>
    </row>
    <row r="542">
      <c r="L542" s="56"/>
    </row>
    <row r="543">
      <c r="L543" s="56"/>
    </row>
    <row r="544">
      <c r="L544" s="56"/>
    </row>
    <row r="545">
      <c r="L545" s="56"/>
    </row>
    <row r="546">
      <c r="L546" s="56"/>
    </row>
    <row r="547">
      <c r="L547" s="56"/>
    </row>
    <row r="548">
      <c r="L548" s="56"/>
    </row>
    <row r="549">
      <c r="L549" s="56"/>
    </row>
    <row r="550">
      <c r="L550" s="56"/>
    </row>
    <row r="551">
      <c r="L551" s="56"/>
    </row>
    <row r="552">
      <c r="L552" s="56"/>
    </row>
    <row r="553">
      <c r="L553" s="56"/>
    </row>
    <row r="554">
      <c r="L554" s="56"/>
    </row>
    <row r="555">
      <c r="L555" s="56"/>
    </row>
    <row r="556">
      <c r="L556" s="56"/>
    </row>
    <row r="557">
      <c r="L557" s="56"/>
    </row>
    <row r="558">
      <c r="L558" s="56"/>
    </row>
    <row r="559">
      <c r="L559" s="56"/>
    </row>
    <row r="560">
      <c r="L560" s="56"/>
    </row>
    <row r="561">
      <c r="L561" s="56"/>
    </row>
    <row r="562">
      <c r="L562" s="56"/>
    </row>
    <row r="563">
      <c r="L563" s="56"/>
    </row>
    <row r="564">
      <c r="L564" s="56"/>
    </row>
    <row r="565">
      <c r="L565" s="56"/>
    </row>
    <row r="566">
      <c r="L566" s="56"/>
    </row>
    <row r="567">
      <c r="L567" s="56"/>
    </row>
    <row r="568">
      <c r="L568" s="56"/>
    </row>
    <row r="569">
      <c r="L569" s="56"/>
    </row>
    <row r="570">
      <c r="L570" s="56"/>
    </row>
    <row r="571">
      <c r="L571" s="56"/>
    </row>
    <row r="572">
      <c r="L572" s="56"/>
    </row>
    <row r="573">
      <c r="L573" s="56"/>
    </row>
    <row r="574">
      <c r="L574" s="56"/>
    </row>
    <row r="575">
      <c r="L575" s="56"/>
    </row>
    <row r="576">
      <c r="L576" s="56"/>
    </row>
    <row r="577">
      <c r="L577" s="56"/>
    </row>
    <row r="578">
      <c r="L578" s="56"/>
    </row>
    <row r="579">
      <c r="L579" s="56"/>
    </row>
    <row r="580">
      <c r="L580" s="56"/>
    </row>
    <row r="581">
      <c r="L581" s="56"/>
    </row>
    <row r="582">
      <c r="L582" s="56"/>
    </row>
    <row r="583">
      <c r="L583" s="56"/>
    </row>
    <row r="584">
      <c r="L584" s="56"/>
    </row>
    <row r="585">
      <c r="L585" s="56"/>
    </row>
    <row r="586">
      <c r="L586" s="56"/>
    </row>
    <row r="587">
      <c r="L587" s="56"/>
    </row>
    <row r="588">
      <c r="L588" s="56"/>
    </row>
    <row r="589">
      <c r="L589" s="56"/>
    </row>
    <row r="590">
      <c r="L590" s="56"/>
    </row>
    <row r="591">
      <c r="L591" s="56"/>
    </row>
    <row r="592">
      <c r="L592" s="56"/>
    </row>
    <row r="593">
      <c r="L593" s="56"/>
    </row>
    <row r="594">
      <c r="L594" s="56"/>
    </row>
    <row r="595">
      <c r="L595" s="56"/>
    </row>
    <row r="596">
      <c r="L596" s="56"/>
    </row>
    <row r="597">
      <c r="L597" s="56"/>
    </row>
    <row r="598">
      <c r="L598" s="56"/>
    </row>
    <row r="599">
      <c r="L599" s="56"/>
    </row>
    <row r="600">
      <c r="L600" s="56"/>
    </row>
    <row r="601">
      <c r="L601" s="56"/>
    </row>
    <row r="602">
      <c r="L602" s="56"/>
    </row>
    <row r="603">
      <c r="L603" s="56"/>
    </row>
    <row r="604">
      <c r="L604" s="56"/>
    </row>
    <row r="605">
      <c r="L605" s="56"/>
    </row>
    <row r="606">
      <c r="L606" s="56"/>
    </row>
    <row r="607">
      <c r="L607" s="56"/>
    </row>
    <row r="608">
      <c r="L608" s="56"/>
    </row>
    <row r="609">
      <c r="L609" s="56"/>
    </row>
    <row r="610">
      <c r="L610" s="56"/>
    </row>
    <row r="611">
      <c r="L611" s="56"/>
    </row>
    <row r="612">
      <c r="L612" s="56"/>
    </row>
    <row r="613">
      <c r="L613" s="56"/>
    </row>
    <row r="614">
      <c r="L614" s="56"/>
    </row>
    <row r="615">
      <c r="L615" s="56"/>
    </row>
    <row r="616">
      <c r="L616" s="56"/>
    </row>
    <row r="617">
      <c r="L617" s="56"/>
    </row>
    <row r="618">
      <c r="L618" s="56"/>
    </row>
    <row r="619">
      <c r="L619" s="56"/>
    </row>
    <row r="620">
      <c r="L620" s="56"/>
    </row>
    <row r="621">
      <c r="L621" s="56"/>
    </row>
    <row r="622">
      <c r="L622" s="56"/>
    </row>
    <row r="623">
      <c r="L623" s="56"/>
    </row>
    <row r="624">
      <c r="L624" s="56"/>
    </row>
    <row r="625">
      <c r="L625" s="56"/>
    </row>
    <row r="626">
      <c r="L626" s="56"/>
    </row>
    <row r="627">
      <c r="L627" s="56"/>
    </row>
    <row r="628">
      <c r="L628" s="56"/>
    </row>
    <row r="629">
      <c r="L629" s="56"/>
    </row>
    <row r="630">
      <c r="L630" s="56"/>
    </row>
    <row r="631">
      <c r="L631" s="56"/>
    </row>
    <row r="632">
      <c r="L632" s="56"/>
    </row>
    <row r="633">
      <c r="L633" s="56"/>
    </row>
    <row r="634">
      <c r="L634" s="56"/>
    </row>
    <row r="635">
      <c r="L635" s="56"/>
    </row>
    <row r="636">
      <c r="L636" s="56"/>
    </row>
    <row r="637">
      <c r="L637" s="56"/>
    </row>
    <row r="638">
      <c r="L638" s="56"/>
    </row>
    <row r="639">
      <c r="L639" s="56"/>
    </row>
    <row r="640">
      <c r="L640" s="56"/>
    </row>
    <row r="641">
      <c r="L641" s="56"/>
    </row>
    <row r="642">
      <c r="L642" s="56"/>
    </row>
    <row r="643">
      <c r="L643" s="56"/>
    </row>
    <row r="644">
      <c r="L644" s="56"/>
    </row>
    <row r="645">
      <c r="L645" s="56"/>
    </row>
    <row r="646">
      <c r="L646" s="56"/>
    </row>
    <row r="647">
      <c r="L647" s="56"/>
    </row>
    <row r="648">
      <c r="L648" s="56"/>
    </row>
    <row r="649">
      <c r="L649" s="56"/>
    </row>
    <row r="650">
      <c r="L650" s="56"/>
    </row>
    <row r="651">
      <c r="L651" s="56"/>
    </row>
    <row r="652">
      <c r="L652" s="56"/>
    </row>
    <row r="653">
      <c r="L653" s="56"/>
    </row>
    <row r="654">
      <c r="L654" s="56"/>
    </row>
    <row r="655">
      <c r="L655" s="56"/>
    </row>
    <row r="656">
      <c r="L656" s="56"/>
    </row>
    <row r="657">
      <c r="L657" s="56"/>
    </row>
    <row r="658">
      <c r="L658" s="56"/>
    </row>
    <row r="659">
      <c r="L659" s="56"/>
    </row>
    <row r="660">
      <c r="L660" s="56"/>
    </row>
    <row r="661">
      <c r="L661" s="56"/>
    </row>
    <row r="662">
      <c r="L662" s="56"/>
    </row>
    <row r="663">
      <c r="L663" s="56"/>
    </row>
    <row r="664">
      <c r="L664" s="56"/>
    </row>
    <row r="665">
      <c r="L665" s="56"/>
    </row>
    <row r="666">
      <c r="L666" s="56"/>
    </row>
    <row r="667">
      <c r="L667" s="56"/>
    </row>
    <row r="668">
      <c r="L668" s="56"/>
    </row>
    <row r="669">
      <c r="L669" s="56"/>
    </row>
    <row r="670">
      <c r="L670" s="56"/>
    </row>
    <row r="671">
      <c r="L671" s="56"/>
    </row>
    <row r="672">
      <c r="L672" s="56"/>
    </row>
    <row r="673">
      <c r="L673" s="56"/>
    </row>
    <row r="674">
      <c r="L674" s="56"/>
    </row>
    <row r="675">
      <c r="L675" s="56"/>
    </row>
    <row r="676">
      <c r="L676" s="56"/>
    </row>
    <row r="677">
      <c r="L677" s="56"/>
    </row>
    <row r="678">
      <c r="L678" s="56"/>
    </row>
    <row r="679">
      <c r="L679" s="56"/>
    </row>
    <row r="680">
      <c r="L680" s="56"/>
    </row>
    <row r="681">
      <c r="L681" s="56"/>
    </row>
    <row r="682">
      <c r="L682" s="56"/>
    </row>
    <row r="683">
      <c r="L683" s="56"/>
    </row>
    <row r="684">
      <c r="L684" s="56"/>
    </row>
    <row r="685">
      <c r="L685" s="56"/>
    </row>
    <row r="686">
      <c r="L686" s="56"/>
    </row>
    <row r="687">
      <c r="L687" s="56"/>
    </row>
    <row r="688">
      <c r="L688" s="56"/>
    </row>
    <row r="689">
      <c r="L689" s="56"/>
    </row>
    <row r="690">
      <c r="L690" s="56"/>
    </row>
    <row r="691">
      <c r="L691" s="56"/>
    </row>
    <row r="692">
      <c r="L692" s="56"/>
    </row>
    <row r="693">
      <c r="L693" s="56"/>
    </row>
    <row r="694">
      <c r="L694" s="56"/>
    </row>
    <row r="695">
      <c r="L695" s="56"/>
    </row>
    <row r="696">
      <c r="L696" s="56"/>
    </row>
    <row r="697">
      <c r="L697" s="56"/>
    </row>
    <row r="698">
      <c r="L698" s="56"/>
    </row>
    <row r="699">
      <c r="L699" s="56"/>
    </row>
    <row r="700">
      <c r="L700" s="56"/>
    </row>
    <row r="701">
      <c r="L701" s="56"/>
    </row>
    <row r="702">
      <c r="L702" s="56"/>
    </row>
    <row r="703">
      <c r="L703" s="56"/>
    </row>
    <row r="704">
      <c r="L704" s="56"/>
    </row>
    <row r="705">
      <c r="L705" s="56"/>
    </row>
    <row r="706">
      <c r="L706" s="56"/>
    </row>
    <row r="707">
      <c r="L707" s="56"/>
    </row>
    <row r="708">
      <c r="L708" s="56"/>
    </row>
    <row r="709">
      <c r="L709" s="56"/>
    </row>
    <row r="710">
      <c r="L710" s="56"/>
    </row>
    <row r="711">
      <c r="L711" s="56"/>
    </row>
    <row r="712">
      <c r="L712" s="56"/>
    </row>
    <row r="713">
      <c r="L713" s="56"/>
    </row>
    <row r="714">
      <c r="L714" s="56"/>
    </row>
    <row r="715">
      <c r="L715" s="56"/>
    </row>
    <row r="716">
      <c r="L716" s="56"/>
    </row>
    <row r="717">
      <c r="L717" s="56"/>
    </row>
    <row r="718">
      <c r="L718" s="56"/>
    </row>
    <row r="719">
      <c r="L719" s="56"/>
    </row>
    <row r="720">
      <c r="L720" s="56"/>
    </row>
    <row r="721">
      <c r="L721" s="56"/>
    </row>
    <row r="722">
      <c r="L722" s="56"/>
    </row>
    <row r="723">
      <c r="L723" s="56"/>
    </row>
    <row r="724">
      <c r="L724" s="56"/>
    </row>
    <row r="725">
      <c r="L725" s="56"/>
    </row>
    <row r="726">
      <c r="L726" s="56"/>
    </row>
    <row r="727">
      <c r="L727" s="56"/>
    </row>
    <row r="728">
      <c r="L728" s="56"/>
    </row>
    <row r="729">
      <c r="L729" s="56"/>
    </row>
    <row r="730">
      <c r="L730" s="56"/>
    </row>
    <row r="731">
      <c r="L731" s="56"/>
    </row>
    <row r="732">
      <c r="L732" s="56"/>
    </row>
    <row r="733">
      <c r="L733" s="56"/>
    </row>
    <row r="734">
      <c r="L734" s="56"/>
    </row>
    <row r="735">
      <c r="L735" s="56"/>
    </row>
    <row r="736">
      <c r="L736" s="56"/>
    </row>
    <row r="737">
      <c r="L737" s="56"/>
    </row>
    <row r="738">
      <c r="L738" s="56"/>
    </row>
    <row r="739">
      <c r="L739" s="56"/>
    </row>
    <row r="740">
      <c r="L740" s="56"/>
    </row>
    <row r="741">
      <c r="L741" s="56"/>
    </row>
    <row r="742">
      <c r="L742" s="56"/>
    </row>
    <row r="743">
      <c r="L743" s="56"/>
    </row>
    <row r="744">
      <c r="L744" s="56"/>
    </row>
    <row r="745">
      <c r="L745" s="56"/>
    </row>
    <row r="746">
      <c r="L746" s="56"/>
    </row>
    <row r="747">
      <c r="L747" s="56"/>
    </row>
    <row r="748">
      <c r="L748" s="56"/>
    </row>
    <row r="749">
      <c r="L749" s="56"/>
    </row>
    <row r="750">
      <c r="L750" s="56"/>
    </row>
    <row r="751">
      <c r="L751" s="56"/>
    </row>
    <row r="752">
      <c r="L752" s="56"/>
    </row>
    <row r="753">
      <c r="L753" s="56"/>
    </row>
    <row r="754">
      <c r="L754" s="56"/>
    </row>
    <row r="755">
      <c r="L755" s="56"/>
    </row>
    <row r="756">
      <c r="L756" s="56"/>
    </row>
    <row r="757">
      <c r="L757" s="56"/>
    </row>
    <row r="758">
      <c r="L758" s="56"/>
    </row>
    <row r="759">
      <c r="L759" s="56"/>
    </row>
    <row r="760">
      <c r="L760" s="56"/>
    </row>
    <row r="761">
      <c r="L761" s="56"/>
    </row>
    <row r="762">
      <c r="L762" s="56"/>
    </row>
    <row r="763">
      <c r="L763" s="56"/>
    </row>
    <row r="764">
      <c r="L764" s="56"/>
    </row>
    <row r="765">
      <c r="L765" s="56"/>
    </row>
    <row r="766">
      <c r="L766" s="56"/>
    </row>
    <row r="767">
      <c r="L767" s="56"/>
    </row>
    <row r="768">
      <c r="L768" s="56"/>
    </row>
    <row r="769">
      <c r="L769" s="56"/>
    </row>
    <row r="770">
      <c r="L770" s="56"/>
    </row>
    <row r="771">
      <c r="L771" s="56"/>
    </row>
    <row r="772">
      <c r="L772" s="56"/>
    </row>
    <row r="773">
      <c r="L773" s="56"/>
    </row>
    <row r="774">
      <c r="L774" s="56"/>
    </row>
    <row r="775">
      <c r="L775" s="56"/>
    </row>
    <row r="776">
      <c r="L776" s="56"/>
    </row>
    <row r="777">
      <c r="L777" s="56"/>
    </row>
    <row r="778">
      <c r="L778" s="56"/>
    </row>
    <row r="779">
      <c r="L779" s="56"/>
    </row>
    <row r="780">
      <c r="L780" s="56"/>
    </row>
    <row r="781">
      <c r="L781" s="56"/>
    </row>
    <row r="782">
      <c r="L782" s="56"/>
    </row>
    <row r="783">
      <c r="L783" s="56"/>
    </row>
    <row r="784">
      <c r="L784" s="56"/>
    </row>
    <row r="785">
      <c r="L785" s="56"/>
    </row>
    <row r="786">
      <c r="L786" s="56"/>
    </row>
    <row r="787">
      <c r="L787" s="56"/>
    </row>
    <row r="788">
      <c r="L788" s="56"/>
    </row>
    <row r="789">
      <c r="L789" s="56"/>
    </row>
    <row r="790">
      <c r="L790" s="56"/>
    </row>
    <row r="791">
      <c r="L791" s="56"/>
    </row>
    <row r="792">
      <c r="L792" s="56"/>
    </row>
    <row r="793">
      <c r="L793" s="56"/>
    </row>
    <row r="794">
      <c r="L794" s="56"/>
    </row>
    <row r="795">
      <c r="L795" s="56"/>
    </row>
    <row r="796">
      <c r="L796" s="56"/>
    </row>
    <row r="797">
      <c r="L797" s="56"/>
    </row>
    <row r="798">
      <c r="L798" s="56"/>
    </row>
    <row r="799">
      <c r="L799" s="56"/>
    </row>
    <row r="800">
      <c r="L800" s="56"/>
    </row>
    <row r="801">
      <c r="L801" s="56"/>
    </row>
    <row r="802">
      <c r="L802" s="56"/>
    </row>
    <row r="803">
      <c r="L803" s="56"/>
    </row>
    <row r="804">
      <c r="L804" s="56"/>
    </row>
    <row r="805">
      <c r="L805" s="56"/>
    </row>
    <row r="806">
      <c r="L806" s="56"/>
    </row>
    <row r="807">
      <c r="L807" s="56"/>
    </row>
    <row r="808">
      <c r="L808" s="56"/>
    </row>
    <row r="809">
      <c r="L809" s="56"/>
    </row>
    <row r="810">
      <c r="L810" s="56"/>
    </row>
    <row r="811">
      <c r="L811" s="56"/>
    </row>
    <row r="812">
      <c r="L812" s="56"/>
    </row>
    <row r="813">
      <c r="L813" s="56"/>
    </row>
    <row r="814">
      <c r="L814" s="56"/>
    </row>
    <row r="815">
      <c r="L815" s="56"/>
    </row>
    <row r="816">
      <c r="L816" s="56"/>
    </row>
    <row r="817">
      <c r="L817" s="56"/>
    </row>
    <row r="818">
      <c r="L818" s="56"/>
    </row>
    <row r="819">
      <c r="L819" s="56"/>
    </row>
    <row r="820">
      <c r="L820" s="56"/>
    </row>
    <row r="821">
      <c r="L821" s="56"/>
    </row>
    <row r="822">
      <c r="L822" s="56"/>
    </row>
    <row r="823">
      <c r="L823" s="56"/>
    </row>
    <row r="824">
      <c r="L824" s="56"/>
    </row>
    <row r="825">
      <c r="L825" s="56"/>
    </row>
    <row r="826">
      <c r="L826" s="56"/>
    </row>
    <row r="827">
      <c r="L827" s="56"/>
    </row>
    <row r="828">
      <c r="L828" s="56"/>
    </row>
    <row r="829">
      <c r="L829" s="56"/>
    </row>
    <row r="830">
      <c r="L830" s="56"/>
    </row>
    <row r="831">
      <c r="L831" s="56"/>
    </row>
    <row r="832">
      <c r="L832" s="56"/>
    </row>
    <row r="833">
      <c r="L833" s="56"/>
    </row>
    <row r="834">
      <c r="L834" s="56"/>
    </row>
    <row r="835">
      <c r="L835" s="56"/>
    </row>
    <row r="836">
      <c r="L836" s="56"/>
    </row>
    <row r="837">
      <c r="L837" s="56"/>
    </row>
    <row r="838">
      <c r="L838" s="56"/>
    </row>
    <row r="839">
      <c r="L839" s="56"/>
    </row>
    <row r="840">
      <c r="L840" s="56"/>
    </row>
    <row r="841">
      <c r="L841" s="56"/>
    </row>
    <row r="842">
      <c r="L842" s="56"/>
    </row>
    <row r="843">
      <c r="L843" s="56"/>
    </row>
    <row r="844">
      <c r="L844" s="56"/>
    </row>
    <row r="845">
      <c r="L845" s="56"/>
    </row>
    <row r="846">
      <c r="L846" s="56"/>
    </row>
    <row r="847">
      <c r="L847" s="56"/>
    </row>
    <row r="848">
      <c r="L848" s="56"/>
    </row>
    <row r="849">
      <c r="L849" s="56"/>
    </row>
    <row r="850">
      <c r="L850" s="56"/>
    </row>
    <row r="851">
      <c r="L851" s="56"/>
    </row>
    <row r="852">
      <c r="L852" s="56"/>
    </row>
    <row r="853">
      <c r="L853" s="56"/>
    </row>
    <row r="854">
      <c r="L854" s="56"/>
    </row>
    <row r="855">
      <c r="L855" s="56"/>
    </row>
    <row r="856">
      <c r="L856" s="56"/>
    </row>
    <row r="857">
      <c r="L857" s="56"/>
    </row>
    <row r="858">
      <c r="L858" s="56"/>
    </row>
    <row r="859">
      <c r="L859" s="56"/>
    </row>
    <row r="860">
      <c r="L860" s="56"/>
    </row>
    <row r="861">
      <c r="L861" s="56"/>
    </row>
    <row r="862">
      <c r="L862" s="56"/>
    </row>
    <row r="863">
      <c r="L863" s="56"/>
    </row>
    <row r="864">
      <c r="L864" s="56"/>
    </row>
    <row r="865">
      <c r="L865" s="56"/>
    </row>
    <row r="866">
      <c r="L866" s="56"/>
    </row>
    <row r="867">
      <c r="L867" s="56"/>
    </row>
    <row r="868">
      <c r="L868" s="56"/>
    </row>
    <row r="869">
      <c r="L869" s="56"/>
    </row>
    <row r="870">
      <c r="L870" s="56"/>
    </row>
    <row r="871">
      <c r="L871" s="56"/>
    </row>
    <row r="872">
      <c r="L872" s="56"/>
    </row>
    <row r="873">
      <c r="L873" s="56"/>
    </row>
    <row r="874">
      <c r="L874" s="56"/>
    </row>
    <row r="875">
      <c r="L875" s="56"/>
    </row>
    <row r="876">
      <c r="L876" s="56"/>
    </row>
    <row r="877">
      <c r="L877" s="56"/>
    </row>
    <row r="878">
      <c r="L878" s="56"/>
    </row>
    <row r="879">
      <c r="L879" s="56"/>
    </row>
    <row r="880">
      <c r="L880" s="56"/>
    </row>
    <row r="881">
      <c r="L881" s="56"/>
    </row>
    <row r="882">
      <c r="L882" s="56"/>
    </row>
    <row r="883">
      <c r="L883" s="56"/>
    </row>
    <row r="884">
      <c r="L884" s="56"/>
    </row>
    <row r="885">
      <c r="L885" s="56"/>
    </row>
    <row r="886">
      <c r="L886" s="56"/>
    </row>
    <row r="887">
      <c r="L887" s="56"/>
    </row>
    <row r="888">
      <c r="L888" s="56"/>
    </row>
    <row r="889">
      <c r="L889" s="56"/>
    </row>
    <row r="890">
      <c r="L890" s="56"/>
    </row>
    <row r="891">
      <c r="L891" s="56"/>
    </row>
    <row r="892">
      <c r="L892" s="56"/>
    </row>
    <row r="893">
      <c r="L893" s="56"/>
    </row>
    <row r="894">
      <c r="L894" s="56"/>
    </row>
    <row r="895">
      <c r="L895" s="56"/>
    </row>
    <row r="896">
      <c r="L896" s="56"/>
    </row>
    <row r="897">
      <c r="L897" s="56"/>
    </row>
    <row r="898">
      <c r="L898" s="56"/>
    </row>
    <row r="899">
      <c r="L899" s="56"/>
    </row>
    <row r="900">
      <c r="L900" s="56"/>
    </row>
    <row r="901">
      <c r="L901" s="56"/>
    </row>
    <row r="902">
      <c r="L902" s="56"/>
    </row>
    <row r="903">
      <c r="L903" s="56"/>
    </row>
    <row r="904">
      <c r="L904" s="56"/>
    </row>
    <row r="905">
      <c r="L905" s="56"/>
    </row>
    <row r="906">
      <c r="L906" s="56"/>
    </row>
    <row r="907">
      <c r="L907" s="56"/>
    </row>
    <row r="908">
      <c r="L908" s="56"/>
    </row>
    <row r="909">
      <c r="L909" s="56"/>
    </row>
    <row r="910">
      <c r="L910" s="56"/>
    </row>
    <row r="911">
      <c r="L911" s="56"/>
    </row>
    <row r="912">
      <c r="L912" s="56"/>
    </row>
    <row r="913">
      <c r="L913" s="56"/>
    </row>
    <row r="914">
      <c r="L914" s="56"/>
    </row>
    <row r="915">
      <c r="L915" s="56"/>
    </row>
    <row r="916">
      <c r="L916" s="56"/>
    </row>
    <row r="917">
      <c r="L917" s="56"/>
    </row>
    <row r="918">
      <c r="L918" s="56"/>
    </row>
    <row r="919">
      <c r="L919" s="56"/>
    </row>
    <row r="920">
      <c r="L920" s="56"/>
    </row>
    <row r="921">
      <c r="L921" s="56"/>
    </row>
    <row r="922">
      <c r="L922" s="56"/>
    </row>
    <row r="923">
      <c r="L923" s="56"/>
    </row>
    <row r="924">
      <c r="L924" s="56"/>
    </row>
    <row r="925">
      <c r="L925" s="56"/>
    </row>
    <row r="926">
      <c r="L926" s="56"/>
    </row>
    <row r="927">
      <c r="L927" s="56"/>
    </row>
    <row r="928">
      <c r="L928" s="56"/>
    </row>
    <row r="929">
      <c r="L929" s="56"/>
    </row>
    <row r="930">
      <c r="L930" s="56"/>
    </row>
    <row r="931">
      <c r="L931" s="56"/>
    </row>
    <row r="932">
      <c r="L932" s="56"/>
    </row>
    <row r="933">
      <c r="L933" s="56"/>
    </row>
    <row r="934">
      <c r="L934" s="56"/>
    </row>
    <row r="935">
      <c r="L935" s="56"/>
    </row>
    <row r="936">
      <c r="L936" s="56"/>
    </row>
    <row r="937">
      <c r="L937" s="56"/>
    </row>
    <row r="938">
      <c r="L938" s="56"/>
    </row>
    <row r="939">
      <c r="L939" s="56"/>
    </row>
    <row r="940">
      <c r="L940" s="56"/>
    </row>
    <row r="941">
      <c r="L941" s="56"/>
    </row>
    <row r="942">
      <c r="L942" s="56"/>
    </row>
    <row r="943">
      <c r="L943" s="56"/>
    </row>
    <row r="944">
      <c r="L944" s="56"/>
    </row>
    <row r="945">
      <c r="L945" s="56"/>
    </row>
    <row r="946">
      <c r="L946" s="56"/>
    </row>
    <row r="947">
      <c r="L947" s="56"/>
    </row>
    <row r="948">
      <c r="L948" s="56"/>
    </row>
    <row r="949">
      <c r="L949" s="56"/>
    </row>
    <row r="950">
      <c r="L950" s="56"/>
    </row>
    <row r="951">
      <c r="L951" s="56"/>
    </row>
    <row r="952">
      <c r="L952" s="56"/>
    </row>
    <row r="953">
      <c r="L953" s="56"/>
    </row>
    <row r="954">
      <c r="L954" s="56"/>
    </row>
    <row r="955">
      <c r="L955" s="56"/>
    </row>
    <row r="956">
      <c r="L956" s="56"/>
    </row>
    <row r="957">
      <c r="L957" s="56"/>
    </row>
    <row r="958">
      <c r="L958" s="56"/>
    </row>
    <row r="959">
      <c r="L959" s="56"/>
    </row>
    <row r="960">
      <c r="L960" s="56"/>
    </row>
    <row r="961">
      <c r="L961" s="56"/>
    </row>
    <row r="962">
      <c r="L962" s="56"/>
    </row>
    <row r="963">
      <c r="L963" s="56"/>
    </row>
    <row r="964">
      <c r="L964" s="56"/>
    </row>
    <row r="965">
      <c r="L965" s="56"/>
    </row>
    <row r="966">
      <c r="L966" s="56"/>
    </row>
    <row r="967">
      <c r="L967" s="56"/>
    </row>
    <row r="968">
      <c r="L968" s="56"/>
    </row>
    <row r="969">
      <c r="L969" s="56"/>
    </row>
    <row r="970">
      <c r="L970" s="56"/>
    </row>
    <row r="971">
      <c r="L971" s="56"/>
    </row>
    <row r="972">
      <c r="L972" s="56"/>
    </row>
    <row r="973">
      <c r="L973" s="56"/>
    </row>
    <row r="974">
      <c r="L974" s="56"/>
    </row>
    <row r="975">
      <c r="L975" s="56"/>
    </row>
    <row r="976">
      <c r="L976" s="56"/>
    </row>
    <row r="977">
      <c r="L977" s="56"/>
    </row>
    <row r="978">
      <c r="L978" s="56"/>
    </row>
    <row r="979">
      <c r="L979" s="56"/>
    </row>
    <row r="980">
      <c r="L980" s="56"/>
    </row>
    <row r="981">
      <c r="L981" s="56"/>
    </row>
    <row r="982">
      <c r="L982" s="56"/>
    </row>
    <row r="983">
      <c r="L983" s="56"/>
    </row>
    <row r="984">
      <c r="L984" s="56"/>
    </row>
    <row r="985">
      <c r="L985" s="56"/>
    </row>
    <row r="986">
      <c r="L986" s="56"/>
    </row>
    <row r="987">
      <c r="L987" s="56"/>
    </row>
    <row r="988">
      <c r="L988" s="56"/>
    </row>
    <row r="989">
      <c r="L989" s="56"/>
    </row>
    <row r="990">
      <c r="L990" s="56"/>
    </row>
    <row r="991">
      <c r="L991" s="56"/>
    </row>
    <row r="992">
      <c r="L992" s="56"/>
    </row>
    <row r="993">
      <c r="L993" s="56"/>
    </row>
    <row r="994">
      <c r="L994" s="56"/>
    </row>
    <row r="995">
      <c r="L995" s="56"/>
    </row>
    <row r="996">
      <c r="L996" s="56"/>
    </row>
    <row r="997">
      <c r="L997" s="56"/>
    </row>
    <row r="998">
      <c r="L998" s="56"/>
    </row>
    <row r="999">
      <c r="L999" s="56"/>
    </row>
    <row r="1000">
      <c r="L1000" s="56"/>
    </row>
    <row r="1001">
      <c r="L1001" s="56"/>
    </row>
  </sheetData>
  <mergeCells count="4">
    <mergeCell ref="A1:U1"/>
    <mergeCell ref="A12:U12"/>
    <mergeCell ref="A23:U23"/>
    <mergeCell ref="A34:U3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13.75"/>
    <col customWidth="1" min="4" max="4" width="18.5"/>
    <col customWidth="1" min="5" max="5" width="14.25"/>
    <col customWidth="1" min="6" max="6" width="17.88"/>
    <col customWidth="1" min="7" max="7" width="17.0"/>
    <col customWidth="1" min="8" max="8" width="19.0"/>
  </cols>
  <sheetData>
    <row r="1">
      <c r="A1" s="81" t="s">
        <v>141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3"/>
    </row>
    <row r="2">
      <c r="A2" s="38"/>
      <c r="B2" s="7" t="s">
        <v>78</v>
      </c>
      <c r="C2" s="7" t="s">
        <v>79</v>
      </c>
      <c r="D2" s="7" t="s">
        <v>80</v>
      </c>
      <c r="E2" s="7" t="s">
        <v>81</v>
      </c>
      <c r="F2" s="7" t="s">
        <v>82</v>
      </c>
      <c r="G2" s="7" t="s">
        <v>83</v>
      </c>
      <c r="H2" s="7" t="s">
        <v>161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>
      <c r="A3" s="38" t="s">
        <v>85</v>
      </c>
      <c r="B3" s="71">
        <v>20.0</v>
      </c>
      <c r="C3" s="71">
        <v>14.0</v>
      </c>
      <c r="D3" s="71">
        <v>9.0</v>
      </c>
      <c r="E3" s="71">
        <v>17.0</v>
      </c>
      <c r="F3" s="71">
        <v>12.0</v>
      </c>
      <c r="G3" s="71">
        <v>26.0</v>
      </c>
      <c r="H3" s="71">
        <v>10.0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>
      <c r="A4" s="38" t="s">
        <v>86</v>
      </c>
      <c r="B4" s="71">
        <v>13.0</v>
      </c>
      <c r="C4" s="71">
        <v>4.0</v>
      </c>
      <c r="D4" s="71">
        <v>4.0</v>
      </c>
      <c r="E4" s="71">
        <v>7.0</v>
      </c>
      <c r="F4" s="71">
        <v>8.0</v>
      </c>
      <c r="G4" s="71">
        <v>18.0</v>
      </c>
      <c r="H4" s="71">
        <v>12.0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>
      <c r="A5" s="38" t="s">
        <v>88</v>
      </c>
      <c r="B5" s="71">
        <v>15.0</v>
      </c>
      <c r="C5" s="71">
        <v>8.0</v>
      </c>
      <c r="D5" s="71">
        <v>9.0</v>
      </c>
      <c r="E5" s="71">
        <v>6.0</v>
      </c>
      <c r="F5" s="71">
        <v>9.0</v>
      </c>
      <c r="G5" s="71">
        <v>11.0</v>
      </c>
      <c r="H5" s="71">
        <v>13.0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>
      <c r="A6" s="38" t="s">
        <v>90</v>
      </c>
      <c r="B6" s="71">
        <v>20.0</v>
      </c>
      <c r="C6" s="71">
        <v>7.0</v>
      </c>
      <c r="D6" s="71">
        <v>15.0</v>
      </c>
      <c r="E6" s="71">
        <v>16.0</v>
      </c>
      <c r="F6" s="71">
        <v>12.0</v>
      </c>
      <c r="G6" s="71">
        <v>15.0</v>
      </c>
      <c r="H6" s="71">
        <v>9.0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</row>
    <row r="7">
      <c r="A7" s="38" t="s">
        <v>94</v>
      </c>
      <c r="B7" s="71">
        <v>15.0</v>
      </c>
      <c r="C7" s="71">
        <v>8.0</v>
      </c>
      <c r="D7" s="71">
        <v>5.0</v>
      </c>
      <c r="E7" s="71">
        <v>7.0</v>
      </c>
      <c r="F7" s="71">
        <v>5.0</v>
      </c>
      <c r="G7" s="71">
        <v>20.0</v>
      </c>
      <c r="H7" s="71">
        <v>4.0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</row>
    <row r="8">
      <c r="A8" s="7" t="s">
        <v>96</v>
      </c>
      <c r="B8" s="71">
        <v>15.0</v>
      </c>
      <c r="C8" s="71">
        <v>8.0</v>
      </c>
      <c r="D8" s="71">
        <v>17.0</v>
      </c>
      <c r="E8" s="71">
        <v>14.0</v>
      </c>
      <c r="F8" s="71">
        <v>12.0</v>
      </c>
      <c r="G8" s="71">
        <v>16.0</v>
      </c>
      <c r="H8" s="71">
        <v>17.0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</row>
    <row r="9">
      <c r="A9" s="7" t="s">
        <v>97</v>
      </c>
      <c r="B9" s="71">
        <v>14.0</v>
      </c>
      <c r="C9" s="71">
        <v>11.0</v>
      </c>
      <c r="D9" s="71">
        <v>8.0</v>
      </c>
      <c r="E9" s="71">
        <v>12.0</v>
      </c>
      <c r="F9" s="71">
        <v>12.0</v>
      </c>
      <c r="G9" s="71">
        <v>10.0</v>
      </c>
      <c r="H9" s="71">
        <v>9.0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</row>
    <row r="11">
      <c r="A11" s="68" t="s">
        <v>162</v>
      </c>
    </row>
    <row r="12">
      <c r="B12" s="7" t="s">
        <v>78</v>
      </c>
      <c r="C12" s="7" t="s">
        <v>79</v>
      </c>
      <c r="D12" s="7" t="s">
        <v>80</v>
      </c>
      <c r="E12" s="7" t="s">
        <v>81</v>
      </c>
      <c r="F12" s="7" t="s">
        <v>82</v>
      </c>
      <c r="G12" s="7" t="s">
        <v>83</v>
      </c>
      <c r="H12" s="7" t="s">
        <v>161</v>
      </c>
    </row>
    <row r="13">
      <c r="A13" s="38" t="s">
        <v>85</v>
      </c>
      <c r="B13" s="75">
        <v>127.948</v>
      </c>
      <c r="C13" s="75">
        <v>54.5</v>
      </c>
      <c r="D13" s="75">
        <v>30.0</v>
      </c>
      <c r="E13" s="75">
        <v>62.5</v>
      </c>
      <c r="F13" s="75">
        <v>29.2</v>
      </c>
      <c r="G13" s="75">
        <v>71.36</v>
      </c>
      <c r="H13" s="75">
        <v>98.2</v>
      </c>
      <c r="I13" s="38"/>
      <c r="J13" s="38"/>
      <c r="K13" s="38"/>
      <c r="L13" s="38"/>
      <c r="M13" s="38"/>
      <c r="N13" s="38"/>
      <c r="O13" s="38"/>
      <c r="P13" s="38"/>
    </row>
    <row r="14">
      <c r="A14" s="38" t="s">
        <v>86</v>
      </c>
      <c r="B14" s="76">
        <v>129.528</v>
      </c>
      <c r="C14" s="76">
        <v>49.44</v>
      </c>
      <c r="D14" s="78">
        <v>100.12</v>
      </c>
      <c r="E14" s="78">
        <v>43.4</v>
      </c>
      <c r="F14" s="78">
        <v>28.6</v>
      </c>
      <c r="G14" s="78">
        <v>45.5</v>
      </c>
      <c r="H14" s="78">
        <v>36.7</v>
      </c>
      <c r="I14" s="38"/>
      <c r="J14" s="38"/>
      <c r="K14" s="38"/>
      <c r="L14" s="38"/>
      <c r="M14" s="38"/>
      <c r="N14" s="38"/>
      <c r="O14" s="38"/>
      <c r="P14" s="38"/>
    </row>
    <row r="15">
      <c r="A15" s="38" t="s">
        <v>88</v>
      </c>
      <c r="B15" s="75">
        <v>113.3</v>
      </c>
      <c r="C15" s="75">
        <v>49.8</v>
      </c>
      <c r="D15" s="75">
        <v>64.1</v>
      </c>
      <c r="E15" s="75">
        <v>69.2</v>
      </c>
      <c r="F15" s="75">
        <v>88.36</v>
      </c>
      <c r="G15" s="75">
        <f>54.72+19.2</f>
        <v>73.92</v>
      </c>
      <c r="H15" s="75">
        <v>61.3</v>
      </c>
      <c r="I15" s="38"/>
      <c r="J15" s="38"/>
      <c r="K15" s="38"/>
      <c r="L15" s="38"/>
      <c r="M15" s="38"/>
      <c r="N15" s="38"/>
      <c r="O15" s="38"/>
      <c r="P15" s="38"/>
    </row>
    <row r="16">
      <c r="A16" s="38" t="s">
        <v>90</v>
      </c>
      <c r="B16" s="75">
        <v>104.608</v>
      </c>
      <c r="C16" s="75">
        <v>35.2</v>
      </c>
      <c r="D16" s="75">
        <v>82.42</v>
      </c>
      <c r="E16" s="75">
        <v>74.7</v>
      </c>
      <c r="F16" s="75">
        <v>63.28</v>
      </c>
      <c r="G16" s="75">
        <v>90.8</v>
      </c>
      <c r="H16" s="75">
        <f>37.2+28.8</f>
        <v>66</v>
      </c>
      <c r="I16" s="38"/>
      <c r="J16" s="38"/>
      <c r="K16" s="38"/>
      <c r="L16" s="38"/>
      <c r="M16" s="38"/>
      <c r="N16" s="38"/>
      <c r="O16" s="38"/>
      <c r="P16" s="38"/>
    </row>
    <row r="17">
      <c r="A17" s="38" t="s">
        <v>94</v>
      </c>
      <c r="B17" s="75">
        <v>144.282</v>
      </c>
      <c r="C17" s="75">
        <v>71.06</v>
      </c>
      <c r="D17" s="75">
        <v>62.5</v>
      </c>
      <c r="E17" s="75">
        <v>98.6</v>
      </c>
      <c r="F17" s="75">
        <v>76.41</v>
      </c>
      <c r="G17" s="75">
        <v>99.66</v>
      </c>
      <c r="H17" s="75">
        <v>55.8</v>
      </c>
      <c r="I17" s="38"/>
      <c r="J17" s="38"/>
      <c r="K17" s="38"/>
      <c r="L17" s="38"/>
      <c r="M17" s="38"/>
      <c r="N17" s="38"/>
      <c r="O17" s="38"/>
      <c r="P17" s="38"/>
    </row>
    <row r="18">
      <c r="A18" s="7" t="s">
        <v>96</v>
      </c>
      <c r="B18" s="75">
        <v>56.47</v>
      </c>
      <c r="C18" s="75">
        <v>34.8</v>
      </c>
      <c r="D18" s="75">
        <v>56.1</v>
      </c>
      <c r="E18" s="75">
        <v>53.1</v>
      </c>
      <c r="F18" s="75">
        <v>70.0</v>
      </c>
      <c r="G18" s="75">
        <v>64.4</v>
      </c>
      <c r="H18" s="75">
        <v>51.3</v>
      </c>
      <c r="I18" s="38"/>
      <c r="J18" s="38"/>
      <c r="K18" s="38"/>
      <c r="L18" s="38"/>
      <c r="M18" s="38"/>
      <c r="N18" s="38"/>
      <c r="O18" s="38"/>
      <c r="P18" s="38"/>
    </row>
    <row r="19">
      <c r="A19" s="7" t="s">
        <v>97</v>
      </c>
      <c r="B19" s="75">
        <v>48.42</v>
      </c>
      <c r="C19" s="75">
        <v>37.0</v>
      </c>
      <c r="D19" s="75">
        <v>38.4</v>
      </c>
      <c r="E19" s="75">
        <v>33.4</v>
      </c>
      <c r="F19" s="75">
        <v>45.0</v>
      </c>
      <c r="G19" s="75">
        <v>23.0</v>
      </c>
      <c r="H19" s="75">
        <v>38.6</v>
      </c>
      <c r="I19" s="38"/>
      <c r="J19" s="38"/>
      <c r="K19" s="38"/>
      <c r="L19" s="38"/>
      <c r="M19" s="38"/>
      <c r="N19" s="38"/>
      <c r="O19" s="38"/>
      <c r="P19" s="38"/>
    </row>
    <row r="21">
      <c r="A21" s="68" t="s">
        <v>148</v>
      </c>
    </row>
    <row r="22">
      <c r="B22" s="7" t="s">
        <v>78</v>
      </c>
      <c r="C22" s="7" t="s">
        <v>79</v>
      </c>
      <c r="D22" s="7" t="s">
        <v>80</v>
      </c>
      <c r="E22" s="7" t="s">
        <v>81</v>
      </c>
      <c r="F22" s="7" t="s">
        <v>82</v>
      </c>
      <c r="G22" s="7" t="s">
        <v>83</v>
      </c>
      <c r="H22" s="7" t="s">
        <v>161</v>
      </c>
    </row>
    <row r="23">
      <c r="A23" s="38" t="s">
        <v>85</v>
      </c>
      <c r="B23" s="71">
        <v>165.0</v>
      </c>
      <c r="C23" s="71">
        <v>100.0</v>
      </c>
      <c r="D23" s="71">
        <v>80.0</v>
      </c>
      <c r="E23" s="71">
        <v>100.0</v>
      </c>
      <c r="F23" s="71">
        <v>95.0</v>
      </c>
      <c r="G23" s="71">
        <v>135.0</v>
      </c>
      <c r="H23" s="71">
        <v>95.0</v>
      </c>
      <c r="I23" s="38"/>
      <c r="J23" s="38"/>
      <c r="K23" s="38"/>
      <c r="L23" s="38"/>
      <c r="M23" s="38"/>
      <c r="N23" s="38"/>
      <c r="O23" s="38"/>
      <c r="P23" s="38"/>
    </row>
    <row r="24">
      <c r="A24" s="38" t="s">
        <v>86</v>
      </c>
      <c r="B24" s="71">
        <v>138.75</v>
      </c>
      <c r="C24" s="71">
        <v>80.0</v>
      </c>
      <c r="D24" s="71">
        <v>80.0</v>
      </c>
      <c r="E24" s="71">
        <v>76.0</v>
      </c>
      <c r="F24" s="71">
        <v>80.0</v>
      </c>
      <c r="G24" s="71">
        <v>108.0</v>
      </c>
      <c r="H24" s="71">
        <v>76.0</v>
      </c>
      <c r="I24" s="38"/>
      <c r="J24" s="38"/>
      <c r="K24" s="38"/>
      <c r="L24" s="38"/>
      <c r="M24" s="38"/>
      <c r="N24" s="38"/>
      <c r="O24" s="38"/>
      <c r="P24" s="38"/>
    </row>
    <row r="25">
      <c r="A25" s="38" t="s">
        <v>88</v>
      </c>
      <c r="B25" s="71">
        <v>170.0</v>
      </c>
      <c r="C25" s="71">
        <v>80.0</v>
      </c>
      <c r="D25" s="71">
        <v>100.0</v>
      </c>
      <c r="E25" s="71">
        <v>100.0</v>
      </c>
      <c r="F25" s="71">
        <v>100.0</v>
      </c>
      <c r="G25" s="71">
        <v>100.0</v>
      </c>
      <c r="H25" s="71">
        <v>95.0</v>
      </c>
      <c r="I25" s="38"/>
      <c r="J25" s="38"/>
      <c r="K25" s="38"/>
      <c r="L25" s="38"/>
      <c r="M25" s="38"/>
      <c r="N25" s="38"/>
      <c r="O25" s="38"/>
      <c r="P25" s="38"/>
    </row>
    <row r="26">
      <c r="A26" s="38" t="s">
        <v>90</v>
      </c>
      <c r="B26" s="71">
        <v>135.0</v>
      </c>
      <c r="C26" s="71">
        <v>76.0</v>
      </c>
      <c r="D26" s="71">
        <v>80.0</v>
      </c>
      <c r="E26" s="71">
        <v>80.0</v>
      </c>
      <c r="F26" s="71">
        <v>80.0</v>
      </c>
      <c r="G26" s="71">
        <v>108.0</v>
      </c>
      <c r="H26" s="71">
        <v>80.0</v>
      </c>
      <c r="I26" s="38"/>
      <c r="J26" s="38"/>
      <c r="K26" s="38"/>
      <c r="L26" s="38"/>
      <c r="M26" s="38"/>
      <c r="N26" s="38"/>
      <c r="O26" s="38"/>
      <c r="P26" s="38"/>
    </row>
    <row r="27">
      <c r="A27" s="38" t="s">
        <v>94</v>
      </c>
      <c r="B27" s="71">
        <v>180.0</v>
      </c>
      <c r="C27" s="71">
        <v>100.0</v>
      </c>
      <c r="D27" s="71">
        <v>100.0</v>
      </c>
      <c r="E27" s="71">
        <v>100.0</v>
      </c>
      <c r="F27" s="71">
        <v>100.0</v>
      </c>
      <c r="G27" s="71">
        <v>130.0</v>
      </c>
      <c r="H27" s="71">
        <v>85.0</v>
      </c>
      <c r="I27" s="38"/>
      <c r="J27" s="38"/>
      <c r="K27" s="38"/>
      <c r="L27" s="38"/>
      <c r="M27" s="38"/>
      <c r="N27" s="38"/>
      <c r="O27" s="38"/>
      <c r="P27" s="38"/>
    </row>
    <row r="28">
      <c r="A28" s="7" t="s">
        <v>96</v>
      </c>
      <c r="B28" s="71">
        <v>124.0</v>
      </c>
      <c r="C28" s="71">
        <v>80.0</v>
      </c>
      <c r="D28" s="71">
        <v>80.0</v>
      </c>
      <c r="E28" s="71">
        <v>80.0</v>
      </c>
      <c r="F28" s="71">
        <v>80.0</v>
      </c>
      <c r="G28" s="71">
        <v>108.0</v>
      </c>
      <c r="H28" s="71">
        <v>80.0</v>
      </c>
      <c r="I28" s="38"/>
      <c r="J28" s="38"/>
      <c r="K28" s="38"/>
      <c r="L28" s="38"/>
      <c r="M28" s="38"/>
      <c r="N28" s="38"/>
      <c r="O28" s="38"/>
      <c r="P28" s="38"/>
    </row>
    <row r="29">
      <c r="A29" s="7" t="s">
        <v>97</v>
      </c>
      <c r="B29" s="75">
        <v>148.0</v>
      </c>
      <c r="C29" s="75">
        <v>100.0</v>
      </c>
      <c r="D29" s="75">
        <v>90.0</v>
      </c>
      <c r="E29" s="75">
        <v>100.0</v>
      </c>
      <c r="F29" s="75">
        <v>100.0</v>
      </c>
      <c r="G29" s="75">
        <v>135.0</v>
      </c>
      <c r="H29" s="75">
        <v>100.0</v>
      </c>
      <c r="I29" s="38"/>
      <c r="J29" s="38"/>
      <c r="K29" s="38"/>
      <c r="L29" s="38"/>
      <c r="M29" s="38"/>
      <c r="N29" s="38"/>
      <c r="O29" s="38"/>
      <c r="P29" s="38"/>
    </row>
  </sheetData>
  <mergeCells count="3">
    <mergeCell ref="A1:U1"/>
    <mergeCell ref="A11:U11"/>
    <mergeCell ref="A21:U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8" width="26.13"/>
    <col customWidth="1" hidden="1" min="9" max="18" width="26.13"/>
    <col customWidth="1" hidden="1" min="19" max="20" width="23.88"/>
    <col customWidth="1" hidden="1" min="21" max="22" width="22.63"/>
    <col customWidth="1" hidden="1" min="23" max="25" width="20.88"/>
    <col customWidth="1" hidden="1" min="26" max="35" width="25.88"/>
    <col customWidth="1" hidden="1" min="36" max="40" width="29.38"/>
    <col customWidth="1" hidden="1" min="41" max="50" width="23.5"/>
    <col hidden="1" min="51" max="52" width="12.63"/>
    <col customWidth="1" hidden="1" min="53" max="53" width="17.13"/>
    <col customWidth="1" hidden="1" min="54" max="54" width="13.38"/>
    <col customWidth="1" hidden="1" min="55" max="55" width="17.25"/>
    <col hidden="1" min="56" max="71" width="12.63"/>
  </cols>
  <sheetData>
    <row r="1">
      <c r="A1" s="84" t="s">
        <v>163</v>
      </c>
      <c r="B1" s="55" t="s">
        <v>161</v>
      </c>
      <c r="C1" s="55" t="s">
        <v>164</v>
      </c>
      <c r="D1" s="55" t="s">
        <v>82</v>
      </c>
      <c r="E1" s="55" t="s">
        <v>81</v>
      </c>
      <c r="F1" s="55" t="s">
        <v>80</v>
      </c>
      <c r="G1" s="55" t="s">
        <v>165</v>
      </c>
      <c r="H1" s="55" t="s">
        <v>166</v>
      </c>
      <c r="I1" s="55" t="s">
        <v>77</v>
      </c>
      <c r="J1" s="55" t="s">
        <v>76</v>
      </c>
      <c r="K1" s="55" t="s">
        <v>75</v>
      </c>
      <c r="L1" s="55" t="s">
        <v>74</v>
      </c>
      <c r="M1" s="55" t="s">
        <v>73</v>
      </c>
      <c r="N1" s="55" t="s">
        <v>72</v>
      </c>
      <c r="O1" s="55" t="s">
        <v>71</v>
      </c>
      <c r="P1" s="55" t="s">
        <v>70</v>
      </c>
      <c r="Q1" s="85" t="s">
        <v>69</v>
      </c>
      <c r="R1" s="55" t="s">
        <v>167</v>
      </c>
      <c r="S1" s="55" t="s">
        <v>67</v>
      </c>
      <c r="T1" s="55" t="s">
        <v>168</v>
      </c>
      <c r="U1" s="55" t="s">
        <v>65</v>
      </c>
      <c r="V1" s="55" t="s">
        <v>64</v>
      </c>
      <c r="W1" s="55" t="s">
        <v>63</v>
      </c>
      <c r="X1" s="55" t="s">
        <v>62</v>
      </c>
      <c r="Y1" s="55" t="s">
        <v>61</v>
      </c>
      <c r="Z1" s="55" t="s">
        <v>60</v>
      </c>
      <c r="AA1" s="55" t="s">
        <v>59</v>
      </c>
      <c r="AB1" s="55" t="s">
        <v>58</v>
      </c>
      <c r="AC1" s="55" t="s">
        <v>151</v>
      </c>
      <c r="AD1" s="55" t="s">
        <v>56</v>
      </c>
      <c r="AE1" s="55" t="s">
        <v>55</v>
      </c>
      <c r="AF1" s="55" t="s">
        <v>54</v>
      </c>
      <c r="AG1" s="55" t="s">
        <v>169</v>
      </c>
      <c r="AH1" s="55" t="s">
        <v>52</v>
      </c>
      <c r="AI1" s="55" t="s">
        <v>51</v>
      </c>
      <c r="AJ1" s="55" t="s">
        <v>170</v>
      </c>
      <c r="AK1" s="55" t="s">
        <v>49</v>
      </c>
      <c r="AL1" s="55" t="s">
        <v>48</v>
      </c>
      <c r="AM1" s="55" t="s">
        <v>171</v>
      </c>
      <c r="AN1" s="55" t="s">
        <v>172</v>
      </c>
      <c r="AO1" s="55" t="s">
        <v>173</v>
      </c>
      <c r="AP1" s="55" t="s">
        <v>174</v>
      </c>
      <c r="AQ1" s="55" t="s">
        <v>175</v>
      </c>
      <c r="AR1" s="85" t="s">
        <v>42</v>
      </c>
      <c r="AS1" s="55" t="s">
        <v>176</v>
      </c>
      <c r="AT1" s="55" t="s">
        <v>40</v>
      </c>
      <c r="AU1" s="55" t="s">
        <v>39</v>
      </c>
      <c r="AV1" s="55" t="s">
        <v>38</v>
      </c>
      <c r="AW1" s="55" t="s">
        <v>37</v>
      </c>
      <c r="AX1" s="7" t="s">
        <v>36</v>
      </c>
      <c r="AY1" s="7" t="s">
        <v>35</v>
      </c>
      <c r="AZ1" s="7" t="s">
        <v>34</v>
      </c>
      <c r="BA1" s="7" t="s">
        <v>177</v>
      </c>
      <c r="BB1" s="7" t="s">
        <v>32</v>
      </c>
      <c r="BC1" s="7" t="s">
        <v>178</v>
      </c>
      <c r="BD1" s="7" t="s">
        <v>179</v>
      </c>
      <c r="BE1" s="86"/>
    </row>
    <row r="2">
      <c r="A2" s="38" t="s">
        <v>85</v>
      </c>
      <c r="B2" s="87">
        <v>1.0337</v>
      </c>
      <c r="C2" s="87">
        <v>0.5268</v>
      </c>
      <c r="D2" s="87">
        <v>0.3003</v>
      </c>
      <c r="E2" s="87">
        <v>0.66</v>
      </c>
      <c r="F2" s="87">
        <v>0.395</v>
      </c>
      <c r="G2" s="87">
        <v>0.544</v>
      </c>
      <c r="H2" s="87">
        <v>0.7754</v>
      </c>
      <c r="I2" s="87">
        <v>0.8186</v>
      </c>
      <c r="J2" s="87">
        <v>0.8266</v>
      </c>
      <c r="K2" s="87">
        <v>0.6417</v>
      </c>
      <c r="L2" s="87">
        <v>0.9274</v>
      </c>
      <c r="M2" s="87">
        <v>0.4986</v>
      </c>
      <c r="N2" s="87">
        <v>0.6195</v>
      </c>
      <c r="O2" s="87">
        <v>0.7253</v>
      </c>
      <c r="P2" s="87">
        <v>0.771</v>
      </c>
      <c r="Q2" s="87">
        <v>0.7587</v>
      </c>
      <c r="R2" s="87">
        <v>0.6681</v>
      </c>
      <c r="S2" s="87">
        <v>0.6349</v>
      </c>
      <c r="T2" s="87">
        <v>0.657</v>
      </c>
      <c r="U2" s="87">
        <v>0.7459</v>
      </c>
      <c r="V2" s="87">
        <v>0.4809</v>
      </c>
      <c r="W2" s="87">
        <v>1.1473</v>
      </c>
      <c r="X2" s="87">
        <v>0.4587</v>
      </c>
      <c r="Y2" s="87">
        <v>0.7789</v>
      </c>
      <c r="Z2" s="87">
        <v>0.6548</v>
      </c>
      <c r="AA2" s="87">
        <v>0.3774</v>
      </c>
      <c r="AB2" s="87">
        <v>0.7722</v>
      </c>
      <c r="AC2" s="87">
        <v>0.5292</v>
      </c>
      <c r="AD2" s="87">
        <v>0.5134</v>
      </c>
      <c r="AE2" s="87">
        <v>1.0129</v>
      </c>
      <c r="AF2" s="87">
        <v>0.3396</v>
      </c>
      <c r="AG2" s="87">
        <v>0.6688</v>
      </c>
      <c r="AH2" s="87">
        <v>0.0406</v>
      </c>
      <c r="AI2" s="87">
        <v>0.5014</v>
      </c>
      <c r="AJ2" s="87">
        <v>0.4647</v>
      </c>
      <c r="AK2" s="87">
        <v>0.4353</v>
      </c>
      <c r="AL2" s="87">
        <v>0.6569</v>
      </c>
      <c r="AM2" s="88">
        <v>0.4266</v>
      </c>
      <c r="AN2" s="88">
        <v>0.5758</v>
      </c>
      <c r="AO2" s="88">
        <v>0.8511</v>
      </c>
      <c r="AP2" s="88">
        <v>0.71055</v>
      </c>
      <c r="AQ2" s="88">
        <v>0.7252</v>
      </c>
      <c r="AR2" s="88">
        <v>0.7531</v>
      </c>
      <c r="AS2" s="88">
        <v>0.41</v>
      </c>
      <c r="AT2" s="89">
        <v>0.6069</v>
      </c>
      <c r="AU2" s="87">
        <v>0.45</v>
      </c>
      <c r="AV2" s="87">
        <v>1.2063</v>
      </c>
      <c r="AW2" s="87">
        <v>0.5998260869565217</v>
      </c>
      <c r="AX2" s="87">
        <v>0.5998260869565217</v>
      </c>
      <c r="AY2" s="87">
        <v>0.7718200000000001</v>
      </c>
      <c r="AZ2" s="87">
        <v>0.7785</v>
      </c>
      <c r="BA2" s="87">
        <v>0.54481</v>
      </c>
      <c r="BB2" s="87">
        <v>0.555</v>
      </c>
      <c r="BC2" s="87">
        <v>0.76789</v>
      </c>
      <c r="BD2" s="87">
        <v>0.73098</v>
      </c>
      <c r="BE2" s="86">
        <f t="shared" ref="BE2:BE7" si="1">SUM(AX2:BD2)/7</f>
        <v>0.6784037267</v>
      </c>
    </row>
    <row r="3">
      <c r="A3" s="38" t="s">
        <v>86</v>
      </c>
      <c r="B3" s="87">
        <v>0.4829</v>
      </c>
      <c r="C3" s="87">
        <v>0.4213</v>
      </c>
      <c r="D3" s="87">
        <v>0.4275</v>
      </c>
      <c r="E3" s="87">
        <v>0.705</v>
      </c>
      <c r="F3" s="87">
        <v>1.155</v>
      </c>
      <c r="G3" s="87">
        <v>0.618</v>
      </c>
      <c r="H3" s="87">
        <v>0.9335</v>
      </c>
      <c r="I3" s="87">
        <v>1.1416</v>
      </c>
      <c r="J3" s="87">
        <v>0.8837</v>
      </c>
      <c r="K3" s="87">
        <v>0.8701</v>
      </c>
      <c r="L3" s="87">
        <v>0.8606</v>
      </c>
      <c r="M3" s="87">
        <v>0.81</v>
      </c>
      <c r="N3" s="87">
        <v>0.4644</v>
      </c>
      <c r="O3" s="87">
        <v>0.8477</v>
      </c>
      <c r="P3" s="87">
        <v>0.3587</v>
      </c>
      <c r="Q3" s="87">
        <v>0.5888</v>
      </c>
      <c r="R3" s="87">
        <v>1.0085</v>
      </c>
      <c r="S3" s="87">
        <v>1.0194</v>
      </c>
      <c r="T3" s="87">
        <v>0.9197</v>
      </c>
      <c r="U3" s="87">
        <v>1.1667</v>
      </c>
      <c r="V3" s="87">
        <v>0.6242</v>
      </c>
      <c r="W3" s="87">
        <v>1.2</v>
      </c>
      <c r="X3" s="87">
        <v>0.8945</v>
      </c>
      <c r="Y3" s="87">
        <v>0.9601</v>
      </c>
      <c r="Z3" s="87">
        <v>0.6664</v>
      </c>
      <c r="AA3" s="87">
        <v>0.8311</v>
      </c>
      <c r="AB3" s="87">
        <v>1.0222</v>
      </c>
      <c r="AC3" s="87">
        <v>1.0517</v>
      </c>
      <c r="AD3" s="87">
        <v>0.9122</v>
      </c>
      <c r="AE3" s="87">
        <v>1.0234</v>
      </c>
      <c r="AF3" s="87">
        <v>1.0</v>
      </c>
      <c r="AG3" s="87">
        <v>1.034</v>
      </c>
      <c r="AH3" s="87">
        <v>0.8205</v>
      </c>
      <c r="AI3" s="87">
        <v>0.8846</v>
      </c>
      <c r="AJ3" s="87">
        <v>0.8365</v>
      </c>
      <c r="AK3" s="87">
        <v>0.8303</v>
      </c>
      <c r="AL3" s="87">
        <v>0.6235</v>
      </c>
      <c r="AM3" s="88">
        <v>0.8477</v>
      </c>
      <c r="AN3" s="88">
        <v>0.5237</v>
      </c>
      <c r="AO3" s="88">
        <v>1.0222</v>
      </c>
      <c r="AP3" s="88">
        <v>0.4277333333333333</v>
      </c>
      <c r="AQ3" s="88">
        <v>0.6666666666666666</v>
      </c>
      <c r="AR3" s="88">
        <v>0.832</v>
      </c>
      <c r="AS3" s="88">
        <v>0.8889</v>
      </c>
      <c r="AT3" s="89">
        <v>0.9591</v>
      </c>
      <c r="AU3" s="87">
        <v>0.2347</v>
      </c>
      <c r="AV3" s="87">
        <v>0.6739</v>
      </c>
      <c r="AW3" s="87">
        <v>0.4004405797101449</v>
      </c>
      <c r="AX3" s="87">
        <v>0.4004405797101449</v>
      </c>
      <c r="AY3" s="87">
        <v>0.54464</v>
      </c>
      <c r="AZ3" s="87">
        <v>1.0855</v>
      </c>
      <c r="BA3" s="87">
        <v>0.3087111111111111</v>
      </c>
      <c r="BB3" s="87">
        <v>0.6939428571428572</v>
      </c>
      <c r="BC3" s="87">
        <v>0.3432</v>
      </c>
      <c r="BD3" s="87">
        <v>0.5466666666666666</v>
      </c>
      <c r="BE3" s="86">
        <f t="shared" si="1"/>
        <v>0.5604430307</v>
      </c>
    </row>
    <row r="4">
      <c r="A4" s="38" t="s">
        <v>88</v>
      </c>
      <c r="B4" s="87">
        <v>0.6453</v>
      </c>
      <c r="C4" s="87">
        <v>0.7392</v>
      </c>
      <c r="D4" s="87">
        <v>0.6667</v>
      </c>
      <c r="E4" s="87">
        <v>0.6268</v>
      </c>
      <c r="F4" s="87">
        <v>0.641</v>
      </c>
      <c r="G4" s="87">
        <v>0.6225</v>
      </c>
      <c r="H4" s="87">
        <v>0.6665</v>
      </c>
      <c r="I4" s="87">
        <v>0.7617</v>
      </c>
      <c r="J4" s="87">
        <v>0.8521</v>
      </c>
      <c r="K4" s="87">
        <v>0.7237</v>
      </c>
      <c r="L4" s="87">
        <v>0.8714</v>
      </c>
      <c r="M4" s="87">
        <v>0.7035</v>
      </c>
      <c r="N4" s="87">
        <v>0.9329</v>
      </c>
      <c r="O4" s="87">
        <v>0.8369</v>
      </c>
      <c r="P4" s="87">
        <v>0.8825</v>
      </c>
      <c r="Q4" s="87">
        <v>0.8443</v>
      </c>
      <c r="R4" s="87">
        <v>0.8363</v>
      </c>
      <c r="S4" s="87">
        <v>0.7814</v>
      </c>
      <c r="T4" s="87">
        <v>0.5467</v>
      </c>
      <c r="U4" s="87">
        <v>0.7583</v>
      </c>
      <c r="V4" s="87">
        <v>0.8557</v>
      </c>
      <c r="W4" s="87">
        <v>0.7667</v>
      </c>
      <c r="X4" s="87">
        <v>0.8343</v>
      </c>
      <c r="Y4" s="87">
        <v>0.7608</v>
      </c>
      <c r="Z4" s="87">
        <v>0.9249</v>
      </c>
      <c r="AA4" s="87">
        <v>0.6676</v>
      </c>
      <c r="AB4" s="87">
        <v>0.7656</v>
      </c>
      <c r="AC4" s="87">
        <v>0.6601</v>
      </c>
      <c r="AD4" s="87">
        <v>0.7487</v>
      </c>
      <c r="AE4" s="87">
        <v>0.6501</v>
      </c>
      <c r="AF4" s="87">
        <v>0.8037</v>
      </c>
      <c r="AG4" s="87">
        <v>0.7442</v>
      </c>
      <c r="AH4" s="87">
        <v>0.7413</v>
      </c>
      <c r="AI4" s="87">
        <v>0.7718</v>
      </c>
      <c r="AJ4" s="87">
        <v>0.8152</v>
      </c>
      <c r="AK4" s="87">
        <v>0.697</v>
      </c>
      <c r="AL4" s="87">
        <v>0.7272</v>
      </c>
      <c r="AM4" s="88">
        <v>0.7505</v>
      </c>
      <c r="AN4" s="88">
        <v>0.7647</v>
      </c>
      <c r="AO4" s="88">
        <v>0.8696</v>
      </c>
      <c r="AP4" s="88">
        <v>1.0539764705882353</v>
      </c>
      <c r="AQ4" s="88">
        <v>0.69565</v>
      </c>
      <c r="AR4" s="88">
        <v>0.6532</v>
      </c>
      <c r="AS4" s="88">
        <v>0.5189</v>
      </c>
      <c r="AT4" s="89">
        <v>0.7086</v>
      </c>
      <c r="AU4" s="87">
        <v>0.2565</v>
      </c>
      <c r="AV4" s="87">
        <v>0.8244</v>
      </c>
      <c r="AW4" s="87">
        <v>0.7096666666666667</v>
      </c>
      <c r="AX4" s="87">
        <v>0.7096666666666667</v>
      </c>
      <c r="AY4" s="87">
        <v>0.65106</v>
      </c>
      <c r="AZ4" s="87">
        <v>0.66045</v>
      </c>
      <c r="BA4" s="87">
        <v>0.8809999999999999</v>
      </c>
      <c r="BB4" s="87">
        <v>0.6778421052631578</v>
      </c>
      <c r="BC4" s="87">
        <v>0.8523999999999999</v>
      </c>
      <c r="BD4" s="87">
        <v>0.80674</v>
      </c>
      <c r="BE4" s="86">
        <f t="shared" si="1"/>
        <v>0.7484512531</v>
      </c>
    </row>
    <row r="5">
      <c r="A5" s="38" t="s">
        <v>90</v>
      </c>
      <c r="B5" s="87">
        <v>0.825</v>
      </c>
      <c r="C5" s="87">
        <v>0.8407</v>
      </c>
      <c r="D5" s="87">
        <v>0.4852</v>
      </c>
      <c r="E5" s="87">
        <v>0.6963</v>
      </c>
      <c r="F5" s="87">
        <v>1.033</v>
      </c>
      <c r="G5" s="87">
        <v>0.4632</v>
      </c>
      <c r="H5" s="87">
        <v>0.7749</v>
      </c>
      <c r="I5" s="87">
        <v>0.8183</v>
      </c>
      <c r="J5" s="87">
        <v>0.9743</v>
      </c>
      <c r="K5" s="87">
        <v>0.9876</v>
      </c>
      <c r="L5" s="87">
        <v>0.4511</v>
      </c>
      <c r="M5" s="87">
        <v>1.5494</v>
      </c>
      <c r="N5" s="87">
        <v>0.7648</v>
      </c>
      <c r="O5" s="87">
        <v>0.9082</v>
      </c>
      <c r="P5" s="87">
        <v>1.108</v>
      </c>
      <c r="Q5" s="87">
        <v>0.5011</v>
      </c>
      <c r="R5" s="87">
        <v>0.4477</v>
      </c>
      <c r="S5" s="87">
        <v>1.2183</v>
      </c>
      <c r="T5" s="87">
        <v>1.0772</v>
      </c>
      <c r="U5" s="87">
        <v>0.854</v>
      </c>
      <c r="V5" s="87"/>
      <c r="W5" s="87">
        <v>0.9354</v>
      </c>
      <c r="X5" s="87">
        <v>0.8074</v>
      </c>
      <c r="Y5" s="87">
        <v>1.3487</v>
      </c>
      <c r="Z5" s="87">
        <v>1.2219</v>
      </c>
      <c r="AA5" s="87">
        <v>0.583</v>
      </c>
      <c r="AB5" s="87">
        <v>1.4922</v>
      </c>
      <c r="AC5" s="87">
        <v>0.7175</v>
      </c>
      <c r="AD5" s="87">
        <v>0.8362</v>
      </c>
      <c r="AE5" s="87">
        <v>1.3143</v>
      </c>
      <c r="AF5" s="87">
        <v>0.912</v>
      </c>
      <c r="AG5" s="87">
        <v>0.8434</v>
      </c>
      <c r="AH5" s="87">
        <v>0.788</v>
      </c>
      <c r="AI5" s="87">
        <v>0.5138</v>
      </c>
      <c r="AJ5" s="87">
        <v>0.8524</v>
      </c>
      <c r="AK5" s="87">
        <v>0.8199</v>
      </c>
      <c r="AL5" s="87">
        <v>0.7896</v>
      </c>
      <c r="AM5" s="88">
        <v>0.9212</v>
      </c>
      <c r="AN5" s="88">
        <v>0.9217</v>
      </c>
      <c r="AO5" s="88">
        <v>1.0733</v>
      </c>
      <c r="AP5" s="88">
        <v>1.3085333333333333</v>
      </c>
      <c r="AQ5" s="88">
        <v>0.7744</v>
      </c>
      <c r="AR5" s="88">
        <v>1.2418</v>
      </c>
      <c r="AS5" s="88">
        <v>0.663</v>
      </c>
      <c r="AT5" s="89">
        <v>1.0783</v>
      </c>
      <c r="AU5" s="87">
        <v>0.9152</v>
      </c>
      <c r="AV5" s="87">
        <v>0.6909</v>
      </c>
      <c r="AW5" s="87">
        <v>1.1899649122807017</v>
      </c>
      <c r="AX5" s="87">
        <v>1.1899649122807017</v>
      </c>
      <c r="AY5" s="87">
        <v>0.8362666666666667</v>
      </c>
      <c r="AZ5" s="87">
        <v>0.7618666666666667</v>
      </c>
      <c r="BA5" s="87">
        <v>0.6675066666666666</v>
      </c>
      <c r="BB5" s="87">
        <v>1.3846666666666665</v>
      </c>
      <c r="BC5" s="87">
        <v>0.25493333333333335</v>
      </c>
      <c r="BD5" s="87">
        <v>0.8639833333333333</v>
      </c>
      <c r="BE5" s="86">
        <f t="shared" si="1"/>
        <v>0.8513126065</v>
      </c>
    </row>
    <row r="6">
      <c r="A6" s="38" t="s">
        <v>94</v>
      </c>
      <c r="B6" s="87">
        <v>0.6565</v>
      </c>
      <c r="C6" s="87">
        <v>0.7666</v>
      </c>
      <c r="D6" s="87">
        <v>0.4607</v>
      </c>
      <c r="E6" s="87">
        <v>0.6125</v>
      </c>
      <c r="F6" s="87">
        <v>0.625</v>
      </c>
      <c r="G6" s="87">
        <v>0.7106</v>
      </c>
      <c r="H6" s="87">
        <v>0.8016</v>
      </c>
      <c r="I6" s="87">
        <v>1.5503</v>
      </c>
      <c r="J6" s="87">
        <v>0.7116</v>
      </c>
      <c r="K6" s="87">
        <v>0.9158</v>
      </c>
      <c r="L6" s="87">
        <v>1.2637</v>
      </c>
      <c r="M6" s="87">
        <v>1.2349</v>
      </c>
      <c r="N6" s="87">
        <v>1.2349</v>
      </c>
      <c r="O6" s="87">
        <v>1.4155</v>
      </c>
      <c r="P6" s="87">
        <v>0.312</v>
      </c>
      <c r="Q6" s="87">
        <v>1.1121</v>
      </c>
      <c r="R6" s="87">
        <v>0.9418</v>
      </c>
      <c r="S6" s="87">
        <v>1.2521</v>
      </c>
      <c r="T6" s="87">
        <v>0.991</v>
      </c>
      <c r="U6" s="87">
        <v>0.8572</v>
      </c>
      <c r="V6" s="87">
        <v>0.8101</v>
      </c>
      <c r="W6" s="87">
        <v>1.0961</v>
      </c>
      <c r="X6" s="87">
        <v>1.3793</v>
      </c>
      <c r="Y6" s="87">
        <v>0.5242</v>
      </c>
      <c r="Z6" s="87">
        <v>1.44</v>
      </c>
      <c r="AA6" s="87">
        <v>1.98</v>
      </c>
      <c r="AB6" s="87">
        <v>1.074</v>
      </c>
      <c r="AC6" s="87">
        <v>1.3068</v>
      </c>
      <c r="AD6" s="87">
        <v>0.7474</v>
      </c>
      <c r="AE6" s="87">
        <v>0.989</v>
      </c>
      <c r="AF6" s="87">
        <v>0.82</v>
      </c>
      <c r="AG6" s="87">
        <v>0.7289</v>
      </c>
      <c r="AH6" s="87">
        <v>0.9397</v>
      </c>
      <c r="AI6" s="87">
        <v>0.4765</v>
      </c>
      <c r="AJ6" s="87">
        <v>0.9664</v>
      </c>
      <c r="AK6" s="87">
        <v>1.0481</v>
      </c>
      <c r="AL6" s="87">
        <v>1.0178</v>
      </c>
      <c r="AM6" s="88">
        <v>1.8676</v>
      </c>
      <c r="AN6" s="88">
        <v>0.7987</v>
      </c>
      <c r="AO6" s="88">
        <v>0.6923</v>
      </c>
      <c r="AP6" s="88">
        <v>0.82711</v>
      </c>
      <c r="AQ6" s="88">
        <v>0.6890000000000001</v>
      </c>
      <c r="AR6" s="88">
        <v>1.1471</v>
      </c>
      <c r="AS6" s="88">
        <v>0.8668</v>
      </c>
      <c r="AT6" s="89">
        <v>0.7014</v>
      </c>
      <c r="AU6" s="87">
        <v>0.4435</v>
      </c>
      <c r="AV6" s="87">
        <v>1.046</v>
      </c>
      <c r="AW6" s="87">
        <v>0.7375478260869565</v>
      </c>
      <c r="AX6" s="87">
        <v>0.7375478260869565</v>
      </c>
      <c r="AY6" s="87">
        <v>1.1967</v>
      </c>
      <c r="AZ6" s="87">
        <v>1.08592</v>
      </c>
      <c r="BA6" s="87">
        <v>0.7504000000000001</v>
      </c>
      <c r="BB6" s="87">
        <v>0.3761176470588235</v>
      </c>
      <c r="BC6" s="87">
        <v>1.0808823529411764</v>
      </c>
      <c r="BD6" s="87">
        <v>1.0484</v>
      </c>
      <c r="BE6" s="86">
        <f t="shared" si="1"/>
        <v>0.8965668323</v>
      </c>
    </row>
    <row r="7">
      <c r="A7" s="7" t="s">
        <v>96</v>
      </c>
      <c r="B7" s="87">
        <v>0.6413</v>
      </c>
      <c r="C7" s="87">
        <v>0.5963</v>
      </c>
      <c r="D7" s="87">
        <v>0.4202</v>
      </c>
      <c r="E7" s="87">
        <v>0.2355</v>
      </c>
      <c r="F7" s="87">
        <v>0.7013</v>
      </c>
      <c r="G7" s="87">
        <v>0.435</v>
      </c>
      <c r="H7" s="87">
        <v>0.4554</v>
      </c>
      <c r="I7" s="87">
        <v>0.4249</v>
      </c>
      <c r="J7" s="87">
        <v>0.6988</v>
      </c>
      <c r="K7" s="87">
        <v>0.3913</v>
      </c>
      <c r="L7" s="87">
        <v>0.6683</v>
      </c>
      <c r="M7" s="87">
        <v>0.8239</v>
      </c>
      <c r="N7" s="87">
        <v>0.6604</v>
      </c>
      <c r="O7" s="87">
        <v>0.9488</v>
      </c>
      <c r="P7" s="87">
        <v>0.4985</v>
      </c>
      <c r="Q7" s="87">
        <v>0.515</v>
      </c>
      <c r="R7" s="87">
        <v>1.0541</v>
      </c>
      <c r="S7" s="87">
        <v>1.3571</v>
      </c>
      <c r="T7" s="87">
        <v>0.836</v>
      </c>
      <c r="U7" s="87">
        <v>0.7477</v>
      </c>
      <c r="V7" s="87">
        <v>0.4596</v>
      </c>
      <c r="W7" s="87">
        <v>0.5039</v>
      </c>
      <c r="X7" s="87">
        <v>0.8837</v>
      </c>
      <c r="Y7" s="87">
        <v>0.9178</v>
      </c>
      <c r="Z7" s="87">
        <v>0.9081</v>
      </c>
      <c r="AA7" s="87">
        <v>0.9436</v>
      </c>
      <c r="AB7" s="87">
        <v>0.8458</v>
      </c>
      <c r="AC7" s="87">
        <v>0.7969</v>
      </c>
      <c r="AD7" s="87">
        <v>1.3503</v>
      </c>
      <c r="AE7" s="87">
        <v>0.9516</v>
      </c>
      <c r="AF7" s="87">
        <v>1.2374</v>
      </c>
      <c r="AG7" s="87">
        <v>0.8826</v>
      </c>
      <c r="AH7" s="87">
        <v>0.525</v>
      </c>
      <c r="AI7" s="87">
        <v>0.5426</v>
      </c>
      <c r="AJ7" s="87">
        <v>0.5704</v>
      </c>
      <c r="AK7" s="87">
        <v>0.6913</v>
      </c>
      <c r="AL7" s="87">
        <v>0.6381</v>
      </c>
      <c r="AM7" s="88">
        <v>0.6172</v>
      </c>
      <c r="AN7" s="88">
        <v>0.9766</v>
      </c>
      <c r="AO7" s="88">
        <v>0.6142</v>
      </c>
      <c r="AP7" s="88">
        <v>0.9189999999999999</v>
      </c>
      <c r="AQ7" s="88">
        <v>0.80275</v>
      </c>
      <c r="AR7" s="88">
        <v>0.5543</v>
      </c>
      <c r="AS7" s="88">
        <v>0.4891</v>
      </c>
      <c r="AT7" s="89">
        <v>0.7846</v>
      </c>
      <c r="AU7" s="87">
        <v>0.6209</v>
      </c>
      <c r="AV7" s="87">
        <v>0.9713</v>
      </c>
      <c r="AW7" s="87">
        <v>0.24630434782608696</v>
      </c>
      <c r="AX7" s="87">
        <v>0.24630434782608696</v>
      </c>
      <c r="AY7" s="87">
        <v>0.7149375</v>
      </c>
      <c r="AZ7" s="87">
        <v>0.81275</v>
      </c>
      <c r="BA7" s="87">
        <v>0.9484</v>
      </c>
      <c r="BB7" s="87">
        <v>0.3734</v>
      </c>
      <c r="BC7" s="87">
        <v>0.4251125</v>
      </c>
      <c r="BD7" s="87">
        <v>0.245025</v>
      </c>
      <c r="BE7" s="86">
        <f t="shared" si="1"/>
        <v>0.5379899068</v>
      </c>
    </row>
    <row r="8">
      <c r="A8" s="7" t="s">
        <v>97</v>
      </c>
      <c r="B8" s="87">
        <v>0.386</v>
      </c>
      <c r="C8" s="87">
        <v>0.1704</v>
      </c>
      <c r="D8" s="87">
        <v>0.65</v>
      </c>
      <c r="E8" s="87">
        <v>0.7435</v>
      </c>
      <c r="F8" s="87">
        <v>0.4267</v>
      </c>
      <c r="G8" s="87">
        <v>0.37</v>
      </c>
      <c r="H8" s="87">
        <v>0.3272</v>
      </c>
      <c r="I8" s="87">
        <v>0.2213</v>
      </c>
      <c r="J8" s="87">
        <v>0.4213</v>
      </c>
      <c r="K8" s="87">
        <v>0.8157</v>
      </c>
      <c r="L8" s="87">
        <v>0.3706</v>
      </c>
      <c r="M8" s="87">
        <v>0.4488</v>
      </c>
      <c r="N8" s="87">
        <v>0.1924</v>
      </c>
      <c r="O8" s="87">
        <v>0.5931</v>
      </c>
      <c r="P8" s="87">
        <v>0.3238</v>
      </c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BD8" s="85"/>
      <c r="BE8" s="86"/>
    </row>
    <row r="9"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BE9" s="86"/>
    </row>
    <row r="10">
      <c r="B10" s="86"/>
      <c r="C10" s="86"/>
      <c r="D10" s="86"/>
      <c r="E10" s="86"/>
      <c r="F10" s="86"/>
      <c r="G10" s="86"/>
      <c r="H10" s="86">
        <f t="shared" ref="H10:P10" si="2">AVERAGE(H2:H8)</f>
        <v>0.6763571429</v>
      </c>
      <c r="I10" s="86">
        <f t="shared" si="2"/>
        <v>0.8195285714</v>
      </c>
      <c r="J10" s="86">
        <f t="shared" si="2"/>
        <v>0.7669142857</v>
      </c>
      <c r="K10" s="86">
        <f t="shared" si="2"/>
        <v>0.7637</v>
      </c>
      <c r="L10" s="86">
        <f t="shared" si="2"/>
        <v>0.7733</v>
      </c>
      <c r="M10" s="86">
        <f t="shared" si="2"/>
        <v>0.8670142857</v>
      </c>
      <c r="N10" s="86">
        <f t="shared" si="2"/>
        <v>0.6956142857</v>
      </c>
      <c r="O10" s="86">
        <f t="shared" si="2"/>
        <v>0.8965</v>
      </c>
      <c r="P10" s="86">
        <f t="shared" si="2"/>
        <v>0.6077857143</v>
      </c>
      <c r="Q10" s="86">
        <f t="shared" ref="Q10:AN10" si="3">AVERAGE(Q2:Q7)</f>
        <v>0.72</v>
      </c>
      <c r="R10" s="86">
        <f t="shared" si="3"/>
        <v>0.8260833333</v>
      </c>
      <c r="S10" s="86">
        <f t="shared" si="3"/>
        <v>1.043866667</v>
      </c>
      <c r="T10" s="86">
        <f t="shared" si="3"/>
        <v>0.8379333333</v>
      </c>
      <c r="U10" s="86">
        <f t="shared" si="3"/>
        <v>0.8549666667</v>
      </c>
      <c r="V10" s="86">
        <f t="shared" si="3"/>
        <v>0.6461</v>
      </c>
      <c r="W10" s="86">
        <f t="shared" si="3"/>
        <v>0.9415666667</v>
      </c>
      <c r="X10" s="86">
        <f t="shared" si="3"/>
        <v>0.8763166667</v>
      </c>
      <c r="Y10" s="86">
        <f t="shared" si="3"/>
        <v>0.88175</v>
      </c>
      <c r="Z10" s="86">
        <f t="shared" si="3"/>
        <v>0.96935</v>
      </c>
      <c r="AA10" s="86">
        <f t="shared" si="3"/>
        <v>0.8971166667</v>
      </c>
      <c r="AB10" s="86">
        <f t="shared" si="3"/>
        <v>0.9953333333</v>
      </c>
      <c r="AC10" s="86">
        <f t="shared" si="3"/>
        <v>0.8437</v>
      </c>
      <c r="AD10" s="86">
        <f t="shared" si="3"/>
        <v>0.8513666667</v>
      </c>
      <c r="AE10" s="86">
        <f t="shared" si="3"/>
        <v>0.9902166667</v>
      </c>
      <c r="AF10" s="86">
        <f t="shared" si="3"/>
        <v>0.8521166667</v>
      </c>
      <c r="AG10" s="86">
        <f t="shared" si="3"/>
        <v>0.8169833333</v>
      </c>
      <c r="AH10" s="86">
        <f t="shared" si="3"/>
        <v>0.6425166667</v>
      </c>
      <c r="AI10" s="86">
        <f t="shared" si="3"/>
        <v>0.6151166667</v>
      </c>
      <c r="AJ10" s="86">
        <f t="shared" si="3"/>
        <v>0.7509333333</v>
      </c>
      <c r="AK10" s="86">
        <f t="shared" si="3"/>
        <v>0.75365</v>
      </c>
      <c r="AL10" s="86">
        <f t="shared" si="3"/>
        <v>0.7421833333</v>
      </c>
      <c r="AM10" s="86">
        <f t="shared" si="3"/>
        <v>0.9051333333</v>
      </c>
      <c r="AN10" s="86">
        <f t="shared" si="3"/>
        <v>0.7602</v>
      </c>
      <c r="AO10" s="86"/>
      <c r="AP10" s="86"/>
      <c r="AQ10" s="86"/>
      <c r="AR10" s="86"/>
      <c r="BE10" s="86"/>
    </row>
    <row r="11"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5"/>
      <c r="AT11" s="4"/>
      <c r="BE11" s="86"/>
    </row>
    <row r="12"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>
        <f>AVERAGE(Q10:AN10)</f>
        <v>0.8339375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BE12" s="86"/>
    </row>
    <row r="13"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BE13" s="86"/>
    </row>
    <row r="14"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BE14" s="86"/>
    </row>
    <row r="15"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BE15" s="86"/>
    </row>
    <row r="16"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BE16" s="86"/>
    </row>
    <row r="17"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BE17" s="86"/>
    </row>
    <row r="18"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BE18" s="86"/>
    </row>
    <row r="19"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BE19" s="86"/>
    </row>
    <row r="20"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BE20" s="86"/>
    </row>
    <row r="21"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BE21" s="86"/>
    </row>
    <row r="22"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BE22" s="86"/>
    </row>
    <row r="2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BE23" s="86"/>
    </row>
    <row r="24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BE24" s="86"/>
    </row>
    <row r="25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BE25" s="86"/>
    </row>
    <row r="26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BE26" s="86"/>
    </row>
    <row r="27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BE27" s="86"/>
    </row>
    <row r="28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BE28" s="86"/>
    </row>
    <row r="29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BE29" s="86"/>
    </row>
    <row r="30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BE30" s="86"/>
    </row>
    <row r="31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BE31" s="86"/>
    </row>
    <row r="32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BE32" s="86"/>
    </row>
    <row r="3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BE33" s="86"/>
    </row>
    <row r="34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BE34" s="86"/>
    </row>
    <row r="35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BE35" s="86"/>
    </row>
    <row r="36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BE36" s="86"/>
    </row>
    <row r="37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BE37" s="86"/>
    </row>
    <row r="38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BE38" s="86"/>
    </row>
    <row r="39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BE39" s="86"/>
    </row>
    <row r="40"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BE40" s="86"/>
    </row>
    <row r="41"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BE41" s="86"/>
    </row>
    <row r="42"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BE42" s="86"/>
    </row>
    <row r="43"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BE43" s="86"/>
    </row>
    <row r="44"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BE44" s="86"/>
    </row>
    <row r="45"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BE45" s="86"/>
    </row>
    <row r="46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BE46" s="86"/>
    </row>
    <row r="47"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BE47" s="86"/>
    </row>
    <row r="48"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BE48" s="86"/>
    </row>
    <row r="49"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BE49" s="86"/>
    </row>
    <row r="50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BE50" s="86"/>
    </row>
    <row r="51"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BE51" s="86"/>
    </row>
    <row r="52"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BE52" s="86"/>
    </row>
    <row r="53"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BE53" s="86"/>
    </row>
    <row r="54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BE54" s="86"/>
    </row>
    <row r="55"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BE55" s="86"/>
    </row>
    <row r="56"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BE56" s="86"/>
    </row>
    <row r="57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BE57" s="86"/>
    </row>
    <row r="58"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BE58" s="86"/>
    </row>
    <row r="59"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BE59" s="86"/>
    </row>
    <row r="60"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BE60" s="86"/>
    </row>
    <row r="61"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BE61" s="86"/>
    </row>
    <row r="62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BE62" s="86"/>
    </row>
    <row r="63"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BE63" s="86"/>
    </row>
    <row r="64"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BE64" s="86"/>
    </row>
    <row r="65"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BE65" s="86"/>
    </row>
    <row r="66"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BE66" s="86"/>
    </row>
    <row r="67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BE67" s="86"/>
    </row>
    <row r="68"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BE68" s="86"/>
    </row>
    <row r="69"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BE69" s="86"/>
    </row>
    <row r="70"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BE70" s="86"/>
    </row>
    <row r="7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BE71" s="86"/>
    </row>
    <row r="72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BE72" s="86"/>
    </row>
    <row r="73"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BE73" s="86"/>
    </row>
    <row r="74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BE74" s="86"/>
    </row>
    <row r="75"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BE75" s="86"/>
    </row>
    <row r="76"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BE76" s="86"/>
    </row>
    <row r="77"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BE77" s="86"/>
    </row>
    <row r="78"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BE78" s="86"/>
    </row>
    <row r="79"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BE79" s="86"/>
    </row>
    <row r="80"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BE80" s="86"/>
    </row>
    <row r="81"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BE81" s="86"/>
    </row>
    <row r="82"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BE82" s="86"/>
    </row>
    <row r="83"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BE83" s="86"/>
    </row>
    <row r="84"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BE84" s="86"/>
    </row>
    <row r="85"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BE85" s="86"/>
    </row>
    <row r="86"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BE86" s="86"/>
    </row>
    <row r="87"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BE87" s="86"/>
    </row>
    <row r="88"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BE88" s="86"/>
    </row>
    <row r="89"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BE89" s="86"/>
    </row>
    <row r="90"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BE90" s="86"/>
    </row>
    <row r="91"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BE91" s="86"/>
    </row>
    <row r="92"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BE92" s="86"/>
    </row>
    <row r="93"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BE93" s="86"/>
    </row>
    <row r="94"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BE94" s="86"/>
    </row>
    <row r="95"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BE95" s="86"/>
    </row>
    <row r="96"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BE96" s="86"/>
    </row>
    <row r="97"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BE97" s="86"/>
    </row>
    <row r="98"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BE98" s="86"/>
    </row>
    <row r="99"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BE99" s="86"/>
    </row>
    <row r="100"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BE100" s="86"/>
    </row>
    <row r="101"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BE101" s="86"/>
    </row>
    <row r="102"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BE102" s="86"/>
    </row>
    <row r="103"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BE103" s="86"/>
    </row>
    <row r="104"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BE104" s="86"/>
    </row>
    <row r="105"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BE105" s="86"/>
    </row>
    <row r="106"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BE106" s="86"/>
    </row>
    <row r="107"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BE107" s="86"/>
    </row>
    <row r="108"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BE108" s="86"/>
    </row>
    <row r="109"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BE109" s="86"/>
    </row>
    <row r="110"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BE110" s="86"/>
    </row>
    <row r="111"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BE111" s="86"/>
    </row>
    <row r="112"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BE112" s="86"/>
    </row>
    <row r="113"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BE113" s="86"/>
    </row>
    <row r="114"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BE114" s="86"/>
    </row>
    <row r="115"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BE115" s="86"/>
    </row>
    <row r="116"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BE116" s="86"/>
    </row>
    <row r="117"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BE117" s="86"/>
    </row>
    <row r="118"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BE118" s="86"/>
    </row>
    <row r="119"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BE119" s="86"/>
    </row>
    <row r="120"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BE120" s="86"/>
    </row>
    <row r="121"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BE121" s="86"/>
    </row>
    <row r="122"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BE122" s="86"/>
    </row>
    <row r="123"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BE123" s="86"/>
    </row>
    <row r="124"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BE124" s="86"/>
    </row>
    <row r="1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BE125" s="86"/>
    </row>
    <row r="126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BE126" s="86"/>
    </row>
    <row r="127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BE127" s="86"/>
    </row>
    <row r="128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BE128" s="86"/>
    </row>
    <row r="129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BE129" s="86"/>
    </row>
    <row r="130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BE130" s="86"/>
    </row>
    <row r="131"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BE131" s="86"/>
    </row>
    <row r="132"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BE132" s="86"/>
    </row>
    <row r="133"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BE133" s="86"/>
    </row>
    <row r="134"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BE134" s="86"/>
    </row>
    <row r="135"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BE135" s="86"/>
    </row>
    <row r="136"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BE136" s="86"/>
    </row>
    <row r="137"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BE137" s="86"/>
    </row>
    <row r="138"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BE138" s="86"/>
    </row>
    <row r="139"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BE139" s="86"/>
    </row>
    <row r="140"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BE140" s="86"/>
    </row>
    <row r="141"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BE141" s="86"/>
    </row>
    <row r="142"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BE142" s="86"/>
    </row>
    <row r="143"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BE143" s="86"/>
    </row>
    <row r="144"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BE144" s="86"/>
    </row>
    <row r="145"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BE145" s="86"/>
    </row>
    <row r="146"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BE146" s="86"/>
    </row>
    <row r="147"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BE147" s="86"/>
    </row>
    <row r="148"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BE148" s="86"/>
    </row>
    <row r="149"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BE149" s="86"/>
    </row>
    <row r="150"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BE150" s="86"/>
    </row>
    <row r="151"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BE151" s="86"/>
    </row>
    <row r="152"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BE152" s="86"/>
    </row>
    <row r="153"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BE153" s="86"/>
    </row>
    <row r="154"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BE154" s="86"/>
    </row>
    <row r="155"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BE155" s="86"/>
    </row>
    <row r="156"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BE156" s="86"/>
    </row>
    <row r="157"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BE157" s="86"/>
    </row>
    <row r="158"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BE158" s="86"/>
    </row>
    <row r="159"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BE159" s="86"/>
    </row>
    <row r="160"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BE160" s="86"/>
    </row>
    <row r="161"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BE161" s="86"/>
    </row>
    <row r="162"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BE162" s="86"/>
    </row>
    <row r="163"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BE163" s="86"/>
    </row>
    <row r="164"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BE164" s="86"/>
    </row>
    <row r="165"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BE165" s="86"/>
    </row>
    <row r="166"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BE166" s="86"/>
    </row>
    <row r="167"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BE167" s="86"/>
    </row>
    <row r="168"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BE168" s="86"/>
    </row>
    <row r="169"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BE169" s="86"/>
    </row>
    <row r="170"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BE170" s="86"/>
    </row>
    <row r="171"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BE171" s="86"/>
    </row>
    <row r="172"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BE172" s="86"/>
    </row>
    <row r="173"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BE173" s="86"/>
    </row>
    <row r="174"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BE174" s="86"/>
    </row>
    <row r="175"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BE175" s="86"/>
    </row>
    <row r="176"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BE176" s="86"/>
    </row>
    <row r="177"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BE177" s="86"/>
    </row>
    <row r="178"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BE178" s="86"/>
    </row>
    <row r="179"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BE179" s="86"/>
    </row>
    <row r="180"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BE180" s="86"/>
    </row>
    <row r="181"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BE181" s="86"/>
    </row>
    <row r="182"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BE182" s="86"/>
    </row>
    <row r="183"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BE183" s="86"/>
    </row>
    <row r="184"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BE184" s="86"/>
    </row>
    <row r="185"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BE185" s="86"/>
    </row>
    <row r="186"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BE186" s="86"/>
    </row>
    <row r="187"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BE187" s="86"/>
    </row>
    <row r="188"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BE188" s="86"/>
    </row>
    <row r="189"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BE189" s="86"/>
    </row>
    <row r="190"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BE190" s="86"/>
    </row>
    <row r="191"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BE191" s="86"/>
    </row>
    <row r="192"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BE192" s="86"/>
    </row>
    <row r="193"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BE193" s="86"/>
    </row>
    <row r="194"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BE194" s="86"/>
    </row>
    <row r="195"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BE195" s="86"/>
    </row>
    <row r="196"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BE196" s="86"/>
    </row>
    <row r="197"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BE197" s="86"/>
    </row>
    <row r="198"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BE198" s="86"/>
    </row>
    <row r="199"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BE199" s="86"/>
    </row>
    <row r="200"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BE200" s="86"/>
    </row>
    <row r="201"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BE201" s="86"/>
    </row>
    <row r="202"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BE202" s="86"/>
    </row>
    <row r="203"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BE203" s="86"/>
    </row>
    <row r="204"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BE204" s="86"/>
    </row>
    <row r="205"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BE205" s="86"/>
    </row>
    <row r="206"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BE206" s="86"/>
    </row>
    <row r="207"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BE207" s="86"/>
    </row>
    <row r="208"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BE208" s="86"/>
    </row>
    <row r="209"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BE209" s="86"/>
    </row>
    <row r="210"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BE210" s="86"/>
    </row>
    <row r="211"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BE211" s="86"/>
    </row>
    <row r="212"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BE212" s="86"/>
    </row>
    <row r="213"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BE213" s="86"/>
    </row>
    <row r="214"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BE214" s="86"/>
    </row>
    <row r="215"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BE215" s="86"/>
    </row>
    <row r="216"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BE216" s="86"/>
    </row>
    <row r="217"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BE217" s="86"/>
    </row>
    <row r="218"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BE218" s="86"/>
    </row>
    <row r="219"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BE219" s="86"/>
    </row>
    <row r="220"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BE220" s="86"/>
    </row>
    <row r="221"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BE221" s="86"/>
    </row>
    <row r="222"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BE222" s="86"/>
    </row>
    <row r="223"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BE223" s="86"/>
    </row>
    <row r="224"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BE224" s="86"/>
    </row>
    <row r="225"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BE225" s="86"/>
    </row>
    <row r="226"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BE226" s="86"/>
    </row>
    <row r="227"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BE227" s="86"/>
    </row>
    <row r="228"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BE228" s="86"/>
    </row>
    <row r="229"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BE229" s="86"/>
    </row>
    <row r="230"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BE230" s="86"/>
    </row>
    <row r="231"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BE231" s="86"/>
    </row>
    <row r="232"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BE232" s="86"/>
    </row>
    <row r="233"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BE233" s="86"/>
    </row>
    <row r="234"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BE234" s="86"/>
    </row>
    <row r="235"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BE235" s="86"/>
    </row>
    <row r="236"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BE236" s="86"/>
    </row>
    <row r="237"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BE237" s="86"/>
    </row>
    <row r="238"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BE238" s="86"/>
    </row>
    <row r="239"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BE239" s="86"/>
    </row>
    <row r="240"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BE240" s="86"/>
    </row>
    <row r="241"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BE241" s="86"/>
    </row>
    <row r="242"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BE242" s="86"/>
    </row>
    <row r="243"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BE243" s="86"/>
    </row>
    <row r="244"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BE244" s="86"/>
    </row>
    <row r="245"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BE245" s="86"/>
    </row>
    <row r="246"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BE246" s="86"/>
    </row>
    <row r="247"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BE247" s="86"/>
    </row>
    <row r="248"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BE248" s="86"/>
    </row>
    <row r="249"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BE249" s="86"/>
    </row>
    <row r="250"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BE250" s="86"/>
    </row>
    <row r="251"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BE251" s="86"/>
    </row>
    <row r="252"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BE252" s="86"/>
    </row>
    <row r="253"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BE253" s="86"/>
    </row>
    <row r="254"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BE254" s="86"/>
    </row>
    <row r="255"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BE255" s="86"/>
    </row>
    <row r="256"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BE256" s="86"/>
    </row>
    <row r="257"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BE257" s="86"/>
    </row>
    <row r="258"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BE258" s="86"/>
    </row>
    <row r="259"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BE259" s="86"/>
    </row>
    <row r="260"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BE260" s="86"/>
    </row>
    <row r="261"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BE261" s="86"/>
    </row>
    <row r="262"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BE262" s="86"/>
    </row>
    <row r="263"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BE263" s="86"/>
    </row>
    <row r="264"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BE264" s="86"/>
    </row>
    <row r="265"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BE265" s="86"/>
    </row>
    <row r="266"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BE266" s="86"/>
    </row>
    <row r="267"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BE267" s="86"/>
    </row>
    <row r="268"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BE268" s="86"/>
    </row>
    <row r="269"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BE269" s="86"/>
    </row>
    <row r="270"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BE270" s="86"/>
    </row>
    <row r="271"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BE271" s="86"/>
    </row>
    <row r="272"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BE272" s="86"/>
    </row>
    <row r="273"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BE273" s="86"/>
    </row>
    <row r="274"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BE274" s="86"/>
    </row>
    <row r="275"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BE275" s="86"/>
    </row>
    <row r="276"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BE276" s="86"/>
    </row>
    <row r="277"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BE277" s="86"/>
    </row>
    <row r="278"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BE278" s="86"/>
    </row>
    <row r="279"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BE279" s="86"/>
    </row>
    <row r="280"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BE280" s="86"/>
    </row>
    <row r="281"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BE281" s="86"/>
    </row>
    <row r="282"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BE282" s="86"/>
    </row>
    <row r="283"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BE283" s="86"/>
    </row>
    <row r="284"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BE284" s="86"/>
    </row>
    <row r="285"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BE285" s="86"/>
    </row>
    <row r="286"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BE286" s="86"/>
    </row>
    <row r="287"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BE287" s="86"/>
    </row>
    <row r="288"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BE288" s="86"/>
    </row>
    <row r="289"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BE289" s="86"/>
    </row>
    <row r="290"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BE290" s="86"/>
    </row>
    <row r="291"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BE291" s="86"/>
    </row>
    <row r="292"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BE292" s="86"/>
    </row>
    <row r="293"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  <c r="AR293" s="86"/>
      <c r="BE293" s="86"/>
    </row>
    <row r="294"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BE294" s="86"/>
    </row>
    <row r="295"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BE295" s="86"/>
    </row>
    <row r="296"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  <c r="AR296" s="86"/>
      <c r="BE296" s="86"/>
    </row>
    <row r="297"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  <c r="AR297" s="86"/>
      <c r="BE297" s="86"/>
    </row>
    <row r="298"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  <c r="AR298" s="86"/>
      <c r="BE298" s="86"/>
    </row>
    <row r="299"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BE299" s="86"/>
    </row>
    <row r="300"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  <c r="AR300" s="86"/>
      <c r="BE300" s="86"/>
    </row>
    <row r="301"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  <c r="AR301" s="86"/>
      <c r="BE301" s="86"/>
    </row>
    <row r="302"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  <c r="AR302" s="86"/>
      <c r="BE302" s="86"/>
    </row>
    <row r="303"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BE303" s="86"/>
    </row>
    <row r="304"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BE304" s="86"/>
    </row>
    <row r="305"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  <c r="AR305" s="86"/>
      <c r="BE305" s="86"/>
    </row>
    <row r="306"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  <c r="AR306" s="86"/>
      <c r="BE306" s="86"/>
    </row>
    <row r="307"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BE307" s="86"/>
    </row>
    <row r="308"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  <c r="AR308" s="86"/>
      <c r="BE308" s="86"/>
    </row>
    <row r="309"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  <c r="AR309" s="86"/>
      <c r="BE309" s="86"/>
    </row>
    <row r="310"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BE310" s="86"/>
    </row>
    <row r="311"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BE311" s="86"/>
    </row>
    <row r="312"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  <c r="AR312" s="86"/>
      <c r="BE312" s="86"/>
    </row>
    <row r="313"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  <c r="AR313" s="86"/>
      <c r="BE313" s="86"/>
    </row>
    <row r="314"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  <c r="AR314" s="86"/>
      <c r="BE314" s="86"/>
    </row>
    <row r="315"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BE315" s="86"/>
    </row>
    <row r="316"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  <c r="AR316" s="86"/>
      <c r="BE316" s="86"/>
    </row>
    <row r="317"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  <c r="AR317" s="86"/>
      <c r="BE317" s="86"/>
    </row>
    <row r="318"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86"/>
      <c r="BE318" s="86"/>
    </row>
    <row r="319"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BE319" s="86"/>
    </row>
    <row r="320"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  <c r="AR320" s="86"/>
      <c r="BE320" s="86"/>
    </row>
    <row r="321"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  <c r="AR321" s="86"/>
      <c r="BE321" s="86"/>
    </row>
    <row r="322"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  <c r="AR322" s="86"/>
      <c r="BE322" s="86"/>
    </row>
    <row r="323"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BE323" s="86"/>
    </row>
    <row r="324"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  <c r="AR324" s="86"/>
      <c r="BE324" s="86"/>
    </row>
    <row r="325"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BE325" s="86"/>
    </row>
    <row r="326"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BE326" s="86"/>
    </row>
    <row r="327"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BE327" s="86"/>
    </row>
    <row r="328"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  <c r="AR328" s="86"/>
      <c r="BE328" s="86"/>
    </row>
    <row r="329"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  <c r="AR329" s="86"/>
      <c r="BE329" s="86"/>
    </row>
    <row r="330"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BE330" s="86"/>
    </row>
    <row r="331"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BE331" s="86"/>
    </row>
    <row r="332"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  <c r="AR332" s="86"/>
      <c r="BE332" s="86"/>
    </row>
    <row r="333"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BE333" s="86"/>
    </row>
    <row r="334"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BE334" s="86"/>
    </row>
    <row r="335"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BE335" s="86"/>
    </row>
    <row r="336"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  <c r="AR336" s="86"/>
      <c r="BE336" s="86"/>
    </row>
    <row r="337"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  <c r="AR337" s="86"/>
      <c r="BE337" s="86"/>
    </row>
    <row r="338"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  <c r="AR338" s="86"/>
      <c r="BE338" s="86"/>
    </row>
    <row r="339"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BE339" s="86"/>
    </row>
    <row r="340"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  <c r="AR340" s="86"/>
      <c r="BE340" s="86"/>
    </row>
    <row r="341"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  <c r="AR341" s="86"/>
      <c r="BE341" s="86"/>
    </row>
    <row r="342"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  <c r="AR342" s="86"/>
      <c r="BE342" s="86"/>
    </row>
    <row r="343"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BE343" s="86"/>
    </row>
    <row r="344"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  <c r="AR344" s="86"/>
      <c r="BE344" s="86"/>
    </row>
    <row r="345"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BE345" s="86"/>
    </row>
    <row r="346"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  <c r="AR346" s="86"/>
      <c r="BE346" s="86"/>
    </row>
    <row r="347"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BE347" s="86"/>
    </row>
    <row r="348"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  <c r="AR348" s="86"/>
      <c r="BE348" s="86"/>
    </row>
    <row r="349"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  <c r="AR349" s="86"/>
      <c r="BE349" s="86"/>
    </row>
    <row r="350"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  <c r="AR350" s="86"/>
      <c r="BE350" s="86"/>
    </row>
    <row r="351"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BE351" s="86"/>
    </row>
    <row r="352"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  <c r="AR352" s="86"/>
      <c r="BE352" s="86"/>
    </row>
    <row r="353"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  <c r="AR353" s="86"/>
      <c r="BE353" s="86"/>
    </row>
    <row r="354"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  <c r="AR354" s="86"/>
      <c r="BE354" s="86"/>
    </row>
    <row r="355"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BE355" s="86"/>
    </row>
    <row r="356"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BE356" s="86"/>
    </row>
    <row r="357"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BE357" s="86"/>
    </row>
    <row r="358"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  <c r="AR358" s="86"/>
      <c r="BE358" s="86"/>
    </row>
    <row r="359"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BE359" s="86"/>
    </row>
    <row r="360"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BE360" s="86"/>
    </row>
    <row r="361"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  <c r="AR361" s="86"/>
      <c r="BE361" s="86"/>
    </row>
    <row r="362"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  <c r="AR362" s="86"/>
      <c r="BE362" s="86"/>
    </row>
    <row r="363"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BE363" s="86"/>
    </row>
    <row r="364"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  <c r="AR364" s="86"/>
      <c r="BE364" s="86"/>
    </row>
    <row r="365"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6"/>
      <c r="BE365" s="86"/>
    </row>
    <row r="366"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BE366" s="86"/>
    </row>
    <row r="367"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BE367" s="86"/>
    </row>
    <row r="368"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6"/>
      <c r="BE368" s="86"/>
    </row>
    <row r="369"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6"/>
      <c r="BE369" s="86"/>
    </row>
    <row r="370"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6"/>
      <c r="BE370" s="86"/>
    </row>
    <row r="371"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BE371" s="86"/>
    </row>
    <row r="372"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BE372" s="86"/>
    </row>
    <row r="373"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BE373" s="86"/>
    </row>
    <row r="374"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  <c r="AR374" s="86"/>
      <c r="BE374" s="86"/>
    </row>
    <row r="375"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BE375" s="86"/>
    </row>
    <row r="376"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  <c r="AR376" s="86"/>
      <c r="BE376" s="86"/>
    </row>
    <row r="377"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  <c r="AR377" s="86"/>
      <c r="BE377" s="86"/>
    </row>
    <row r="378"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  <c r="AR378" s="86"/>
      <c r="BE378" s="86"/>
    </row>
    <row r="379"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BE379" s="86"/>
    </row>
    <row r="380"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  <c r="AR380" s="86"/>
      <c r="BE380" s="86"/>
    </row>
    <row r="381"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BE381" s="86"/>
    </row>
    <row r="382"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BE382" s="86"/>
    </row>
    <row r="383"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BE383" s="86"/>
    </row>
    <row r="384"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BE384" s="86"/>
    </row>
    <row r="385"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BE385" s="86"/>
    </row>
    <row r="386"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BE386" s="86"/>
    </row>
    <row r="387"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BE387" s="86"/>
    </row>
    <row r="388"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  <c r="AR388" s="86"/>
      <c r="BE388" s="86"/>
    </row>
    <row r="389"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BE389" s="86"/>
    </row>
    <row r="390"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BE390" s="86"/>
    </row>
    <row r="391"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BE391" s="86"/>
    </row>
    <row r="392"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BE392" s="86"/>
    </row>
    <row r="393"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BE393" s="86"/>
    </row>
    <row r="394"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BE394" s="86"/>
    </row>
    <row r="395"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BE395" s="86"/>
    </row>
    <row r="396"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BE396" s="86"/>
    </row>
    <row r="397"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BE397" s="86"/>
    </row>
    <row r="398"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  <c r="AR398" s="86"/>
      <c r="BE398" s="86"/>
    </row>
    <row r="399"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BE399" s="86"/>
    </row>
    <row r="400"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BE400" s="86"/>
    </row>
    <row r="401"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BE401" s="86"/>
    </row>
    <row r="402"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BE402" s="86"/>
    </row>
    <row r="403"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BE403" s="86"/>
    </row>
    <row r="404"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BE404" s="86"/>
    </row>
    <row r="405"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BE405" s="86"/>
    </row>
    <row r="406"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  <c r="AR406" s="86"/>
      <c r="BE406" s="86"/>
    </row>
    <row r="407"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BE407" s="86"/>
    </row>
    <row r="408"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  <c r="AR408" s="86"/>
      <c r="BE408" s="86"/>
    </row>
    <row r="409"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  <c r="AR409" s="86"/>
      <c r="BE409" s="86"/>
    </row>
    <row r="410"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  <c r="AR410" s="86"/>
      <c r="BE410" s="86"/>
    </row>
    <row r="411"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BE411" s="86"/>
    </row>
    <row r="412"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  <c r="AR412" s="86"/>
      <c r="BE412" s="86"/>
    </row>
    <row r="413"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BE413" s="86"/>
    </row>
    <row r="414"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  <c r="AR414" s="86"/>
      <c r="BE414" s="86"/>
    </row>
    <row r="415"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BE415" s="86"/>
    </row>
    <row r="416"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  <c r="AR416" s="86"/>
      <c r="BE416" s="86"/>
    </row>
    <row r="417"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  <c r="AR417" s="86"/>
      <c r="BE417" s="86"/>
    </row>
    <row r="418"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  <c r="AR418" s="86"/>
      <c r="BE418" s="86"/>
    </row>
    <row r="419"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BE419" s="86"/>
    </row>
    <row r="420"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  <c r="AR420" s="86"/>
      <c r="BE420" s="86"/>
    </row>
    <row r="421"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BE421" s="86"/>
    </row>
    <row r="422"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  <c r="AR422" s="86"/>
      <c r="BE422" s="86"/>
    </row>
    <row r="423"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  <c r="AR423" s="86"/>
      <c r="BE423" s="86"/>
    </row>
    <row r="424"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  <c r="AQ424" s="86"/>
      <c r="AR424" s="86"/>
      <c r="BE424" s="86"/>
    </row>
    <row r="425"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  <c r="AQ425" s="86"/>
      <c r="AR425" s="86"/>
      <c r="BE425" s="86"/>
    </row>
    <row r="426"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  <c r="AR426" s="86"/>
      <c r="BE426" s="86"/>
    </row>
    <row r="427"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  <c r="AR427" s="86"/>
      <c r="BE427" s="86"/>
    </row>
    <row r="428"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  <c r="AQ428" s="86"/>
      <c r="AR428" s="86"/>
      <c r="BE428" s="86"/>
    </row>
    <row r="429"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  <c r="AQ429" s="86"/>
      <c r="AR429" s="86"/>
      <c r="BE429" s="86"/>
    </row>
    <row r="430"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  <c r="AQ430" s="86"/>
      <c r="AR430" s="86"/>
      <c r="BE430" s="86"/>
    </row>
    <row r="431"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BE431" s="86"/>
    </row>
    <row r="432"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  <c r="AQ432" s="86"/>
      <c r="AR432" s="86"/>
      <c r="BE432" s="86"/>
    </row>
    <row r="433"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  <c r="AQ433" s="86"/>
      <c r="AR433" s="86"/>
      <c r="BE433" s="86"/>
    </row>
    <row r="434"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  <c r="AR434" s="86"/>
      <c r="BE434" s="86"/>
    </row>
    <row r="435"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  <c r="AR435" s="86"/>
      <c r="BE435" s="86"/>
    </row>
    <row r="436"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  <c r="AQ436" s="86"/>
      <c r="AR436" s="86"/>
      <c r="BE436" s="86"/>
    </row>
    <row r="437"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  <c r="AQ437" s="86"/>
      <c r="AR437" s="86"/>
      <c r="BE437" s="86"/>
    </row>
    <row r="438"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  <c r="AQ438" s="86"/>
      <c r="AR438" s="86"/>
      <c r="BE438" s="86"/>
    </row>
    <row r="439"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  <c r="AR439" s="86"/>
      <c r="BE439" s="86"/>
    </row>
    <row r="440"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  <c r="AQ440" s="86"/>
      <c r="AR440" s="86"/>
      <c r="BE440" s="86"/>
    </row>
    <row r="441"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  <c r="AQ441" s="86"/>
      <c r="AR441" s="86"/>
      <c r="BE441" s="86"/>
    </row>
    <row r="442"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  <c r="AR442" s="86"/>
      <c r="BE442" s="86"/>
    </row>
    <row r="443"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BE443" s="86"/>
    </row>
    <row r="444"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  <c r="AR444" s="86"/>
      <c r="BE444" s="86"/>
    </row>
    <row r="445"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  <c r="AQ445" s="86"/>
      <c r="AR445" s="86"/>
      <c r="BE445" s="86"/>
    </row>
    <row r="446"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  <c r="AQ446" s="86"/>
      <c r="AR446" s="86"/>
      <c r="BE446" s="86"/>
    </row>
    <row r="447"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  <c r="AR447" s="86"/>
      <c r="BE447" s="86"/>
    </row>
    <row r="448"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  <c r="AQ448" s="86"/>
      <c r="AR448" s="86"/>
      <c r="BE448" s="86"/>
    </row>
    <row r="449"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  <c r="AQ449" s="86"/>
      <c r="AR449" s="86"/>
      <c r="BE449" s="86"/>
    </row>
    <row r="450"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  <c r="AR450" s="86"/>
      <c r="BE450" s="86"/>
    </row>
    <row r="451"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  <c r="AR451" s="86"/>
      <c r="BE451" s="86"/>
    </row>
    <row r="452"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  <c r="AQ452" s="86"/>
      <c r="AR452" s="86"/>
      <c r="BE452" s="86"/>
    </row>
    <row r="453"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  <c r="AQ453" s="86"/>
      <c r="AR453" s="86"/>
      <c r="BE453" s="86"/>
    </row>
    <row r="454"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  <c r="AR454" s="86"/>
      <c r="BE454" s="86"/>
    </row>
    <row r="455"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  <c r="AR455" s="86"/>
      <c r="BE455" s="86"/>
    </row>
    <row r="456"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  <c r="AR456" s="86"/>
      <c r="BE456" s="86"/>
    </row>
    <row r="457"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  <c r="AR457" s="86"/>
      <c r="BE457" s="86"/>
    </row>
    <row r="458"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  <c r="AQ458" s="86"/>
      <c r="AR458" s="86"/>
      <c r="BE458" s="86"/>
    </row>
    <row r="459"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BE459" s="86"/>
    </row>
    <row r="460"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  <c r="AR460" s="86"/>
      <c r="BE460" s="86"/>
    </row>
    <row r="461"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  <c r="AQ461" s="86"/>
      <c r="AR461" s="86"/>
      <c r="BE461" s="86"/>
    </row>
    <row r="462"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  <c r="AR462" s="86"/>
      <c r="BE462" s="86"/>
    </row>
    <row r="463"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  <c r="AR463" s="86"/>
      <c r="BE463" s="86"/>
    </row>
    <row r="464"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  <c r="AR464" s="86"/>
      <c r="BE464" s="86"/>
    </row>
    <row r="465"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  <c r="AR465" s="86"/>
      <c r="BE465" s="86"/>
    </row>
    <row r="466"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  <c r="AR466" s="86"/>
      <c r="BE466" s="86"/>
    </row>
    <row r="467"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BE467" s="86"/>
    </row>
    <row r="468"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  <c r="AQ468" s="86"/>
      <c r="AR468" s="86"/>
      <c r="BE468" s="86"/>
    </row>
    <row r="469"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  <c r="AQ469" s="86"/>
      <c r="AR469" s="86"/>
      <c r="BE469" s="86"/>
    </row>
    <row r="470"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  <c r="AQ470" s="86"/>
      <c r="AR470" s="86"/>
      <c r="BE470" s="86"/>
    </row>
    <row r="471"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  <c r="AR471" s="86"/>
      <c r="BE471" s="86"/>
    </row>
    <row r="472"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  <c r="AQ472" s="86"/>
      <c r="AR472" s="86"/>
      <c r="BE472" s="86"/>
    </row>
    <row r="473"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  <c r="AQ473" s="86"/>
      <c r="AR473" s="86"/>
      <c r="BE473" s="86"/>
    </row>
    <row r="474"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  <c r="AQ474" s="86"/>
      <c r="AR474" s="86"/>
      <c r="BE474" s="86"/>
    </row>
    <row r="475"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  <c r="AR475" s="86"/>
      <c r="BE475" s="86"/>
    </row>
    <row r="476"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  <c r="AR476" s="86"/>
      <c r="BE476" s="86"/>
    </row>
    <row r="477"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  <c r="AR477" s="86"/>
      <c r="BE477" s="86"/>
    </row>
    <row r="478"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  <c r="AR478" s="86"/>
      <c r="BE478" s="86"/>
    </row>
    <row r="479"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BE479" s="86"/>
    </row>
    <row r="480"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  <c r="AR480" s="86"/>
      <c r="BE480" s="86"/>
    </row>
    <row r="481"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  <c r="AQ481" s="86"/>
      <c r="AR481" s="86"/>
      <c r="BE481" s="86"/>
    </row>
    <row r="482"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  <c r="AQ482" s="86"/>
      <c r="AR482" s="86"/>
      <c r="BE482" s="86"/>
    </row>
    <row r="483"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  <c r="AR483" s="86"/>
      <c r="BE483" s="86"/>
    </row>
    <row r="484"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  <c r="AQ484" s="86"/>
      <c r="AR484" s="86"/>
      <c r="BE484" s="86"/>
    </row>
    <row r="485"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  <c r="AQ485" s="86"/>
      <c r="AR485" s="86"/>
      <c r="BE485" s="86"/>
    </row>
    <row r="486"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  <c r="AR486" s="86"/>
      <c r="BE486" s="86"/>
    </row>
    <row r="487"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  <c r="AR487" s="86"/>
      <c r="BE487" s="86"/>
    </row>
    <row r="488"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  <c r="AQ488" s="86"/>
      <c r="AR488" s="86"/>
      <c r="BE488" s="86"/>
    </row>
    <row r="489"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  <c r="AQ489" s="86"/>
      <c r="AR489" s="86"/>
      <c r="BE489" s="86"/>
    </row>
    <row r="490"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  <c r="AQ490" s="86"/>
      <c r="AR490" s="86"/>
      <c r="BE490" s="86"/>
    </row>
    <row r="491"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  <c r="AR491" s="86"/>
      <c r="BE491" s="86"/>
    </row>
    <row r="492"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  <c r="AQ492" s="86"/>
      <c r="AR492" s="86"/>
      <c r="BE492" s="86"/>
    </row>
    <row r="493"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  <c r="AQ493" s="86"/>
      <c r="AR493" s="86"/>
      <c r="BE493" s="86"/>
    </row>
    <row r="494"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  <c r="AQ494" s="86"/>
      <c r="AR494" s="86"/>
      <c r="BE494" s="86"/>
    </row>
    <row r="495"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  <c r="AR495" s="86"/>
      <c r="BE495" s="86"/>
    </row>
    <row r="496"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  <c r="AQ496" s="86"/>
      <c r="AR496" s="86"/>
      <c r="BE496" s="86"/>
    </row>
    <row r="497"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BE497" s="86"/>
    </row>
    <row r="498"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  <c r="AR498" s="86"/>
      <c r="BE498" s="86"/>
    </row>
    <row r="499"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  <c r="AR499" s="86"/>
      <c r="BE499" s="86"/>
    </row>
    <row r="500"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  <c r="AQ500" s="86"/>
      <c r="AR500" s="86"/>
      <c r="BE500" s="86"/>
    </row>
    <row r="501"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  <c r="AQ501" s="86"/>
      <c r="AR501" s="86"/>
      <c r="BE501" s="86"/>
    </row>
    <row r="502"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  <c r="AQ502" s="86"/>
      <c r="AR502" s="86"/>
      <c r="BE502" s="86"/>
    </row>
    <row r="503"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  <c r="AR503" s="86"/>
      <c r="BE503" s="86"/>
    </row>
    <row r="504"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  <c r="AQ504" s="86"/>
      <c r="AR504" s="86"/>
      <c r="BE504" s="86"/>
    </row>
    <row r="505"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  <c r="AR505" s="86"/>
      <c r="BE505" s="86"/>
    </row>
    <row r="506"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  <c r="AQ506" s="86"/>
      <c r="AR506" s="86"/>
      <c r="BE506" s="86"/>
    </row>
    <row r="507"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  <c r="AR507" s="86"/>
      <c r="BE507" s="86"/>
    </row>
    <row r="508"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  <c r="AQ508" s="86"/>
      <c r="AR508" s="86"/>
      <c r="BE508" s="86"/>
    </row>
    <row r="509"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  <c r="AQ509" s="86"/>
      <c r="AR509" s="86"/>
      <c r="BE509" s="86"/>
    </row>
    <row r="510"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  <c r="AQ510" s="86"/>
      <c r="AR510" s="86"/>
      <c r="BE510" s="86"/>
    </row>
    <row r="511"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BE511" s="86"/>
    </row>
    <row r="512"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  <c r="AQ512" s="86"/>
      <c r="AR512" s="86"/>
      <c r="BE512" s="86"/>
    </row>
    <row r="513"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  <c r="AQ513" s="86"/>
      <c r="AR513" s="86"/>
      <c r="BE513" s="86"/>
    </row>
    <row r="514"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  <c r="AQ514" s="86"/>
      <c r="AR514" s="86"/>
      <c r="BE514" s="86"/>
    </row>
    <row r="515"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  <c r="AR515" s="86"/>
      <c r="BE515" s="86"/>
    </row>
    <row r="516"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  <c r="AQ516" s="86"/>
      <c r="AR516" s="86"/>
      <c r="BE516" s="86"/>
    </row>
    <row r="517"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  <c r="AQ517" s="86"/>
      <c r="AR517" s="86"/>
      <c r="BE517" s="86"/>
    </row>
    <row r="518"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  <c r="AQ518" s="86"/>
      <c r="AR518" s="86"/>
      <c r="BE518" s="86"/>
    </row>
    <row r="519"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  <c r="AR519" s="86"/>
      <c r="BE519" s="86"/>
    </row>
    <row r="520"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  <c r="AQ520" s="86"/>
      <c r="AR520" s="86"/>
      <c r="BE520" s="86"/>
    </row>
    <row r="521"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  <c r="AR521" s="86"/>
      <c r="BE521" s="86"/>
    </row>
    <row r="522"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  <c r="AR522" s="86"/>
      <c r="BE522" s="86"/>
    </row>
    <row r="523"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BE523" s="86"/>
    </row>
    <row r="524"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  <c r="AR524" s="86"/>
      <c r="BE524" s="86"/>
    </row>
    <row r="525"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BE525" s="86"/>
    </row>
    <row r="526"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BE526" s="86"/>
    </row>
    <row r="527"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BE527" s="86"/>
    </row>
    <row r="528"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BE528" s="86"/>
    </row>
    <row r="529"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BE529" s="86"/>
    </row>
    <row r="530"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BE530" s="86"/>
    </row>
    <row r="531"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BE531" s="86"/>
    </row>
    <row r="532"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  <c r="AR532" s="86"/>
      <c r="BE532" s="86"/>
    </row>
    <row r="533"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BE533" s="86"/>
    </row>
    <row r="534"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BE534" s="86"/>
    </row>
    <row r="535"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BE535" s="86"/>
    </row>
    <row r="536"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BE536" s="86"/>
    </row>
    <row r="537"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BE537" s="86"/>
    </row>
    <row r="538"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  <c r="AR538" s="86"/>
      <c r="BE538" s="86"/>
    </row>
    <row r="539"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BE539" s="86"/>
    </row>
    <row r="540"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BE540" s="86"/>
    </row>
    <row r="541"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  <c r="AR541" s="86"/>
      <c r="BE541" s="86"/>
    </row>
    <row r="542"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  <c r="AR542" s="86"/>
      <c r="BE542" s="86"/>
    </row>
    <row r="543"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BE543" s="86"/>
    </row>
    <row r="544"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  <c r="AR544" s="86"/>
      <c r="BE544" s="86"/>
    </row>
    <row r="545"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BE545" s="86"/>
    </row>
    <row r="546"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BE546" s="86"/>
    </row>
    <row r="547"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BE547" s="86"/>
    </row>
    <row r="548"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  <c r="AR548" s="86"/>
      <c r="BE548" s="86"/>
    </row>
    <row r="549"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BE549" s="86"/>
    </row>
    <row r="550"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  <c r="AR550" s="86"/>
      <c r="BE550" s="86"/>
    </row>
    <row r="551"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BE551" s="86"/>
    </row>
    <row r="552"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  <c r="AR552" s="86"/>
      <c r="BE552" s="86"/>
    </row>
    <row r="553"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BE553" s="86"/>
    </row>
    <row r="554"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  <c r="AR554" s="86"/>
      <c r="BE554" s="86"/>
    </row>
    <row r="555"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BE555" s="86"/>
    </row>
    <row r="556"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  <c r="AR556" s="86"/>
      <c r="BE556" s="86"/>
    </row>
    <row r="557"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  <c r="AR557" s="86"/>
      <c r="BE557" s="86"/>
    </row>
    <row r="558"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BE558" s="86"/>
    </row>
    <row r="559"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BE559" s="86"/>
    </row>
    <row r="560"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  <c r="AR560" s="86"/>
      <c r="BE560" s="86"/>
    </row>
    <row r="561"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BE561" s="86"/>
    </row>
    <row r="562"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BE562" s="86"/>
    </row>
    <row r="563"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BE563" s="86"/>
    </row>
    <row r="564"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  <c r="AR564" s="86"/>
      <c r="BE564" s="86"/>
    </row>
    <row r="565"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BE565" s="86"/>
    </row>
    <row r="566"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  <c r="AR566" s="86"/>
      <c r="BE566" s="86"/>
    </row>
    <row r="567"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BE567" s="86"/>
    </row>
    <row r="568"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  <c r="AR568" s="86"/>
      <c r="BE568" s="86"/>
    </row>
    <row r="569"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  <c r="AQ569" s="86"/>
      <c r="AR569" s="86"/>
      <c r="BE569" s="86"/>
    </row>
    <row r="570"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  <c r="AQ570" s="86"/>
      <c r="AR570" s="86"/>
      <c r="BE570" s="86"/>
    </row>
    <row r="571"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  <c r="AR571" s="86"/>
      <c r="BE571" s="86"/>
    </row>
    <row r="572"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  <c r="AQ572" s="86"/>
      <c r="AR572" s="86"/>
      <c r="BE572" s="86"/>
    </row>
    <row r="573"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BE573" s="86"/>
    </row>
    <row r="574"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  <c r="AQ574" s="86"/>
      <c r="AR574" s="86"/>
      <c r="BE574" s="86"/>
    </row>
    <row r="575"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BE575" s="86"/>
    </row>
    <row r="576"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  <c r="AQ576" s="86"/>
      <c r="AR576" s="86"/>
      <c r="BE576" s="86"/>
    </row>
    <row r="577"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  <c r="AQ577" s="86"/>
      <c r="AR577" s="86"/>
      <c r="BE577" s="86"/>
    </row>
    <row r="578"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  <c r="AQ578" s="86"/>
      <c r="AR578" s="86"/>
      <c r="BE578" s="86"/>
    </row>
    <row r="579"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  <c r="AR579" s="86"/>
      <c r="BE579" s="86"/>
    </row>
    <row r="580"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  <c r="AQ580" s="86"/>
      <c r="AR580" s="86"/>
      <c r="BE580" s="86"/>
    </row>
    <row r="581"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  <c r="AQ581" s="86"/>
      <c r="AR581" s="86"/>
      <c r="BE581" s="86"/>
    </row>
    <row r="582"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  <c r="AQ582" s="86"/>
      <c r="AR582" s="86"/>
      <c r="BE582" s="86"/>
    </row>
    <row r="583"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  <c r="AR583" s="86"/>
      <c r="BE583" s="86"/>
    </row>
    <row r="584"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  <c r="AQ584" s="86"/>
      <c r="AR584" s="86"/>
      <c r="BE584" s="86"/>
    </row>
    <row r="585"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  <c r="AQ585" s="86"/>
      <c r="AR585" s="86"/>
      <c r="BE585" s="86"/>
    </row>
    <row r="586"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  <c r="AR586" s="86"/>
      <c r="BE586" s="86"/>
    </row>
    <row r="587"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BE587" s="86"/>
    </row>
    <row r="588"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  <c r="AR588" s="86"/>
      <c r="BE588" s="86"/>
    </row>
    <row r="589"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  <c r="AQ589" s="86"/>
      <c r="AR589" s="86"/>
      <c r="BE589" s="86"/>
    </row>
    <row r="590"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  <c r="AR590" s="86"/>
      <c r="BE590" s="86"/>
    </row>
    <row r="591"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BE591" s="86"/>
    </row>
    <row r="592"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  <c r="AR592" s="86"/>
      <c r="BE592" s="86"/>
    </row>
    <row r="593"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  <c r="AR593" s="86"/>
      <c r="BE593" s="86"/>
    </row>
    <row r="594"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  <c r="AQ594" s="86"/>
      <c r="AR594" s="86"/>
      <c r="BE594" s="86"/>
    </row>
    <row r="595"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BE595" s="86"/>
    </row>
    <row r="596"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  <c r="AR596" s="86"/>
      <c r="BE596" s="86"/>
    </row>
    <row r="597"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  <c r="AR597" s="86"/>
      <c r="BE597" s="86"/>
    </row>
    <row r="598"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  <c r="AR598" s="86"/>
      <c r="BE598" s="86"/>
    </row>
    <row r="599"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BE599" s="86"/>
    </row>
    <row r="600"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  <c r="AR600" s="86"/>
      <c r="BE600" s="86"/>
    </row>
    <row r="601"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  <c r="AR601" s="86"/>
      <c r="BE601" s="86"/>
    </row>
    <row r="602"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BE602" s="86"/>
    </row>
    <row r="603"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BE603" s="86"/>
    </row>
    <row r="604"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BE604" s="86"/>
    </row>
    <row r="605"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  <c r="AR605" s="86"/>
      <c r="BE605" s="86"/>
    </row>
    <row r="606"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BE606" s="86"/>
    </row>
    <row r="607"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BE607" s="86"/>
    </row>
    <row r="608"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  <c r="AR608" s="86"/>
      <c r="BE608" s="86"/>
    </row>
    <row r="609"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  <c r="AR609" s="86"/>
      <c r="BE609" s="86"/>
    </row>
    <row r="610"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  <c r="AQ610" s="86"/>
      <c r="AR610" s="86"/>
      <c r="BE610" s="86"/>
    </row>
    <row r="611"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BE611" s="86"/>
    </row>
    <row r="612"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  <c r="AR612" s="86"/>
      <c r="BE612" s="86"/>
    </row>
    <row r="613"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  <c r="AQ613" s="86"/>
      <c r="AR613" s="86"/>
      <c r="BE613" s="86"/>
    </row>
    <row r="614"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  <c r="AR614" s="86"/>
      <c r="BE614" s="86"/>
    </row>
    <row r="615"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BE615" s="86"/>
    </row>
    <row r="616"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  <c r="AQ616" s="86"/>
      <c r="AR616" s="86"/>
      <c r="BE616" s="86"/>
    </row>
    <row r="617"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  <c r="AR617" s="86"/>
      <c r="BE617" s="86"/>
    </row>
    <row r="618"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BE618" s="86"/>
    </row>
    <row r="619"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BE619" s="86"/>
    </row>
    <row r="620"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  <c r="AR620" s="86"/>
      <c r="BE620" s="86"/>
    </row>
    <row r="621"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BE621" s="86"/>
    </row>
    <row r="622"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  <c r="AR622" s="86"/>
      <c r="BE622" s="86"/>
    </row>
    <row r="623"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BE623" s="86"/>
    </row>
    <row r="624"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  <c r="AQ624" s="86"/>
      <c r="AR624" s="86"/>
      <c r="BE624" s="86"/>
    </row>
    <row r="625"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  <c r="AQ625" s="86"/>
      <c r="AR625" s="86"/>
      <c r="BE625" s="86"/>
    </row>
    <row r="626"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  <c r="AQ626" s="86"/>
      <c r="AR626" s="86"/>
      <c r="BE626" s="86"/>
    </row>
    <row r="627"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  <c r="AR627" s="86"/>
      <c r="BE627" s="86"/>
    </row>
    <row r="628"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  <c r="AQ628" s="86"/>
      <c r="AR628" s="86"/>
      <c r="BE628" s="86"/>
    </row>
    <row r="629"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  <c r="AQ629" s="86"/>
      <c r="AR629" s="86"/>
      <c r="BE629" s="86"/>
    </row>
    <row r="630"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  <c r="AQ630" s="86"/>
      <c r="AR630" s="86"/>
      <c r="BE630" s="86"/>
    </row>
    <row r="631"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  <c r="AR631" s="86"/>
      <c r="BE631" s="86"/>
    </row>
    <row r="632"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  <c r="AQ632" s="86"/>
      <c r="AR632" s="86"/>
      <c r="BE632" s="86"/>
    </row>
    <row r="633"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  <c r="AQ633" s="86"/>
      <c r="AR633" s="86"/>
      <c r="BE633" s="86"/>
    </row>
    <row r="634"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  <c r="AQ634" s="86"/>
      <c r="AR634" s="86"/>
      <c r="BE634" s="86"/>
    </row>
    <row r="635"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  <c r="AQ635" s="86"/>
      <c r="AR635" s="86"/>
      <c r="BE635" s="86"/>
    </row>
    <row r="636"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  <c r="AQ636" s="86"/>
      <c r="AR636" s="86"/>
      <c r="BE636" s="86"/>
    </row>
    <row r="637"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  <c r="AQ637" s="86"/>
      <c r="AR637" s="86"/>
      <c r="BE637" s="86"/>
    </row>
    <row r="638"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  <c r="AQ638" s="86"/>
      <c r="AR638" s="86"/>
      <c r="BE638" s="86"/>
    </row>
    <row r="639"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  <c r="AQ639" s="86"/>
      <c r="AR639" s="86"/>
      <c r="BE639" s="86"/>
    </row>
    <row r="640"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  <c r="AQ640" s="86"/>
      <c r="AR640" s="86"/>
      <c r="BE640" s="86"/>
    </row>
    <row r="641"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  <c r="AQ641" s="86"/>
      <c r="AR641" s="86"/>
      <c r="BE641" s="86"/>
    </row>
    <row r="642"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  <c r="AQ642" s="86"/>
      <c r="AR642" s="86"/>
      <c r="BE642" s="86"/>
    </row>
    <row r="643"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  <c r="AQ643" s="86"/>
      <c r="AR643" s="86"/>
      <c r="BE643" s="86"/>
    </row>
    <row r="644"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  <c r="AQ644" s="86"/>
      <c r="AR644" s="86"/>
      <c r="BE644" s="86"/>
    </row>
    <row r="645"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BE645" s="86"/>
    </row>
    <row r="646"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  <c r="AR646" s="86"/>
      <c r="BE646" s="86"/>
    </row>
    <row r="647"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  <c r="AQ647" s="86"/>
      <c r="AR647" s="86"/>
      <c r="BE647" s="86"/>
    </row>
    <row r="648"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  <c r="AQ648" s="86"/>
      <c r="AR648" s="86"/>
      <c r="BE648" s="86"/>
    </row>
    <row r="649"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BE649" s="86"/>
    </row>
    <row r="650"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  <c r="AQ650" s="86"/>
      <c r="AR650" s="86"/>
      <c r="BE650" s="86"/>
    </row>
    <row r="651"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  <c r="AQ651" s="86"/>
      <c r="AR651" s="86"/>
      <c r="BE651" s="86"/>
    </row>
    <row r="652"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  <c r="AQ652" s="86"/>
      <c r="AR652" s="86"/>
      <c r="BE652" s="86"/>
    </row>
    <row r="653"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  <c r="AQ653" s="86"/>
      <c r="AR653" s="86"/>
      <c r="BE653" s="86"/>
    </row>
    <row r="654"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  <c r="AQ654" s="86"/>
      <c r="AR654" s="86"/>
      <c r="BE654" s="86"/>
    </row>
    <row r="655"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  <c r="AQ655" s="86"/>
      <c r="AR655" s="86"/>
      <c r="BE655" s="86"/>
    </row>
    <row r="656"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  <c r="AQ656" s="86"/>
      <c r="AR656" s="86"/>
      <c r="BE656" s="86"/>
    </row>
    <row r="657"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  <c r="AQ657" s="86"/>
      <c r="AR657" s="86"/>
      <c r="BE657" s="86"/>
    </row>
    <row r="658"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  <c r="AQ658" s="86"/>
      <c r="AR658" s="86"/>
      <c r="BE658" s="86"/>
    </row>
    <row r="659"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  <c r="AQ659" s="86"/>
      <c r="AR659" s="86"/>
      <c r="BE659" s="86"/>
    </row>
    <row r="660"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  <c r="AQ660" s="86"/>
      <c r="AR660" s="86"/>
      <c r="BE660" s="86"/>
    </row>
    <row r="661"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  <c r="AQ661" s="86"/>
      <c r="AR661" s="86"/>
      <c r="BE661" s="86"/>
    </row>
    <row r="662"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  <c r="AQ662" s="86"/>
      <c r="AR662" s="86"/>
      <c r="BE662" s="86"/>
    </row>
    <row r="663"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  <c r="AQ663" s="86"/>
      <c r="AR663" s="86"/>
      <c r="BE663" s="86"/>
    </row>
    <row r="664"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  <c r="AQ664" s="86"/>
      <c r="AR664" s="86"/>
      <c r="BE664" s="86"/>
    </row>
    <row r="665"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  <c r="AQ665" s="86"/>
      <c r="AR665" s="86"/>
      <c r="BE665" s="86"/>
    </row>
    <row r="666"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  <c r="AQ666" s="86"/>
      <c r="AR666" s="86"/>
      <c r="BE666" s="86"/>
    </row>
    <row r="667"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  <c r="AQ667" s="86"/>
      <c r="AR667" s="86"/>
      <c r="BE667" s="86"/>
    </row>
    <row r="668"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  <c r="AQ668" s="86"/>
      <c r="AR668" s="86"/>
      <c r="BE668" s="86"/>
    </row>
    <row r="669"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  <c r="AQ669" s="86"/>
      <c r="AR669" s="86"/>
      <c r="BE669" s="86"/>
    </row>
    <row r="670"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  <c r="AQ670" s="86"/>
      <c r="AR670" s="86"/>
      <c r="BE670" s="86"/>
    </row>
    <row r="671"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  <c r="AQ671" s="86"/>
      <c r="AR671" s="86"/>
      <c r="BE671" s="86"/>
    </row>
    <row r="672"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  <c r="AQ672" s="86"/>
      <c r="AR672" s="86"/>
      <c r="BE672" s="86"/>
    </row>
    <row r="673"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  <c r="AQ673" s="86"/>
      <c r="AR673" s="86"/>
      <c r="BE673" s="86"/>
    </row>
    <row r="674"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  <c r="AQ674" s="86"/>
      <c r="AR674" s="86"/>
      <c r="BE674" s="86"/>
    </row>
    <row r="675"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  <c r="AQ675" s="86"/>
      <c r="AR675" s="86"/>
      <c r="BE675" s="86"/>
    </row>
    <row r="676"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  <c r="AQ676" s="86"/>
      <c r="AR676" s="86"/>
      <c r="BE676" s="86"/>
    </row>
    <row r="677"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  <c r="AQ677" s="86"/>
      <c r="AR677" s="86"/>
      <c r="BE677" s="86"/>
    </row>
    <row r="678"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  <c r="AQ678" s="86"/>
      <c r="AR678" s="86"/>
      <c r="BE678" s="86"/>
    </row>
    <row r="679"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  <c r="AQ679" s="86"/>
      <c r="AR679" s="86"/>
      <c r="BE679" s="86"/>
    </row>
    <row r="680"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  <c r="AQ680" s="86"/>
      <c r="AR680" s="86"/>
      <c r="BE680" s="86"/>
    </row>
    <row r="681"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  <c r="AQ681" s="86"/>
      <c r="AR681" s="86"/>
      <c r="BE681" s="86"/>
    </row>
    <row r="682"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  <c r="AQ682" s="86"/>
      <c r="AR682" s="86"/>
      <c r="BE682" s="86"/>
    </row>
    <row r="683"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6"/>
      <c r="AO683" s="86"/>
      <c r="AP683" s="86"/>
      <c r="AQ683" s="86"/>
      <c r="AR683" s="86"/>
      <c r="BE683" s="86"/>
    </row>
    <row r="684"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6"/>
      <c r="AO684" s="86"/>
      <c r="AP684" s="86"/>
      <c r="AQ684" s="86"/>
      <c r="AR684" s="86"/>
      <c r="BE684" s="86"/>
    </row>
    <row r="685"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6"/>
      <c r="AO685" s="86"/>
      <c r="AP685" s="86"/>
      <c r="AQ685" s="86"/>
      <c r="AR685" s="86"/>
      <c r="BE685" s="86"/>
    </row>
    <row r="686"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6"/>
      <c r="AO686" s="86"/>
      <c r="AP686" s="86"/>
      <c r="AQ686" s="86"/>
      <c r="AR686" s="86"/>
      <c r="BE686" s="86"/>
    </row>
    <row r="687"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BE687" s="86"/>
    </row>
    <row r="688"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/>
      <c r="AO688" s="86"/>
      <c r="AP688" s="86"/>
      <c r="AQ688" s="86"/>
      <c r="AR688" s="86"/>
      <c r="BE688" s="86"/>
    </row>
    <row r="689"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/>
      <c r="AO689" s="86"/>
      <c r="AP689" s="86"/>
      <c r="AQ689" s="86"/>
      <c r="AR689" s="86"/>
      <c r="BE689" s="86"/>
    </row>
    <row r="690"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/>
      <c r="AO690" s="86"/>
      <c r="AP690" s="86"/>
      <c r="AQ690" s="86"/>
      <c r="AR690" s="86"/>
      <c r="BE690" s="86"/>
    </row>
    <row r="691"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/>
      <c r="AO691" s="86"/>
      <c r="AP691" s="86"/>
      <c r="AQ691" s="86"/>
      <c r="AR691" s="86"/>
      <c r="BE691" s="86"/>
    </row>
    <row r="692"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/>
      <c r="AO692" s="86"/>
      <c r="AP692" s="86"/>
      <c r="AQ692" s="86"/>
      <c r="AR692" s="86"/>
      <c r="BE692" s="86"/>
    </row>
    <row r="693"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/>
      <c r="AO693" s="86"/>
      <c r="AP693" s="86"/>
      <c r="AQ693" s="86"/>
      <c r="AR693" s="86"/>
      <c r="BE693" s="86"/>
    </row>
    <row r="694"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/>
      <c r="AO694" s="86"/>
      <c r="AP694" s="86"/>
      <c r="AQ694" s="86"/>
      <c r="AR694" s="86"/>
      <c r="BE694" s="86"/>
    </row>
    <row r="695"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/>
      <c r="AO695" s="86"/>
      <c r="AP695" s="86"/>
      <c r="AQ695" s="86"/>
      <c r="AR695" s="86"/>
      <c r="BE695" s="86"/>
    </row>
    <row r="696"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/>
      <c r="AO696" s="86"/>
      <c r="AP696" s="86"/>
      <c r="AQ696" s="86"/>
      <c r="AR696" s="86"/>
      <c r="BE696" s="86"/>
    </row>
    <row r="697"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/>
      <c r="AO697" s="86"/>
      <c r="AP697" s="86"/>
      <c r="AQ697" s="86"/>
      <c r="AR697" s="86"/>
      <c r="BE697" s="86"/>
    </row>
    <row r="698"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/>
      <c r="AO698" s="86"/>
      <c r="AP698" s="86"/>
      <c r="AQ698" s="86"/>
      <c r="AR698" s="86"/>
      <c r="BE698" s="86"/>
    </row>
    <row r="699"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/>
      <c r="AO699" s="86"/>
      <c r="AP699" s="86"/>
      <c r="AQ699" s="86"/>
      <c r="AR699" s="86"/>
      <c r="BE699" s="86"/>
    </row>
    <row r="700"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/>
      <c r="AO700" s="86"/>
      <c r="AP700" s="86"/>
      <c r="AQ700" s="86"/>
      <c r="AR700" s="86"/>
      <c r="BE700" s="86"/>
    </row>
    <row r="701"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/>
      <c r="AO701" s="86"/>
      <c r="AP701" s="86"/>
      <c r="AQ701" s="86"/>
      <c r="AR701" s="86"/>
      <c r="BE701" s="86"/>
    </row>
    <row r="702"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/>
      <c r="AO702" s="86"/>
      <c r="AP702" s="86"/>
      <c r="AQ702" s="86"/>
      <c r="AR702" s="86"/>
      <c r="BE702" s="86"/>
    </row>
    <row r="703"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/>
      <c r="AO703" s="86"/>
      <c r="AP703" s="86"/>
      <c r="AQ703" s="86"/>
      <c r="AR703" s="86"/>
      <c r="BE703" s="86"/>
    </row>
    <row r="704"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/>
      <c r="AO704" s="86"/>
      <c r="AP704" s="86"/>
      <c r="AQ704" s="86"/>
      <c r="AR704" s="86"/>
      <c r="BE704" s="86"/>
    </row>
    <row r="705"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/>
      <c r="AO705" s="86"/>
      <c r="AP705" s="86"/>
      <c r="AQ705" s="86"/>
      <c r="AR705" s="86"/>
      <c r="BE705" s="86"/>
    </row>
    <row r="706"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/>
      <c r="AO706" s="86"/>
      <c r="AP706" s="86"/>
      <c r="AQ706" s="86"/>
      <c r="AR706" s="86"/>
      <c r="BE706" s="86"/>
    </row>
    <row r="707"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/>
      <c r="AO707" s="86"/>
      <c r="AP707" s="86"/>
      <c r="AQ707" s="86"/>
      <c r="AR707" s="86"/>
      <c r="BE707" s="86"/>
    </row>
    <row r="708"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/>
      <c r="AO708" s="86"/>
      <c r="AP708" s="86"/>
      <c r="AQ708" s="86"/>
      <c r="AR708" s="86"/>
      <c r="BE708" s="86"/>
    </row>
    <row r="709"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/>
      <c r="AO709" s="86"/>
      <c r="AP709" s="86"/>
      <c r="AQ709" s="86"/>
      <c r="AR709" s="86"/>
      <c r="BE709" s="86"/>
    </row>
    <row r="710"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/>
      <c r="AO710" s="86"/>
      <c r="AP710" s="86"/>
      <c r="AQ710" s="86"/>
      <c r="AR710" s="86"/>
      <c r="BE710" s="86"/>
    </row>
    <row r="711"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/>
      <c r="AO711" s="86"/>
      <c r="AP711" s="86"/>
      <c r="AQ711" s="86"/>
      <c r="AR711" s="86"/>
      <c r="BE711" s="86"/>
    </row>
    <row r="712"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/>
      <c r="AO712" s="86"/>
      <c r="AP712" s="86"/>
      <c r="AQ712" s="86"/>
      <c r="AR712" s="86"/>
      <c r="BE712" s="86"/>
    </row>
    <row r="713"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/>
      <c r="AO713" s="86"/>
      <c r="AP713" s="86"/>
      <c r="AQ713" s="86"/>
      <c r="AR713" s="86"/>
      <c r="BE713" s="86"/>
    </row>
    <row r="714"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/>
      <c r="AO714" s="86"/>
      <c r="AP714" s="86"/>
      <c r="AQ714" s="86"/>
      <c r="AR714" s="86"/>
      <c r="BE714" s="86"/>
    </row>
    <row r="715"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/>
      <c r="AO715" s="86"/>
      <c r="AP715" s="86"/>
      <c r="AQ715" s="86"/>
      <c r="AR715" s="86"/>
      <c r="BE715" s="86"/>
    </row>
    <row r="716"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/>
      <c r="AO716" s="86"/>
      <c r="AP716" s="86"/>
      <c r="AQ716" s="86"/>
      <c r="AR716" s="86"/>
      <c r="BE716" s="86"/>
    </row>
    <row r="717"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/>
      <c r="AO717" s="86"/>
      <c r="AP717" s="86"/>
      <c r="AQ717" s="86"/>
      <c r="AR717" s="86"/>
      <c r="BE717" s="86"/>
    </row>
    <row r="718"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/>
      <c r="AO718" s="86"/>
      <c r="AP718" s="86"/>
      <c r="AQ718" s="86"/>
      <c r="AR718" s="86"/>
      <c r="BE718" s="86"/>
    </row>
    <row r="719"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/>
      <c r="AO719" s="86"/>
      <c r="AP719" s="86"/>
      <c r="AQ719" s="86"/>
      <c r="AR719" s="86"/>
      <c r="BE719" s="86"/>
    </row>
    <row r="720"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/>
      <c r="AO720" s="86"/>
      <c r="AP720" s="86"/>
      <c r="AQ720" s="86"/>
      <c r="AR720" s="86"/>
      <c r="BE720" s="86"/>
    </row>
    <row r="721"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/>
      <c r="AO721" s="86"/>
      <c r="AP721" s="86"/>
      <c r="AQ721" s="86"/>
      <c r="AR721" s="86"/>
      <c r="BE721" s="86"/>
    </row>
    <row r="722"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/>
      <c r="AO722" s="86"/>
      <c r="AP722" s="86"/>
      <c r="AQ722" s="86"/>
      <c r="AR722" s="86"/>
      <c r="BE722" s="86"/>
    </row>
    <row r="723"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/>
      <c r="AO723" s="86"/>
      <c r="AP723" s="86"/>
      <c r="AQ723" s="86"/>
      <c r="AR723" s="86"/>
      <c r="BE723" s="86"/>
    </row>
    <row r="724"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/>
      <c r="AO724" s="86"/>
      <c r="AP724" s="86"/>
      <c r="AQ724" s="86"/>
      <c r="AR724" s="86"/>
      <c r="BE724" s="86"/>
    </row>
    <row r="725"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BE725" s="86"/>
    </row>
    <row r="726"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/>
      <c r="AO726" s="86"/>
      <c r="AP726" s="86"/>
      <c r="AQ726" s="86"/>
      <c r="AR726" s="86"/>
      <c r="BE726" s="86"/>
    </row>
    <row r="727"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/>
      <c r="AO727" s="86"/>
      <c r="AP727" s="86"/>
      <c r="AQ727" s="86"/>
      <c r="AR727" s="86"/>
      <c r="BE727" s="86"/>
    </row>
    <row r="728"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/>
      <c r="AO728" s="86"/>
      <c r="AP728" s="86"/>
      <c r="AQ728" s="86"/>
      <c r="AR728" s="86"/>
      <c r="BE728" s="86"/>
    </row>
    <row r="729"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/>
      <c r="AO729" s="86"/>
      <c r="AP729" s="86"/>
      <c r="AQ729" s="86"/>
      <c r="AR729" s="86"/>
      <c r="BE729" s="86"/>
    </row>
    <row r="730"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/>
      <c r="AO730" s="86"/>
      <c r="AP730" s="86"/>
      <c r="AQ730" s="86"/>
      <c r="AR730" s="86"/>
      <c r="BE730" s="86"/>
    </row>
    <row r="731"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/>
      <c r="AO731" s="86"/>
      <c r="AP731" s="86"/>
      <c r="AQ731" s="86"/>
      <c r="AR731" s="86"/>
      <c r="BE731" s="86"/>
    </row>
    <row r="732"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/>
      <c r="AO732" s="86"/>
      <c r="AP732" s="86"/>
      <c r="AQ732" s="86"/>
      <c r="AR732" s="86"/>
      <c r="BE732" s="86"/>
    </row>
    <row r="733"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/>
      <c r="AO733" s="86"/>
      <c r="AP733" s="86"/>
      <c r="AQ733" s="86"/>
      <c r="AR733" s="86"/>
      <c r="BE733" s="86"/>
    </row>
    <row r="734"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/>
      <c r="AO734" s="86"/>
      <c r="AP734" s="86"/>
      <c r="AQ734" s="86"/>
      <c r="AR734" s="86"/>
      <c r="BE734" s="86"/>
    </row>
    <row r="735"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/>
      <c r="AO735" s="86"/>
      <c r="AP735" s="86"/>
      <c r="AQ735" s="86"/>
      <c r="AR735" s="86"/>
      <c r="BE735" s="86"/>
    </row>
    <row r="736"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/>
      <c r="AO736" s="86"/>
      <c r="AP736" s="86"/>
      <c r="AQ736" s="86"/>
      <c r="AR736" s="86"/>
      <c r="BE736" s="86"/>
    </row>
    <row r="737"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/>
      <c r="AO737" s="86"/>
      <c r="AP737" s="86"/>
      <c r="AQ737" s="86"/>
      <c r="AR737" s="86"/>
      <c r="BE737" s="86"/>
    </row>
    <row r="738"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/>
      <c r="AO738" s="86"/>
      <c r="AP738" s="86"/>
      <c r="AQ738" s="86"/>
      <c r="AR738" s="86"/>
      <c r="BE738" s="86"/>
    </row>
    <row r="739"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/>
      <c r="AO739" s="86"/>
      <c r="AP739" s="86"/>
      <c r="AQ739" s="86"/>
      <c r="AR739" s="86"/>
      <c r="BE739" s="86"/>
    </row>
    <row r="740"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/>
      <c r="AO740" s="86"/>
      <c r="AP740" s="86"/>
      <c r="AQ740" s="86"/>
      <c r="AR740" s="86"/>
      <c r="BE740" s="86"/>
    </row>
    <row r="741"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/>
      <c r="AO741" s="86"/>
      <c r="AP741" s="86"/>
      <c r="AQ741" s="86"/>
      <c r="AR741" s="86"/>
      <c r="BE741" s="86"/>
    </row>
    <row r="742"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  <c r="AQ742" s="86"/>
      <c r="AR742" s="86"/>
      <c r="BE742" s="86"/>
    </row>
    <row r="743"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/>
      <c r="AO743" s="86"/>
      <c r="AP743" s="86"/>
      <c r="AQ743" s="86"/>
      <c r="AR743" s="86"/>
      <c r="BE743" s="86"/>
    </row>
    <row r="744"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/>
      <c r="AO744" s="86"/>
      <c r="AP744" s="86"/>
      <c r="AQ744" s="86"/>
      <c r="AR744" s="86"/>
      <c r="BE744" s="86"/>
    </row>
    <row r="745"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/>
      <c r="AO745" s="86"/>
      <c r="AP745" s="86"/>
      <c r="AQ745" s="86"/>
      <c r="AR745" s="86"/>
      <c r="BE745" s="86"/>
    </row>
    <row r="746"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/>
      <c r="AO746" s="86"/>
      <c r="AP746" s="86"/>
      <c r="AQ746" s="86"/>
      <c r="AR746" s="86"/>
      <c r="BE746" s="86"/>
    </row>
    <row r="747"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/>
      <c r="AO747" s="86"/>
      <c r="AP747" s="86"/>
      <c r="AQ747" s="86"/>
      <c r="AR747" s="86"/>
      <c r="BE747" s="86"/>
    </row>
    <row r="748"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  <c r="AQ748" s="86"/>
      <c r="AR748" s="86"/>
      <c r="BE748" s="86"/>
    </row>
    <row r="749"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/>
      <c r="AO749" s="86"/>
      <c r="AP749" s="86"/>
      <c r="AQ749" s="86"/>
      <c r="AR749" s="86"/>
      <c r="BE749" s="86"/>
    </row>
    <row r="750"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/>
      <c r="AO750" s="86"/>
      <c r="AP750" s="86"/>
      <c r="AQ750" s="86"/>
      <c r="AR750" s="86"/>
      <c r="BE750" s="86"/>
    </row>
    <row r="751"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/>
      <c r="AO751" s="86"/>
      <c r="AP751" s="86"/>
      <c r="AQ751" s="86"/>
      <c r="AR751" s="86"/>
      <c r="BE751" s="86"/>
    </row>
    <row r="752"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/>
      <c r="AO752" s="86"/>
      <c r="AP752" s="86"/>
      <c r="AQ752" s="86"/>
      <c r="AR752" s="86"/>
      <c r="BE752" s="86"/>
    </row>
    <row r="753"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/>
      <c r="AO753" s="86"/>
      <c r="AP753" s="86"/>
      <c r="AQ753" s="86"/>
      <c r="AR753" s="86"/>
      <c r="BE753" s="86"/>
    </row>
    <row r="754"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/>
      <c r="AO754" s="86"/>
      <c r="AP754" s="86"/>
      <c r="AQ754" s="86"/>
      <c r="AR754" s="86"/>
      <c r="BE754" s="86"/>
    </row>
    <row r="755"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/>
      <c r="AO755" s="86"/>
      <c r="AP755" s="86"/>
      <c r="AQ755" s="86"/>
      <c r="AR755" s="86"/>
      <c r="BE755" s="86"/>
    </row>
    <row r="756"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  <c r="AQ756" s="86"/>
      <c r="AR756" s="86"/>
      <c r="BE756" s="86"/>
    </row>
    <row r="757"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  <c r="AQ757" s="86"/>
      <c r="AR757" s="86"/>
      <c r="BE757" s="86"/>
    </row>
    <row r="758"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  <c r="AQ758" s="86"/>
      <c r="AR758" s="86"/>
      <c r="BE758" s="86"/>
    </row>
    <row r="759"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  <c r="AQ759" s="86"/>
      <c r="AR759" s="86"/>
      <c r="BE759" s="86"/>
    </row>
    <row r="760"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  <c r="AQ760" s="86"/>
      <c r="AR760" s="86"/>
      <c r="BE760" s="86"/>
    </row>
    <row r="761"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  <c r="AQ761" s="86"/>
      <c r="AR761" s="86"/>
      <c r="BE761" s="86"/>
    </row>
    <row r="762"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  <c r="AQ762" s="86"/>
      <c r="AR762" s="86"/>
      <c r="BE762" s="86"/>
    </row>
    <row r="763"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BE763" s="86"/>
    </row>
    <row r="764"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  <c r="AQ764" s="86"/>
      <c r="AR764" s="86"/>
      <c r="BE764" s="86"/>
    </row>
    <row r="765"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  <c r="AQ765" s="86"/>
      <c r="AR765" s="86"/>
      <c r="BE765" s="86"/>
    </row>
    <row r="766"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  <c r="AQ766" s="86"/>
      <c r="AR766" s="86"/>
      <c r="BE766" s="86"/>
    </row>
    <row r="767"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  <c r="AQ767" s="86"/>
      <c r="AR767" s="86"/>
      <c r="BE767" s="86"/>
    </row>
    <row r="768"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  <c r="AQ768" s="86"/>
      <c r="AR768" s="86"/>
      <c r="BE768" s="86"/>
    </row>
    <row r="769"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  <c r="AQ769" s="86"/>
      <c r="AR769" s="86"/>
      <c r="BE769" s="86"/>
    </row>
    <row r="770"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  <c r="AQ770" s="86"/>
      <c r="AR770" s="86"/>
      <c r="BE770" s="86"/>
    </row>
    <row r="771"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  <c r="AQ771" s="86"/>
      <c r="AR771" s="86"/>
      <c r="BE771" s="86"/>
    </row>
    <row r="772"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  <c r="AQ772" s="86"/>
      <c r="AR772" s="86"/>
      <c r="BE772" s="86"/>
    </row>
    <row r="773"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  <c r="AQ773" s="86"/>
      <c r="AR773" s="86"/>
      <c r="BE773" s="86"/>
    </row>
    <row r="774"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  <c r="AQ774" s="86"/>
      <c r="AR774" s="86"/>
      <c r="BE774" s="86"/>
    </row>
    <row r="775"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  <c r="AQ775" s="86"/>
      <c r="AR775" s="86"/>
      <c r="BE775" s="86"/>
    </row>
    <row r="776"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  <c r="AQ776" s="86"/>
      <c r="AR776" s="86"/>
      <c r="BE776" s="86"/>
    </row>
    <row r="777"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  <c r="AQ777" s="86"/>
      <c r="AR777" s="86"/>
      <c r="BE777" s="86"/>
    </row>
    <row r="778"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  <c r="AR778" s="86"/>
      <c r="BE778" s="86"/>
    </row>
    <row r="779"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  <c r="AQ779" s="86"/>
      <c r="AR779" s="86"/>
      <c r="BE779" s="86"/>
    </row>
    <row r="780"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  <c r="AQ780" s="86"/>
      <c r="AR780" s="86"/>
      <c r="BE780" s="86"/>
    </row>
    <row r="781"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  <c r="AQ781" s="86"/>
      <c r="AR781" s="86"/>
      <c r="BE781" s="86"/>
    </row>
    <row r="782"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  <c r="AQ782" s="86"/>
      <c r="AR782" s="86"/>
      <c r="BE782" s="86"/>
    </row>
    <row r="783"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  <c r="AQ783" s="86"/>
      <c r="AR783" s="86"/>
      <c r="BE783" s="86"/>
    </row>
    <row r="784"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  <c r="AQ784" s="86"/>
      <c r="AR784" s="86"/>
      <c r="BE784" s="86"/>
    </row>
    <row r="785"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  <c r="AR785" s="86"/>
      <c r="BE785" s="86"/>
    </row>
    <row r="786"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  <c r="AQ786" s="86"/>
      <c r="AR786" s="86"/>
      <c r="BE786" s="86"/>
    </row>
    <row r="787"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  <c r="AQ787" s="86"/>
      <c r="AR787" s="86"/>
      <c r="BE787" s="86"/>
    </row>
    <row r="788"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  <c r="AQ788" s="86"/>
      <c r="AR788" s="86"/>
      <c r="BE788" s="86"/>
    </row>
    <row r="789"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  <c r="AQ789" s="86"/>
      <c r="AR789" s="86"/>
      <c r="BE789" s="86"/>
    </row>
    <row r="790"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  <c r="AQ790" s="86"/>
      <c r="AR790" s="86"/>
      <c r="BE790" s="86"/>
    </row>
    <row r="791"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  <c r="AQ791" s="86"/>
      <c r="AR791" s="86"/>
      <c r="BE791" s="86"/>
    </row>
    <row r="792"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  <c r="AR792" s="86"/>
      <c r="BE792" s="86"/>
    </row>
    <row r="793"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BE793" s="86"/>
    </row>
    <row r="794"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  <c r="AR794" s="86"/>
      <c r="BE794" s="86"/>
    </row>
    <row r="795"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  <c r="AR795" s="86"/>
      <c r="BE795" s="86"/>
    </row>
    <row r="796"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  <c r="AQ796" s="86"/>
      <c r="AR796" s="86"/>
      <c r="BE796" s="86"/>
    </row>
    <row r="797"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  <c r="AQ797" s="86"/>
      <c r="AR797" s="86"/>
      <c r="BE797" s="86"/>
    </row>
    <row r="798"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  <c r="AQ798" s="86"/>
      <c r="AR798" s="86"/>
      <c r="BE798" s="86"/>
    </row>
    <row r="799"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  <c r="AQ799" s="86"/>
      <c r="AR799" s="86"/>
      <c r="BE799" s="86"/>
    </row>
    <row r="800"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  <c r="AQ800" s="86"/>
      <c r="AR800" s="86"/>
      <c r="BE800" s="86"/>
    </row>
    <row r="801"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BE801" s="86"/>
    </row>
    <row r="802"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  <c r="AQ802" s="86"/>
      <c r="AR802" s="86"/>
      <c r="BE802" s="86"/>
    </row>
    <row r="803"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  <c r="AQ803" s="86"/>
      <c r="AR803" s="86"/>
      <c r="BE803" s="86"/>
    </row>
    <row r="804"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  <c r="AQ804" s="86"/>
      <c r="AR804" s="86"/>
      <c r="BE804" s="86"/>
    </row>
    <row r="805"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  <c r="AQ805" s="86"/>
      <c r="AR805" s="86"/>
      <c r="BE805" s="86"/>
    </row>
    <row r="806"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  <c r="AQ806" s="86"/>
      <c r="AR806" s="86"/>
      <c r="BE806" s="86"/>
    </row>
    <row r="807"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  <c r="AQ807" s="86"/>
      <c r="AR807" s="86"/>
      <c r="BE807" s="86"/>
    </row>
    <row r="808"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  <c r="AR808" s="86"/>
      <c r="BE808" s="86"/>
    </row>
    <row r="809"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  <c r="AR809" s="86"/>
      <c r="BE809" s="86"/>
    </row>
    <row r="810"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  <c r="AR810" s="86"/>
      <c r="BE810" s="86"/>
    </row>
    <row r="811"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  <c r="AR811" s="86"/>
      <c r="BE811" s="86"/>
    </row>
    <row r="812"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  <c r="AR812" s="86"/>
      <c r="BE812" s="86"/>
    </row>
    <row r="813"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  <c r="AQ813" s="86"/>
      <c r="AR813" s="86"/>
      <c r="BE813" s="86"/>
    </row>
    <row r="814"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  <c r="AQ814" s="86"/>
      <c r="AR814" s="86"/>
      <c r="BE814" s="86"/>
    </row>
    <row r="815"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  <c r="AQ815" s="86"/>
      <c r="AR815" s="86"/>
      <c r="BE815" s="86"/>
    </row>
    <row r="816"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  <c r="AQ816" s="86"/>
      <c r="AR816" s="86"/>
      <c r="BE816" s="86"/>
    </row>
    <row r="817"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  <c r="AQ817" s="86"/>
      <c r="AR817" s="86"/>
      <c r="BE817" s="86"/>
    </row>
    <row r="818"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  <c r="AQ818" s="86"/>
      <c r="AR818" s="86"/>
      <c r="BE818" s="86"/>
    </row>
    <row r="819"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  <c r="AQ819" s="86"/>
      <c r="AR819" s="86"/>
      <c r="BE819" s="86"/>
    </row>
    <row r="820"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  <c r="AQ820" s="86"/>
      <c r="AR820" s="86"/>
      <c r="BE820" s="86"/>
    </row>
    <row r="821"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  <c r="AQ821" s="86"/>
      <c r="AR821" s="86"/>
      <c r="BE821" s="86"/>
    </row>
    <row r="822"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  <c r="AQ822" s="86"/>
      <c r="AR822" s="86"/>
      <c r="BE822" s="86"/>
    </row>
    <row r="823"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  <c r="AQ823" s="86"/>
      <c r="AR823" s="86"/>
      <c r="BE823" s="86"/>
    </row>
    <row r="824"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  <c r="AQ824" s="86"/>
      <c r="AR824" s="86"/>
      <c r="BE824" s="86"/>
    </row>
    <row r="825"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  <c r="AR825" s="86"/>
      <c r="BE825" s="86"/>
    </row>
    <row r="826"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  <c r="AQ826" s="86"/>
      <c r="AR826" s="86"/>
      <c r="BE826" s="86"/>
    </row>
    <row r="827"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  <c r="AQ827" s="86"/>
      <c r="AR827" s="86"/>
      <c r="BE827" s="86"/>
    </row>
    <row r="828"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  <c r="AQ828" s="86"/>
      <c r="AR828" s="86"/>
      <c r="BE828" s="86"/>
    </row>
    <row r="829"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  <c r="AQ829" s="86"/>
      <c r="AR829" s="86"/>
      <c r="BE829" s="86"/>
    </row>
    <row r="830"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  <c r="AQ830" s="86"/>
      <c r="AR830" s="86"/>
      <c r="BE830" s="86"/>
    </row>
    <row r="831"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  <c r="AQ831" s="86"/>
      <c r="AR831" s="86"/>
      <c r="BE831" s="86"/>
    </row>
    <row r="832"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  <c r="AQ832" s="86"/>
      <c r="AR832" s="86"/>
      <c r="BE832" s="86"/>
    </row>
    <row r="833"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  <c r="AQ833" s="86"/>
      <c r="AR833" s="86"/>
      <c r="BE833" s="86"/>
    </row>
    <row r="834"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  <c r="AQ834" s="86"/>
      <c r="AR834" s="86"/>
      <c r="BE834" s="86"/>
    </row>
    <row r="835"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  <c r="AQ835" s="86"/>
      <c r="AR835" s="86"/>
      <c r="BE835" s="86"/>
    </row>
    <row r="836"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  <c r="AQ836" s="86"/>
      <c r="AR836" s="86"/>
      <c r="BE836" s="86"/>
    </row>
    <row r="837"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  <c r="AQ837" s="86"/>
      <c r="AR837" s="86"/>
      <c r="BE837" s="86"/>
    </row>
    <row r="838"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  <c r="AQ838" s="86"/>
      <c r="AR838" s="86"/>
      <c r="BE838" s="86"/>
    </row>
    <row r="839"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BE839" s="86"/>
    </row>
    <row r="840"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  <c r="AQ840" s="86"/>
      <c r="AR840" s="86"/>
      <c r="BE840" s="86"/>
    </row>
    <row r="841"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  <c r="AQ841" s="86"/>
      <c r="AR841" s="86"/>
      <c r="BE841" s="86"/>
    </row>
    <row r="842"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  <c r="AQ842" s="86"/>
      <c r="AR842" s="86"/>
      <c r="BE842" s="86"/>
    </row>
    <row r="843"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  <c r="AQ843" s="86"/>
      <c r="AR843" s="86"/>
      <c r="BE843" s="86"/>
    </row>
    <row r="844"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  <c r="AQ844" s="86"/>
      <c r="AR844" s="86"/>
      <c r="BE844" s="86"/>
    </row>
    <row r="845"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  <c r="AQ845" s="86"/>
      <c r="AR845" s="86"/>
      <c r="BE845" s="86"/>
    </row>
    <row r="846"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  <c r="AQ846" s="86"/>
      <c r="AR846" s="86"/>
      <c r="BE846" s="86"/>
    </row>
    <row r="847"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  <c r="AQ847" s="86"/>
      <c r="AR847" s="86"/>
      <c r="BE847" s="86"/>
    </row>
    <row r="848"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  <c r="AQ848" s="86"/>
      <c r="AR848" s="86"/>
      <c r="BE848" s="86"/>
    </row>
    <row r="849"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  <c r="AQ849" s="86"/>
      <c r="AR849" s="86"/>
      <c r="BE849" s="86"/>
    </row>
    <row r="850"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  <c r="AQ850" s="86"/>
      <c r="AR850" s="86"/>
      <c r="BE850" s="86"/>
    </row>
    <row r="851"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  <c r="AQ851" s="86"/>
      <c r="AR851" s="86"/>
      <c r="BE851" s="86"/>
    </row>
    <row r="852"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  <c r="AQ852" s="86"/>
      <c r="AR852" s="86"/>
      <c r="BE852" s="86"/>
    </row>
    <row r="853"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  <c r="AQ853" s="86"/>
      <c r="AR853" s="86"/>
      <c r="BE853" s="86"/>
    </row>
    <row r="854"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  <c r="AQ854" s="86"/>
      <c r="AR854" s="86"/>
      <c r="BE854" s="86"/>
    </row>
    <row r="855"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  <c r="AQ855" s="86"/>
      <c r="AR855" s="86"/>
      <c r="BE855" s="86"/>
    </row>
    <row r="856"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  <c r="AQ856" s="86"/>
      <c r="AR856" s="86"/>
      <c r="BE856" s="86"/>
    </row>
    <row r="857"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  <c r="AQ857" s="86"/>
      <c r="AR857" s="86"/>
      <c r="BE857" s="86"/>
    </row>
    <row r="858"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  <c r="AQ858" s="86"/>
      <c r="AR858" s="86"/>
      <c r="BE858" s="86"/>
    </row>
    <row r="859"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  <c r="AQ859" s="86"/>
      <c r="AR859" s="86"/>
      <c r="BE859" s="86"/>
    </row>
    <row r="860"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  <c r="AQ860" s="86"/>
      <c r="AR860" s="86"/>
      <c r="BE860" s="86"/>
    </row>
    <row r="861"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  <c r="AQ861" s="86"/>
      <c r="AR861" s="86"/>
      <c r="BE861" s="86"/>
    </row>
    <row r="862"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  <c r="AQ862" s="86"/>
      <c r="AR862" s="86"/>
      <c r="BE862" s="86"/>
    </row>
    <row r="863"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  <c r="AQ863" s="86"/>
      <c r="AR863" s="86"/>
      <c r="BE863" s="86"/>
    </row>
    <row r="864"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  <c r="AQ864" s="86"/>
      <c r="AR864" s="86"/>
      <c r="BE864" s="86"/>
    </row>
    <row r="865"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  <c r="AQ865" s="86"/>
      <c r="AR865" s="86"/>
      <c r="BE865" s="86"/>
    </row>
    <row r="866"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  <c r="AQ866" s="86"/>
      <c r="AR866" s="86"/>
      <c r="BE866" s="86"/>
    </row>
    <row r="867"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  <c r="AQ867" s="86"/>
      <c r="AR867" s="86"/>
      <c r="BE867" s="86"/>
    </row>
    <row r="868"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  <c r="AQ868" s="86"/>
      <c r="AR868" s="86"/>
      <c r="BE868" s="86"/>
    </row>
    <row r="869"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  <c r="AQ869" s="86"/>
      <c r="AR869" s="86"/>
      <c r="BE869" s="86"/>
    </row>
    <row r="870"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  <c r="AQ870" s="86"/>
      <c r="AR870" s="86"/>
      <c r="BE870" s="86"/>
    </row>
    <row r="871"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  <c r="AQ871" s="86"/>
      <c r="AR871" s="86"/>
      <c r="BE871" s="86"/>
    </row>
    <row r="872"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  <c r="AQ872" s="86"/>
      <c r="AR872" s="86"/>
      <c r="BE872" s="86"/>
    </row>
    <row r="873"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  <c r="AQ873" s="86"/>
      <c r="AR873" s="86"/>
      <c r="BE873" s="86"/>
    </row>
    <row r="874"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  <c r="AQ874" s="86"/>
      <c r="AR874" s="86"/>
      <c r="BE874" s="86"/>
    </row>
    <row r="875"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  <c r="AQ875" s="86"/>
      <c r="AR875" s="86"/>
      <c r="BE875" s="86"/>
    </row>
    <row r="876"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  <c r="AQ876" s="86"/>
      <c r="AR876" s="86"/>
      <c r="BE876" s="86"/>
    </row>
    <row r="877"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BE877" s="86"/>
    </row>
    <row r="878"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  <c r="AQ878" s="86"/>
      <c r="AR878" s="86"/>
      <c r="BE878" s="86"/>
    </row>
    <row r="879"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  <c r="AQ879" s="86"/>
      <c r="AR879" s="86"/>
      <c r="BE879" s="86"/>
    </row>
    <row r="880"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  <c r="AQ880" s="86"/>
      <c r="AR880" s="86"/>
      <c r="BE880" s="86"/>
    </row>
    <row r="881"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  <c r="AQ881" s="86"/>
      <c r="AR881" s="86"/>
      <c r="BE881" s="86"/>
    </row>
    <row r="882"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  <c r="AQ882" s="86"/>
      <c r="AR882" s="86"/>
      <c r="BE882" s="86"/>
    </row>
    <row r="883"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  <c r="AQ883" s="86"/>
      <c r="AR883" s="86"/>
      <c r="BE883" s="86"/>
    </row>
    <row r="884"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  <c r="AQ884" s="86"/>
      <c r="AR884" s="86"/>
      <c r="BE884" s="86"/>
    </row>
    <row r="885"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  <c r="AQ885" s="86"/>
      <c r="AR885" s="86"/>
      <c r="BE885" s="86"/>
    </row>
    <row r="886"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  <c r="AQ886" s="86"/>
      <c r="AR886" s="86"/>
      <c r="BE886" s="86"/>
    </row>
    <row r="887"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  <c r="AQ887" s="86"/>
      <c r="AR887" s="86"/>
      <c r="BE887" s="86"/>
    </row>
    <row r="888"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  <c r="AQ888" s="86"/>
      <c r="AR888" s="86"/>
      <c r="BE888" s="86"/>
    </row>
    <row r="889"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  <c r="AQ889" s="86"/>
      <c r="AR889" s="86"/>
      <c r="BE889" s="86"/>
    </row>
    <row r="890"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  <c r="AR890" s="86"/>
      <c r="BE890" s="86"/>
    </row>
    <row r="891"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  <c r="AQ891" s="86"/>
      <c r="AR891" s="86"/>
      <c r="BE891" s="86"/>
    </row>
    <row r="892"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  <c r="AQ892" s="86"/>
      <c r="AR892" s="86"/>
      <c r="BE892" s="86"/>
    </row>
    <row r="893"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  <c r="AQ893" s="86"/>
      <c r="AR893" s="86"/>
      <c r="BE893" s="86"/>
    </row>
    <row r="894"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  <c r="AQ894" s="86"/>
      <c r="AR894" s="86"/>
      <c r="BE894" s="86"/>
    </row>
    <row r="895"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  <c r="AQ895" s="86"/>
      <c r="AR895" s="86"/>
      <c r="BE895" s="86"/>
    </row>
    <row r="896"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  <c r="AQ896" s="86"/>
      <c r="AR896" s="86"/>
      <c r="BE896" s="86"/>
    </row>
    <row r="897"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BE897" s="86"/>
    </row>
    <row r="898"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  <c r="AQ898" s="86"/>
      <c r="AR898" s="86"/>
      <c r="BE898" s="86"/>
    </row>
    <row r="899"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  <c r="AQ899" s="86"/>
      <c r="AR899" s="86"/>
      <c r="BE899" s="86"/>
    </row>
    <row r="900"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  <c r="AQ900" s="86"/>
      <c r="AR900" s="86"/>
      <c r="BE900" s="86"/>
    </row>
    <row r="901"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  <c r="AQ901" s="86"/>
      <c r="AR901" s="86"/>
      <c r="BE901" s="86"/>
    </row>
    <row r="902"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  <c r="AQ902" s="86"/>
      <c r="AR902" s="86"/>
      <c r="BE902" s="86"/>
    </row>
    <row r="903"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  <c r="AQ903" s="86"/>
      <c r="AR903" s="86"/>
      <c r="BE903" s="86"/>
    </row>
    <row r="904"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BE904" s="86"/>
    </row>
    <row r="905"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  <c r="AQ905" s="86"/>
      <c r="AR905" s="86"/>
      <c r="BE905" s="86"/>
    </row>
    <row r="906"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  <c r="AQ906" s="86"/>
      <c r="AR906" s="86"/>
      <c r="BE906" s="86"/>
    </row>
    <row r="907"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  <c r="AQ907" s="86"/>
      <c r="AR907" s="86"/>
      <c r="BE907" s="86"/>
    </row>
    <row r="908"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  <c r="AQ908" s="86"/>
      <c r="AR908" s="86"/>
      <c r="BE908" s="86"/>
    </row>
    <row r="909"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  <c r="AQ909" s="86"/>
      <c r="AR909" s="86"/>
      <c r="BE909" s="86"/>
    </row>
    <row r="910"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  <c r="AQ910" s="86"/>
      <c r="AR910" s="86"/>
      <c r="BE910" s="86"/>
    </row>
    <row r="911"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  <c r="AQ911" s="86"/>
      <c r="AR911" s="86"/>
      <c r="BE911" s="86"/>
    </row>
    <row r="912"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  <c r="AQ912" s="86"/>
      <c r="AR912" s="86"/>
      <c r="BE912" s="86"/>
    </row>
    <row r="913"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  <c r="AQ913" s="86"/>
      <c r="AR913" s="86"/>
      <c r="BE913" s="86"/>
    </row>
    <row r="914"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  <c r="AQ914" s="86"/>
      <c r="AR914" s="86"/>
      <c r="BE914" s="86"/>
    </row>
    <row r="915"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BE915" s="86"/>
    </row>
    <row r="916"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  <c r="AQ916" s="86"/>
      <c r="AR916" s="86"/>
      <c r="BE916" s="86"/>
    </row>
    <row r="917"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  <c r="AQ917" s="86"/>
      <c r="AR917" s="86"/>
      <c r="BE917" s="86"/>
    </row>
    <row r="918"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  <c r="AQ918" s="86"/>
      <c r="AR918" s="86"/>
      <c r="BE918" s="86"/>
    </row>
    <row r="919"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6"/>
      <c r="AO919" s="86"/>
      <c r="AP919" s="86"/>
      <c r="AQ919" s="86"/>
      <c r="AR919" s="86"/>
      <c r="BE919" s="86"/>
    </row>
    <row r="920"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6"/>
      <c r="AO920" s="86"/>
      <c r="AP920" s="86"/>
      <c r="AQ920" s="86"/>
      <c r="AR920" s="86"/>
      <c r="BE920" s="86"/>
    </row>
    <row r="921"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6"/>
      <c r="AO921" s="86"/>
      <c r="AP921" s="86"/>
      <c r="AQ921" s="86"/>
      <c r="AR921" s="86"/>
      <c r="BE921" s="86"/>
    </row>
    <row r="922"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6"/>
      <c r="AO922" s="86"/>
      <c r="AP922" s="86"/>
      <c r="AQ922" s="86"/>
      <c r="AR922" s="86"/>
      <c r="BE922" s="86"/>
    </row>
    <row r="923"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6"/>
      <c r="AO923" s="86"/>
      <c r="AP923" s="86"/>
      <c r="AQ923" s="86"/>
      <c r="AR923" s="86"/>
      <c r="BE923" s="86"/>
    </row>
    <row r="924"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6"/>
      <c r="AO924" s="86"/>
      <c r="AP924" s="86"/>
      <c r="AQ924" s="86"/>
      <c r="AR924" s="86"/>
      <c r="BE924" s="86"/>
    </row>
    <row r="925"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6"/>
      <c r="AO925" s="86"/>
      <c r="AP925" s="86"/>
      <c r="AQ925" s="86"/>
      <c r="AR925" s="86"/>
      <c r="BE925" s="86"/>
    </row>
    <row r="926"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6"/>
      <c r="AO926" s="86"/>
      <c r="AP926" s="86"/>
      <c r="AQ926" s="86"/>
      <c r="AR926" s="86"/>
      <c r="BE926" s="86"/>
    </row>
    <row r="927"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6"/>
      <c r="AO927" s="86"/>
      <c r="AP927" s="86"/>
      <c r="AQ927" s="86"/>
      <c r="AR927" s="86"/>
      <c r="BE927" s="86"/>
    </row>
    <row r="928"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6"/>
      <c r="AO928" s="86"/>
      <c r="AP928" s="86"/>
      <c r="AQ928" s="86"/>
      <c r="AR928" s="86"/>
      <c r="BE928" s="86"/>
    </row>
    <row r="929"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6"/>
      <c r="AO929" s="86"/>
      <c r="AP929" s="86"/>
      <c r="AQ929" s="86"/>
      <c r="AR929" s="86"/>
      <c r="BE929" s="86"/>
    </row>
    <row r="930"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6"/>
      <c r="AO930" s="86"/>
      <c r="AP930" s="86"/>
      <c r="AQ930" s="86"/>
      <c r="AR930" s="86"/>
      <c r="BE930" s="86"/>
    </row>
    <row r="931"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6"/>
      <c r="AO931" s="86"/>
      <c r="AP931" s="86"/>
      <c r="AQ931" s="86"/>
      <c r="AR931" s="86"/>
      <c r="BE931" s="86"/>
    </row>
    <row r="932"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6"/>
      <c r="AO932" s="86"/>
      <c r="AP932" s="86"/>
      <c r="AQ932" s="86"/>
      <c r="AR932" s="86"/>
      <c r="BE932" s="86"/>
    </row>
    <row r="933"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6"/>
      <c r="AO933" s="86"/>
      <c r="AP933" s="86"/>
      <c r="AQ933" s="86"/>
      <c r="AR933" s="86"/>
      <c r="BE933" s="86"/>
    </row>
    <row r="934"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6"/>
      <c r="AO934" s="86"/>
      <c r="AP934" s="86"/>
      <c r="AQ934" s="86"/>
      <c r="AR934" s="86"/>
      <c r="BE934" s="86"/>
    </row>
    <row r="935"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6"/>
      <c r="AO935" s="86"/>
      <c r="AP935" s="86"/>
      <c r="AQ935" s="86"/>
      <c r="AR935" s="86"/>
      <c r="BE935" s="86"/>
    </row>
    <row r="936"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6"/>
      <c r="AO936" s="86"/>
      <c r="AP936" s="86"/>
      <c r="AQ936" s="86"/>
      <c r="AR936" s="86"/>
      <c r="BE936" s="86"/>
    </row>
    <row r="937"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6"/>
      <c r="AO937" s="86"/>
      <c r="AP937" s="86"/>
      <c r="AQ937" s="86"/>
      <c r="AR937" s="86"/>
      <c r="BE937" s="86"/>
    </row>
    <row r="938"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6"/>
      <c r="AO938" s="86"/>
      <c r="AP938" s="86"/>
      <c r="AQ938" s="86"/>
      <c r="AR938" s="86"/>
      <c r="BE938" s="86"/>
    </row>
    <row r="939"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6"/>
      <c r="AO939" s="86"/>
      <c r="AP939" s="86"/>
      <c r="AQ939" s="86"/>
      <c r="AR939" s="86"/>
      <c r="BE939" s="86"/>
    </row>
    <row r="940"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6"/>
      <c r="AO940" s="86"/>
      <c r="AP940" s="86"/>
      <c r="AQ940" s="86"/>
      <c r="AR940" s="86"/>
      <c r="BE940" s="86"/>
    </row>
    <row r="941"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6"/>
      <c r="AO941" s="86"/>
      <c r="AP941" s="86"/>
      <c r="AQ941" s="86"/>
      <c r="AR941" s="86"/>
      <c r="BE941" s="86"/>
    </row>
    <row r="942"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6"/>
      <c r="AO942" s="86"/>
      <c r="AP942" s="86"/>
      <c r="AQ942" s="86"/>
      <c r="AR942" s="86"/>
      <c r="BE942" s="86"/>
    </row>
    <row r="943"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6"/>
      <c r="AO943" s="86"/>
      <c r="AP943" s="86"/>
      <c r="AQ943" s="86"/>
      <c r="AR943" s="86"/>
      <c r="BE943" s="86"/>
    </row>
    <row r="944"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6"/>
      <c r="AO944" s="86"/>
      <c r="AP944" s="86"/>
      <c r="AQ944" s="86"/>
      <c r="AR944" s="86"/>
      <c r="BE944" s="86"/>
    </row>
    <row r="945"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6"/>
      <c r="AO945" s="86"/>
      <c r="AP945" s="86"/>
      <c r="AQ945" s="86"/>
      <c r="AR945" s="86"/>
      <c r="BE945" s="86"/>
    </row>
    <row r="946"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6"/>
      <c r="AO946" s="86"/>
      <c r="AP946" s="86"/>
      <c r="AQ946" s="86"/>
      <c r="AR946" s="86"/>
      <c r="BE946" s="86"/>
    </row>
    <row r="947"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6"/>
      <c r="AO947" s="86"/>
      <c r="AP947" s="86"/>
      <c r="AQ947" s="86"/>
      <c r="AR947" s="86"/>
      <c r="BE947" s="86"/>
    </row>
    <row r="948"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6"/>
      <c r="AO948" s="86"/>
      <c r="AP948" s="86"/>
      <c r="AQ948" s="86"/>
      <c r="AR948" s="86"/>
      <c r="BE948" s="86"/>
    </row>
    <row r="949"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6"/>
      <c r="AO949" s="86"/>
      <c r="AP949" s="86"/>
      <c r="AQ949" s="86"/>
      <c r="AR949" s="86"/>
      <c r="BE949" s="86"/>
    </row>
    <row r="950"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6"/>
      <c r="AO950" s="86"/>
      <c r="AP950" s="86"/>
      <c r="AQ950" s="86"/>
      <c r="AR950" s="86"/>
      <c r="BE950" s="86"/>
    </row>
    <row r="951"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  <c r="AQ951" s="86"/>
      <c r="AR951" s="86"/>
      <c r="BE951" s="86"/>
    </row>
    <row r="952"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6"/>
      <c r="AO952" s="86"/>
      <c r="AP952" s="86"/>
      <c r="AQ952" s="86"/>
      <c r="AR952" s="86"/>
      <c r="BE952" s="86"/>
    </row>
    <row r="953"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BE953" s="86"/>
    </row>
    <row r="954"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6"/>
      <c r="AO954" s="86"/>
      <c r="AP954" s="86"/>
      <c r="AQ954" s="86"/>
      <c r="AR954" s="86"/>
      <c r="BE954" s="86"/>
    </row>
    <row r="955"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6"/>
      <c r="AO955" s="86"/>
      <c r="AP955" s="86"/>
      <c r="AQ955" s="86"/>
      <c r="AR955" s="86"/>
      <c r="BE955" s="86"/>
    </row>
    <row r="956"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6"/>
      <c r="AO956" s="86"/>
      <c r="AP956" s="86"/>
      <c r="AQ956" s="86"/>
      <c r="AR956" s="86"/>
      <c r="BE956" s="86"/>
    </row>
    <row r="957"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6"/>
      <c r="AO957" s="86"/>
      <c r="AP957" s="86"/>
      <c r="AQ957" s="86"/>
      <c r="AR957" s="86"/>
      <c r="BE957" s="86"/>
    </row>
    <row r="958"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6"/>
      <c r="AO958" s="86"/>
      <c r="AP958" s="86"/>
      <c r="AQ958" s="86"/>
      <c r="AR958" s="86"/>
      <c r="BE958" s="86"/>
    </row>
    <row r="959"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  <c r="AR959" s="86"/>
      <c r="BE959" s="86"/>
    </row>
    <row r="960"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6"/>
      <c r="AO960" s="86"/>
      <c r="AP960" s="86"/>
      <c r="AQ960" s="86"/>
      <c r="AR960" s="86"/>
      <c r="BE960" s="86"/>
    </row>
    <row r="961"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6"/>
      <c r="AO961" s="86"/>
      <c r="AP961" s="86"/>
      <c r="AQ961" s="86"/>
      <c r="AR961" s="86"/>
      <c r="BE961" s="86"/>
    </row>
    <row r="962"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6"/>
      <c r="AO962" s="86"/>
      <c r="AP962" s="86"/>
      <c r="AQ962" s="86"/>
      <c r="AR962" s="86"/>
      <c r="BE962" s="86"/>
    </row>
    <row r="963"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6"/>
      <c r="AO963" s="86"/>
      <c r="AP963" s="86"/>
      <c r="AQ963" s="86"/>
      <c r="AR963" s="86"/>
      <c r="BE963" s="86"/>
    </row>
    <row r="964"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6"/>
      <c r="AO964" s="86"/>
      <c r="AP964" s="86"/>
      <c r="AQ964" s="86"/>
      <c r="AR964" s="86"/>
      <c r="BE964" s="86"/>
    </row>
    <row r="965"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6"/>
      <c r="AO965" s="86"/>
      <c r="AP965" s="86"/>
      <c r="AQ965" s="86"/>
      <c r="AR965" s="86"/>
      <c r="BE965" s="86"/>
    </row>
    <row r="966"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  <c r="AQ966" s="86"/>
      <c r="AR966" s="86"/>
      <c r="BE966" s="86"/>
    </row>
    <row r="967"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6"/>
      <c r="AO967" s="86"/>
      <c r="AP967" s="86"/>
      <c r="AQ967" s="86"/>
      <c r="AR967" s="86"/>
      <c r="BE967" s="86"/>
    </row>
    <row r="968"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6"/>
      <c r="AO968" s="86"/>
      <c r="AP968" s="86"/>
      <c r="AQ968" s="86"/>
      <c r="AR968" s="86"/>
      <c r="BE968" s="86"/>
    </row>
    <row r="969"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6"/>
      <c r="AO969" s="86"/>
      <c r="AP969" s="86"/>
      <c r="AQ969" s="86"/>
      <c r="AR969" s="86"/>
      <c r="BE969" s="86"/>
    </row>
    <row r="970"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6"/>
      <c r="AO970" s="86"/>
      <c r="AP970" s="86"/>
      <c r="AQ970" s="86"/>
      <c r="AR970" s="86"/>
      <c r="BE970" s="86"/>
    </row>
    <row r="971"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6"/>
      <c r="AO971" s="86"/>
      <c r="AP971" s="86"/>
      <c r="AQ971" s="86"/>
      <c r="AR971" s="86"/>
      <c r="BE971" s="86"/>
    </row>
    <row r="972"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6"/>
      <c r="AO972" s="86"/>
      <c r="AP972" s="86"/>
      <c r="AQ972" s="86"/>
      <c r="AR972" s="86"/>
      <c r="BE972" s="86"/>
    </row>
    <row r="973"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6"/>
      <c r="AO973" s="86"/>
      <c r="AP973" s="86"/>
      <c r="AQ973" s="86"/>
      <c r="AR973" s="86"/>
      <c r="BE973" s="86"/>
    </row>
    <row r="974"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6"/>
      <c r="AO974" s="86"/>
      <c r="AP974" s="86"/>
      <c r="AQ974" s="86"/>
      <c r="AR974" s="86"/>
      <c r="BE974" s="86"/>
    </row>
    <row r="975"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6"/>
      <c r="AO975" s="86"/>
      <c r="AP975" s="86"/>
      <c r="AQ975" s="86"/>
      <c r="AR975" s="86"/>
      <c r="BE975" s="86"/>
    </row>
    <row r="976"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6"/>
      <c r="AO976" s="86"/>
      <c r="AP976" s="86"/>
      <c r="AQ976" s="86"/>
      <c r="AR976" s="86"/>
      <c r="BE976" s="86"/>
    </row>
    <row r="977"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6"/>
      <c r="AO977" s="86"/>
      <c r="AP977" s="86"/>
      <c r="AQ977" s="86"/>
      <c r="AR977" s="86"/>
      <c r="BE977" s="86"/>
    </row>
    <row r="978"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6"/>
      <c r="AO978" s="86"/>
      <c r="AP978" s="86"/>
      <c r="AQ978" s="86"/>
      <c r="AR978" s="86"/>
      <c r="BE978" s="86"/>
    </row>
    <row r="979"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6"/>
      <c r="AO979" s="86"/>
      <c r="AP979" s="86"/>
      <c r="AQ979" s="86"/>
      <c r="AR979" s="86"/>
      <c r="BE979" s="86"/>
    </row>
    <row r="980"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6"/>
      <c r="AO980" s="86"/>
      <c r="AP980" s="86"/>
      <c r="AQ980" s="86"/>
      <c r="AR980" s="86"/>
      <c r="BE980" s="86"/>
    </row>
    <row r="981"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6"/>
      <c r="AO981" s="86"/>
      <c r="AP981" s="86"/>
      <c r="AQ981" s="86"/>
      <c r="AR981" s="86"/>
      <c r="BE981" s="86"/>
    </row>
    <row r="982"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6"/>
      <c r="AO982" s="86"/>
      <c r="AP982" s="86"/>
      <c r="AQ982" s="86"/>
      <c r="AR982" s="86"/>
      <c r="BE982" s="86"/>
    </row>
    <row r="983"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6"/>
      <c r="AO983" s="86"/>
      <c r="AP983" s="86"/>
      <c r="AQ983" s="86"/>
      <c r="AR983" s="86"/>
      <c r="BE983" s="86"/>
    </row>
    <row r="984"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6"/>
      <c r="AO984" s="86"/>
      <c r="AP984" s="86"/>
      <c r="AQ984" s="86"/>
      <c r="AR984" s="86"/>
      <c r="BE984" s="86"/>
    </row>
    <row r="985"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6"/>
      <c r="AO985" s="86"/>
      <c r="AP985" s="86"/>
      <c r="AQ985" s="86"/>
      <c r="AR985" s="86"/>
      <c r="BE985" s="86"/>
    </row>
    <row r="986"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6"/>
      <c r="AO986" s="86"/>
      <c r="AP986" s="86"/>
      <c r="AQ986" s="86"/>
      <c r="AR986" s="86"/>
      <c r="BE986" s="86"/>
    </row>
    <row r="987"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6"/>
      <c r="AO987" s="86"/>
      <c r="AP987" s="86"/>
      <c r="AQ987" s="86"/>
      <c r="AR987" s="86"/>
      <c r="BE987" s="86"/>
    </row>
    <row r="988"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6"/>
      <c r="AO988" s="86"/>
      <c r="AP988" s="86"/>
      <c r="AQ988" s="86"/>
      <c r="AR988" s="86"/>
      <c r="BE988" s="86"/>
    </row>
    <row r="989"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6"/>
      <c r="AO989" s="86"/>
      <c r="AP989" s="86"/>
      <c r="AQ989" s="86"/>
      <c r="AR989" s="86"/>
      <c r="BE989" s="86"/>
    </row>
    <row r="990"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6"/>
      <c r="AO990" s="86"/>
      <c r="AP990" s="86"/>
      <c r="AQ990" s="86"/>
      <c r="AR990" s="86"/>
      <c r="BE990" s="86"/>
    </row>
    <row r="991"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BE991" s="86"/>
    </row>
    <row r="992"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6"/>
      <c r="AO992" s="86"/>
      <c r="AP992" s="86"/>
      <c r="AQ992" s="86"/>
      <c r="AR992" s="86"/>
      <c r="BE992" s="86"/>
    </row>
    <row r="993"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6"/>
      <c r="AO993" s="86"/>
      <c r="AP993" s="86"/>
      <c r="AQ993" s="86"/>
      <c r="AR993" s="86"/>
      <c r="BE993" s="86"/>
    </row>
    <row r="994"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6"/>
      <c r="AO994" s="86"/>
      <c r="AP994" s="86"/>
      <c r="AQ994" s="86"/>
      <c r="AR994" s="86"/>
      <c r="BE994" s="86"/>
    </row>
    <row r="995"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6"/>
      <c r="AO995" s="86"/>
      <c r="AP995" s="86"/>
      <c r="AQ995" s="86"/>
      <c r="AR995" s="86"/>
      <c r="BE995" s="86"/>
    </row>
    <row r="996"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/>
      <c r="AO996" s="86"/>
      <c r="AP996" s="86"/>
      <c r="AQ996" s="86"/>
      <c r="AR996" s="86"/>
      <c r="BE996" s="86"/>
    </row>
    <row r="997"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6"/>
      <c r="AO997" s="86"/>
      <c r="AP997" s="86"/>
      <c r="AQ997" s="86"/>
      <c r="AR997" s="86"/>
      <c r="BE997" s="86"/>
    </row>
    <row r="998"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6"/>
      <c r="AO998" s="86"/>
      <c r="AP998" s="86"/>
      <c r="AQ998" s="86"/>
      <c r="AR998" s="86"/>
      <c r="BE998" s="86"/>
    </row>
    <row r="999"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  <c r="AN999" s="86"/>
      <c r="AO999" s="86"/>
      <c r="AP999" s="86"/>
      <c r="AQ999" s="86"/>
      <c r="AR999" s="86"/>
      <c r="BE999" s="86"/>
    </row>
    <row r="1000"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86"/>
      <c r="AM1000" s="86"/>
      <c r="AN1000" s="86"/>
      <c r="AO1000" s="86"/>
      <c r="AP1000" s="86"/>
      <c r="AQ1000" s="86"/>
      <c r="AR1000" s="86"/>
      <c r="BE1000" s="8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3.75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10.0</v>
      </c>
      <c r="C2" s="71">
        <v>98.2</v>
      </c>
      <c r="D2" s="71">
        <v>95.0</v>
      </c>
      <c r="E2" s="93">
        <f t="shared" ref="E2:E8" si="1">C2/D2</f>
        <v>1.033684211</v>
      </c>
      <c r="F2" s="72">
        <v>1.0</v>
      </c>
      <c r="G2" s="94">
        <v>78.42</v>
      </c>
      <c r="H2" s="95" t="s">
        <v>186</v>
      </c>
    </row>
    <row r="3">
      <c r="A3" s="38" t="s">
        <v>86</v>
      </c>
      <c r="B3" s="71">
        <v>12.0</v>
      </c>
      <c r="C3" s="96">
        <v>36.7</v>
      </c>
      <c r="D3" s="71">
        <v>76.0</v>
      </c>
      <c r="E3" s="93">
        <f t="shared" si="1"/>
        <v>0.4828947368</v>
      </c>
      <c r="F3" s="72">
        <v>2.0</v>
      </c>
      <c r="G3" s="97">
        <v>37.0</v>
      </c>
      <c r="H3" s="95" t="s">
        <v>187</v>
      </c>
    </row>
    <row r="4">
      <c r="A4" s="38" t="s">
        <v>88</v>
      </c>
      <c r="B4" s="71">
        <v>13.0</v>
      </c>
      <c r="C4" s="71">
        <v>61.3</v>
      </c>
      <c r="D4" s="71">
        <v>95.0</v>
      </c>
      <c r="E4" s="93">
        <f t="shared" si="1"/>
        <v>0.6452631579</v>
      </c>
      <c r="F4" s="72">
        <v>0.0</v>
      </c>
      <c r="G4" s="97">
        <v>71.95</v>
      </c>
      <c r="H4" s="95" t="s">
        <v>188</v>
      </c>
    </row>
    <row r="5">
      <c r="A5" s="38" t="s">
        <v>90</v>
      </c>
      <c r="B5" s="71">
        <v>9.0</v>
      </c>
      <c r="C5" s="71">
        <f>37.2+28.8</f>
        <v>66</v>
      </c>
      <c r="D5" s="71">
        <v>80.0</v>
      </c>
      <c r="E5" s="93">
        <f t="shared" si="1"/>
        <v>0.825</v>
      </c>
      <c r="F5" s="72">
        <v>0.0</v>
      </c>
      <c r="G5" s="94">
        <v>57.05</v>
      </c>
      <c r="H5" s="95" t="s">
        <v>189</v>
      </c>
    </row>
    <row r="6">
      <c r="A6" s="38" t="s">
        <v>94</v>
      </c>
      <c r="B6" s="71">
        <v>4.0</v>
      </c>
      <c r="C6" s="71">
        <v>55.8</v>
      </c>
      <c r="D6" s="71">
        <v>85.0</v>
      </c>
      <c r="E6" s="93">
        <f t="shared" si="1"/>
        <v>0.6564705882</v>
      </c>
      <c r="F6" s="72">
        <v>4.0</v>
      </c>
      <c r="G6" s="94">
        <v>52.83</v>
      </c>
      <c r="H6" s="95" t="s">
        <v>190</v>
      </c>
    </row>
    <row r="7">
      <c r="A7" s="7" t="s">
        <v>96</v>
      </c>
      <c r="B7" s="71">
        <v>17.0</v>
      </c>
      <c r="C7" s="71">
        <v>51.3</v>
      </c>
      <c r="D7" s="71">
        <v>80.0</v>
      </c>
      <c r="E7" s="93">
        <f t="shared" si="1"/>
        <v>0.64125</v>
      </c>
      <c r="F7" s="72">
        <v>1.0</v>
      </c>
      <c r="G7" s="94">
        <v>32.47</v>
      </c>
      <c r="H7" s="95" t="s">
        <v>191</v>
      </c>
    </row>
    <row r="8">
      <c r="A8" s="7" t="s">
        <v>97</v>
      </c>
      <c r="B8" s="71">
        <v>9.0</v>
      </c>
      <c r="C8" s="79">
        <v>38.6</v>
      </c>
      <c r="D8" s="71">
        <v>100.0</v>
      </c>
      <c r="E8" s="93">
        <f t="shared" si="1"/>
        <v>0.386</v>
      </c>
      <c r="F8" s="72">
        <v>2.0</v>
      </c>
      <c r="G8" s="94">
        <v>81.42</v>
      </c>
      <c r="H8" s="95" t="s">
        <v>192</v>
      </c>
    </row>
    <row r="9">
      <c r="C9" s="74"/>
      <c r="D9" s="38"/>
      <c r="E9" s="93"/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9" t="s">
        <v>194</v>
      </c>
      <c r="G13" s="99" t="s">
        <v>195</v>
      </c>
    </row>
    <row r="14">
      <c r="C14" s="56"/>
      <c r="E14" s="94">
        <v>1.0</v>
      </c>
      <c r="F14" s="100" t="s">
        <v>85</v>
      </c>
      <c r="G14" s="100">
        <v>4.94</v>
      </c>
    </row>
    <row r="15">
      <c r="C15" s="56"/>
      <c r="E15" s="97">
        <v>2.0</v>
      </c>
      <c r="F15" s="100" t="s">
        <v>90</v>
      </c>
      <c r="G15" s="100">
        <v>4.32</v>
      </c>
    </row>
    <row r="16">
      <c r="C16" s="56"/>
      <c r="E16" s="97">
        <v>3.0</v>
      </c>
      <c r="F16" s="100" t="s">
        <v>96</v>
      </c>
      <c r="G16" s="101">
        <v>3.58</v>
      </c>
    </row>
    <row r="17">
      <c r="C17" s="56"/>
      <c r="E17" s="94">
        <v>4.0</v>
      </c>
      <c r="F17" s="100" t="s">
        <v>88</v>
      </c>
      <c r="G17" s="100">
        <v>3.24</v>
      </c>
    </row>
    <row r="18">
      <c r="C18" s="56"/>
      <c r="E18" s="94">
        <v>6.0</v>
      </c>
      <c r="F18" s="100" t="s">
        <v>108</v>
      </c>
      <c r="G18" s="100">
        <v>3.01</v>
      </c>
    </row>
    <row r="19">
      <c r="C19" s="56"/>
      <c r="E19" s="94">
        <v>7.0</v>
      </c>
      <c r="F19" s="100" t="s">
        <v>94</v>
      </c>
      <c r="G19" s="100">
        <v>2.22</v>
      </c>
    </row>
    <row r="20">
      <c r="E20" s="102">
        <v>8.0</v>
      </c>
      <c r="F20" s="100" t="s">
        <v>97</v>
      </c>
      <c r="G20" s="100">
        <v>2.21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2.1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26.0</v>
      </c>
      <c r="C2" s="71">
        <v>71.36</v>
      </c>
      <c r="D2" s="71">
        <v>135.0</v>
      </c>
      <c r="E2" s="93">
        <f t="shared" ref="E2:E8" si="1">C2/D2</f>
        <v>0.5285925926</v>
      </c>
      <c r="F2" s="72">
        <v>7.0</v>
      </c>
      <c r="G2" s="94">
        <v>50.67</v>
      </c>
      <c r="H2" s="95" t="s">
        <v>196</v>
      </c>
    </row>
    <row r="3">
      <c r="A3" s="38" t="s">
        <v>86</v>
      </c>
      <c r="B3" s="71">
        <v>18.0</v>
      </c>
      <c r="C3" s="96">
        <v>45.5</v>
      </c>
      <c r="D3" s="71">
        <v>108.0</v>
      </c>
      <c r="E3" s="93">
        <f t="shared" si="1"/>
        <v>0.4212962963</v>
      </c>
      <c r="F3" s="72">
        <v>1.0</v>
      </c>
      <c r="G3" s="97">
        <v>50.5</v>
      </c>
      <c r="H3" s="95" t="s">
        <v>197</v>
      </c>
    </row>
    <row r="4">
      <c r="A4" s="38" t="s">
        <v>88</v>
      </c>
      <c r="B4" s="71">
        <v>11.0</v>
      </c>
      <c r="C4" s="71">
        <f>54.72+19.2</f>
        <v>73.92</v>
      </c>
      <c r="D4" s="71">
        <v>100.0</v>
      </c>
      <c r="E4" s="93">
        <f t="shared" si="1"/>
        <v>0.7392</v>
      </c>
      <c r="F4" s="72">
        <v>0.0</v>
      </c>
      <c r="G4" s="97">
        <v>63.73</v>
      </c>
      <c r="H4" s="95" t="s">
        <v>198</v>
      </c>
    </row>
    <row r="5">
      <c r="A5" s="38" t="s">
        <v>90</v>
      </c>
      <c r="B5" s="71">
        <v>15.0</v>
      </c>
      <c r="C5" s="71">
        <v>90.8</v>
      </c>
      <c r="D5" s="71">
        <v>108.0</v>
      </c>
      <c r="E5" s="93">
        <f t="shared" si="1"/>
        <v>0.8407407407</v>
      </c>
      <c r="F5" s="72">
        <v>0.0</v>
      </c>
      <c r="G5" s="94">
        <v>79.6</v>
      </c>
      <c r="H5" s="95" t="s">
        <v>199</v>
      </c>
    </row>
    <row r="6">
      <c r="A6" s="38" t="s">
        <v>94</v>
      </c>
      <c r="B6" s="71">
        <v>20.0</v>
      </c>
      <c r="C6" s="71">
        <v>99.66</v>
      </c>
      <c r="D6" s="71">
        <v>130.0</v>
      </c>
      <c r="E6" s="93">
        <f t="shared" si="1"/>
        <v>0.7666153846</v>
      </c>
      <c r="F6" s="72">
        <v>3.0</v>
      </c>
      <c r="G6" s="94">
        <v>70.1</v>
      </c>
      <c r="H6" s="95" t="s">
        <v>200</v>
      </c>
    </row>
    <row r="7">
      <c r="A7" s="7" t="s">
        <v>96</v>
      </c>
      <c r="B7" s="71">
        <v>16.0</v>
      </c>
      <c r="C7" s="71">
        <v>64.4</v>
      </c>
      <c r="D7" s="71">
        <v>108.0</v>
      </c>
      <c r="E7" s="93">
        <f t="shared" si="1"/>
        <v>0.5962962963</v>
      </c>
      <c r="F7" s="72">
        <v>0.0</v>
      </c>
      <c r="G7" s="94">
        <v>40.25</v>
      </c>
      <c r="H7" s="95" t="s">
        <v>201</v>
      </c>
    </row>
    <row r="8">
      <c r="A8" s="7" t="s">
        <v>97</v>
      </c>
      <c r="B8" s="71">
        <v>10.0</v>
      </c>
      <c r="C8" s="79">
        <v>23.0</v>
      </c>
      <c r="D8" s="71">
        <v>135.0</v>
      </c>
      <c r="E8" s="93">
        <f t="shared" si="1"/>
        <v>0.1703703704</v>
      </c>
      <c r="F8" s="72">
        <v>2.0</v>
      </c>
      <c r="G8" s="94">
        <v>43.75</v>
      </c>
      <c r="H8" s="95" t="s">
        <v>202</v>
      </c>
    </row>
    <row r="9">
      <c r="C9" s="74"/>
      <c r="D9" s="38"/>
      <c r="E9" s="93"/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9" t="s">
        <v>194</v>
      </c>
      <c r="G13" s="99" t="s">
        <v>195</v>
      </c>
    </row>
    <row r="14">
      <c r="C14" s="56"/>
      <c r="E14" s="94">
        <v>1.0</v>
      </c>
      <c r="F14" s="100" t="s">
        <v>90</v>
      </c>
      <c r="G14" s="100">
        <v>4.78</v>
      </c>
    </row>
    <row r="15">
      <c r="C15" s="56"/>
      <c r="E15" s="97">
        <v>2.0</v>
      </c>
      <c r="F15" s="100" t="s">
        <v>88</v>
      </c>
      <c r="G15" s="100">
        <v>3.61</v>
      </c>
    </row>
    <row r="16">
      <c r="C16" s="56"/>
      <c r="E16" s="97">
        <v>3.0</v>
      </c>
      <c r="F16" s="100" t="s">
        <v>96</v>
      </c>
      <c r="G16" s="101">
        <v>3.61</v>
      </c>
    </row>
    <row r="17">
      <c r="C17" s="56"/>
      <c r="E17" s="94">
        <v>4.0</v>
      </c>
      <c r="F17" s="100" t="s">
        <v>94</v>
      </c>
      <c r="G17" s="100">
        <v>3.38</v>
      </c>
    </row>
    <row r="18">
      <c r="C18" s="56"/>
      <c r="E18" s="94">
        <v>6.0</v>
      </c>
      <c r="F18" s="100" t="s">
        <v>108</v>
      </c>
      <c r="G18" s="100">
        <v>3.2</v>
      </c>
    </row>
    <row r="19">
      <c r="C19" s="56"/>
      <c r="E19" s="94">
        <v>7.0</v>
      </c>
      <c r="F19" s="100" t="s">
        <v>85</v>
      </c>
      <c r="G19" s="100">
        <v>2.52</v>
      </c>
    </row>
    <row r="20">
      <c r="E20" s="102">
        <v>8.0</v>
      </c>
      <c r="F20" s="100" t="s">
        <v>97</v>
      </c>
      <c r="G20" s="100">
        <v>1.64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6.3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/>
      <c r="C2" s="71">
        <v>29.2</v>
      </c>
      <c r="D2" s="72">
        <v>95.0</v>
      </c>
      <c r="E2" s="93">
        <f t="shared" ref="E2:E8" si="1">C2/D2</f>
        <v>0.3073684211</v>
      </c>
      <c r="F2" s="71">
        <v>12.0</v>
      </c>
      <c r="G2" s="94">
        <v>30.03</v>
      </c>
      <c r="H2" s="95" t="s">
        <v>203</v>
      </c>
    </row>
    <row r="3">
      <c r="A3" s="38" t="s">
        <v>86</v>
      </c>
      <c r="B3" s="71"/>
      <c r="C3" s="96">
        <v>28.6</v>
      </c>
      <c r="D3" s="72">
        <v>80.0</v>
      </c>
      <c r="E3" s="93">
        <f t="shared" si="1"/>
        <v>0.3575</v>
      </c>
      <c r="F3" s="71">
        <v>8.0</v>
      </c>
      <c r="G3" s="97">
        <v>42.75</v>
      </c>
      <c r="H3" s="95" t="s">
        <v>204</v>
      </c>
    </row>
    <row r="4">
      <c r="A4" s="38" t="s">
        <v>88</v>
      </c>
      <c r="B4" s="71"/>
      <c r="C4" s="71">
        <v>88.36</v>
      </c>
      <c r="D4" s="71">
        <v>100.0</v>
      </c>
      <c r="E4" s="93">
        <f t="shared" si="1"/>
        <v>0.8836</v>
      </c>
      <c r="F4" s="71">
        <v>9.0</v>
      </c>
      <c r="G4" s="97">
        <v>66.67</v>
      </c>
      <c r="H4" s="95" t="s">
        <v>205</v>
      </c>
    </row>
    <row r="5">
      <c r="A5" s="38" t="s">
        <v>90</v>
      </c>
      <c r="B5" s="71"/>
      <c r="C5" s="71">
        <v>63.28</v>
      </c>
      <c r="D5" s="71">
        <v>80.0</v>
      </c>
      <c r="E5" s="93">
        <f t="shared" si="1"/>
        <v>0.791</v>
      </c>
      <c r="F5" s="71">
        <v>12.0</v>
      </c>
      <c r="G5" s="94">
        <v>48.52</v>
      </c>
      <c r="H5" s="95" t="s">
        <v>206</v>
      </c>
    </row>
    <row r="6">
      <c r="A6" s="38" t="s">
        <v>94</v>
      </c>
      <c r="B6" s="71"/>
      <c r="C6" s="71">
        <v>76.41</v>
      </c>
      <c r="D6" s="71">
        <v>100.0</v>
      </c>
      <c r="E6" s="93">
        <f t="shared" si="1"/>
        <v>0.7641</v>
      </c>
      <c r="F6" s="71">
        <v>5.0</v>
      </c>
      <c r="G6" s="94">
        <v>46.07</v>
      </c>
      <c r="H6" s="95" t="s">
        <v>207</v>
      </c>
    </row>
    <row r="7">
      <c r="A7" s="7" t="s">
        <v>96</v>
      </c>
      <c r="B7" s="71"/>
      <c r="C7" s="71">
        <v>70.0</v>
      </c>
      <c r="D7" s="71">
        <v>80.0</v>
      </c>
      <c r="E7" s="93">
        <f t="shared" si="1"/>
        <v>0.875</v>
      </c>
      <c r="F7" s="71">
        <v>12.0</v>
      </c>
      <c r="G7" s="94">
        <v>42.02</v>
      </c>
      <c r="H7" s="95" t="s">
        <v>208</v>
      </c>
    </row>
    <row r="8">
      <c r="A8" s="7" t="s">
        <v>97</v>
      </c>
      <c r="B8" s="71"/>
      <c r="C8" s="79">
        <v>45.0</v>
      </c>
      <c r="D8" s="71">
        <v>100.0</v>
      </c>
      <c r="E8" s="93">
        <f t="shared" si="1"/>
        <v>0.45</v>
      </c>
      <c r="F8" s="71">
        <v>12.0</v>
      </c>
      <c r="G8" s="94">
        <v>65.0</v>
      </c>
      <c r="H8" s="95" t="s">
        <v>209</v>
      </c>
    </row>
    <row r="9">
      <c r="C9" s="74"/>
      <c r="D9" s="38"/>
      <c r="E9" s="93"/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9" t="s">
        <v>194</v>
      </c>
      <c r="G13" s="99" t="s">
        <v>195</v>
      </c>
    </row>
    <row r="14">
      <c r="C14" s="56"/>
      <c r="E14" s="94">
        <v>1.0</v>
      </c>
      <c r="F14" s="100" t="s">
        <v>90</v>
      </c>
      <c r="G14" s="100">
        <v>4.27</v>
      </c>
    </row>
    <row r="15">
      <c r="C15" s="56"/>
      <c r="E15" s="97">
        <v>2.0</v>
      </c>
      <c r="F15" s="100" t="s">
        <v>96</v>
      </c>
      <c r="G15" s="100">
        <v>4.21</v>
      </c>
    </row>
    <row r="16">
      <c r="C16" s="56"/>
      <c r="E16" s="97">
        <v>3.0</v>
      </c>
      <c r="F16" s="100" t="s">
        <v>88</v>
      </c>
      <c r="G16" s="101">
        <v>3.95</v>
      </c>
    </row>
    <row r="17">
      <c r="C17" s="56"/>
      <c r="E17" s="94">
        <v>4.0</v>
      </c>
      <c r="F17" s="100" t="s">
        <v>94</v>
      </c>
      <c r="G17" s="100">
        <v>3.32</v>
      </c>
    </row>
    <row r="18">
      <c r="C18" s="56"/>
      <c r="E18" s="94">
        <v>6.0</v>
      </c>
      <c r="F18" s="100" t="s">
        <v>108</v>
      </c>
      <c r="G18" s="100">
        <v>2.87</v>
      </c>
    </row>
    <row r="19">
      <c r="C19" s="56"/>
      <c r="E19" s="94">
        <v>7.0</v>
      </c>
      <c r="F19" s="100" t="s">
        <v>97</v>
      </c>
      <c r="G19" s="100">
        <v>2.5</v>
      </c>
    </row>
    <row r="20">
      <c r="E20" s="102">
        <v>8.0</v>
      </c>
      <c r="F20" s="100" t="s">
        <v>85</v>
      </c>
      <c r="G20" s="100">
        <v>2.0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6.3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17.0</v>
      </c>
      <c r="C2" s="71">
        <v>62.5</v>
      </c>
      <c r="D2" s="71">
        <v>100.0</v>
      </c>
      <c r="E2" s="93">
        <f t="shared" ref="E2:E8" si="1">C2/D2</f>
        <v>0.625</v>
      </c>
      <c r="F2" s="72">
        <v>4.0</v>
      </c>
      <c r="G2" s="94">
        <v>66.0</v>
      </c>
      <c r="H2" s="95" t="s">
        <v>210</v>
      </c>
    </row>
    <row r="3">
      <c r="A3" s="38" t="s">
        <v>86</v>
      </c>
      <c r="B3" s="71">
        <v>7.0</v>
      </c>
      <c r="C3" s="96">
        <v>43.4</v>
      </c>
      <c r="D3" s="71">
        <v>76.0</v>
      </c>
      <c r="E3" s="93">
        <f t="shared" si="1"/>
        <v>0.5710526316</v>
      </c>
      <c r="F3" s="72">
        <v>1.0</v>
      </c>
      <c r="G3" s="97">
        <v>70.5</v>
      </c>
      <c r="H3" s="95" t="s">
        <v>211</v>
      </c>
    </row>
    <row r="4">
      <c r="A4" s="38" t="s">
        <v>88</v>
      </c>
      <c r="B4" s="71">
        <v>6.0</v>
      </c>
      <c r="C4" s="71">
        <v>69.2</v>
      </c>
      <c r="D4" s="71">
        <v>100.0</v>
      </c>
      <c r="E4" s="93">
        <f t="shared" si="1"/>
        <v>0.692</v>
      </c>
      <c r="F4" s="72">
        <v>1.0</v>
      </c>
      <c r="G4" s="97">
        <v>62.68</v>
      </c>
      <c r="H4" s="95" t="s">
        <v>212</v>
      </c>
    </row>
    <row r="5">
      <c r="A5" s="38" t="s">
        <v>90</v>
      </c>
      <c r="B5" s="71">
        <v>16.0</v>
      </c>
      <c r="C5" s="71">
        <v>74.7</v>
      </c>
      <c r="D5" s="71">
        <v>80.0</v>
      </c>
      <c r="E5" s="93">
        <f t="shared" si="1"/>
        <v>0.93375</v>
      </c>
      <c r="F5" s="72">
        <v>1.0</v>
      </c>
      <c r="G5" s="94">
        <v>69.63</v>
      </c>
      <c r="H5" s="95" t="s">
        <v>213</v>
      </c>
    </row>
    <row r="6">
      <c r="A6" s="38" t="s">
        <v>94</v>
      </c>
      <c r="B6" s="71">
        <v>7.0</v>
      </c>
      <c r="C6" s="71">
        <v>98.6</v>
      </c>
      <c r="D6" s="71">
        <v>100.0</v>
      </c>
      <c r="E6" s="93">
        <f t="shared" si="1"/>
        <v>0.986</v>
      </c>
      <c r="F6" s="72">
        <v>2.0</v>
      </c>
      <c r="G6" s="94">
        <v>61.25</v>
      </c>
      <c r="H6" s="95" t="s">
        <v>214</v>
      </c>
    </row>
    <row r="7">
      <c r="A7" s="7" t="s">
        <v>96</v>
      </c>
      <c r="B7" s="71">
        <v>14.0</v>
      </c>
      <c r="C7" s="71">
        <v>53.1</v>
      </c>
      <c r="D7" s="71">
        <v>80.0</v>
      </c>
      <c r="E7" s="93">
        <f t="shared" si="1"/>
        <v>0.66375</v>
      </c>
      <c r="F7" s="72">
        <v>0.0</v>
      </c>
      <c r="G7" s="94">
        <v>23.55</v>
      </c>
      <c r="H7" s="95" t="s">
        <v>215</v>
      </c>
    </row>
    <row r="8">
      <c r="A8" s="7" t="s">
        <v>97</v>
      </c>
      <c r="B8" s="71">
        <v>12.0</v>
      </c>
      <c r="C8" s="79">
        <v>33.4</v>
      </c>
      <c r="D8" s="71">
        <v>100.0</v>
      </c>
      <c r="E8" s="93">
        <f t="shared" si="1"/>
        <v>0.334</v>
      </c>
      <c r="F8" s="72">
        <v>0.0</v>
      </c>
      <c r="G8" s="94">
        <v>74.25</v>
      </c>
      <c r="H8" s="95" t="s">
        <v>216</v>
      </c>
    </row>
    <row r="9">
      <c r="C9" s="74"/>
      <c r="D9" s="38"/>
      <c r="E9" s="93"/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90</v>
      </c>
      <c r="G14" s="100">
        <v>4.69</v>
      </c>
    </row>
    <row r="15">
      <c r="C15" s="56"/>
      <c r="E15" s="97">
        <v>2.0</v>
      </c>
      <c r="F15" s="100" t="s">
        <v>96</v>
      </c>
      <c r="G15" s="100">
        <v>3.69</v>
      </c>
    </row>
    <row r="16">
      <c r="C16" s="56"/>
      <c r="E16" s="97">
        <v>3.0</v>
      </c>
      <c r="F16" s="100" t="s">
        <v>94</v>
      </c>
      <c r="G16" s="101">
        <v>3.68</v>
      </c>
    </row>
    <row r="17">
      <c r="C17" s="56"/>
      <c r="E17" s="94">
        <v>4.0</v>
      </c>
      <c r="F17" s="100" t="s">
        <v>108</v>
      </c>
      <c r="G17" s="100">
        <v>3.44</v>
      </c>
    </row>
    <row r="18">
      <c r="C18" s="56"/>
      <c r="E18" s="94">
        <v>6.0</v>
      </c>
      <c r="F18" s="100" t="s">
        <v>88</v>
      </c>
      <c r="G18" s="100">
        <v>3.16</v>
      </c>
    </row>
    <row r="19">
      <c r="C19" s="56"/>
      <c r="E19" s="94">
        <v>7.0</v>
      </c>
      <c r="F19" s="100" t="s">
        <v>85</v>
      </c>
      <c r="G19" s="100">
        <v>2.8</v>
      </c>
    </row>
    <row r="20">
      <c r="E20" s="102">
        <v>8.0</v>
      </c>
      <c r="F20" s="100" t="s">
        <v>97</v>
      </c>
      <c r="G20" s="100">
        <v>2.45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1.8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9.0</v>
      </c>
      <c r="C2" s="71">
        <v>30.0</v>
      </c>
      <c r="D2" s="71">
        <v>80.0</v>
      </c>
      <c r="E2" s="93">
        <f t="shared" ref="E2:E8" si="1">C2/D2</f>
        <v>0.375</v>
      </c>
      <c r="F2" s="72">
        <v>5.0</v>
      </c>
      <c r="G2" s="94">
        <v>39.5</v>
      </c>
      <c r="H2" s="95" t="s">
        <v>218</v>
      </c>
    </row>
    <row r="3">
      <c r="A3" s="38" t="s">
        <v>86</v>
      </c>
      <c r="B3" s="71">
        <v>4.0</v>
      </c>
      <c r="C3" s="96">
        <v>100.12</v>
      </c>
      <c r="D3" s="71">
        <v>80.0</v>
      </c>
      <c r="E3" s="93">
        <f t="shared" si="1"/>
        <v>1.2515</v>
      </c>
      <c r="F3" s="72">
        <v>1.0</v>
      </c>
      <c r="G3" s="97">
        <v>115.5</v>
      </c>
      <c r="H3" s="95" t="s">
        <v>219</v>
      </c>
    </row>
    <row r="4">
      <c r="A4" s="38" t="s">
        <v>88</v>
      </c>
      <c r="B4" s="71">
        <v>9.0</v>
      </c>
      <c r="C4" s="71">
        <v>64.1</v>
      </c>
      <c r="D4" s="71">
        <v>100.0</v>
      </c>
      <c r="E4" s="93">
        <f t="shared" si="1"/>
        <v>0.641</v>
      </c>
      <c r="F4" s="72">
        <v>0.0</v>
      </c>
      <c r="G4" s="97">
        <v>64.85</v>
      </c>
      <c r="H4" s="95" t="s">
        <v>220</v>
      </c>
    </row>
    <row r="5">
      <c r="A5" s="38" t="s">
        <v>90</v>
      </c>
      <c r="B5" s="71">
        <v>15.0</v>
      </c>
      <c r="C5" s="71">
        <v>82.42</v>
      </c>
      <c r="D5" s="71">
        <v>80.0</v>
      </c>
      <c r="E5" s="93">
        <f t="shared" si="1"/>
        <v>1.03025</v>
      </c>
      <c r="F5" s="72">
        <v>0.0</v>
      </c>
      <c r="G5" s="94">
        <v>60.58</v>
      </c>
      <c r="H5" s="95" t="s">
        <v>221</v>
      </c>
    </row>
    <row r="6">
      <c r="A6" s="38" t="s">
        <v>94</v>
      </c>
      <c r="B6" s="71">
        <v>5.0</v>
      </c>
      <c r="C6" s="71">
        <v>62.5</v>
      </c>
      <c r="D6" s="71">
        <v>100.0</v>
      </c>
      <c r="E6" s="93">
        <f t="shared" si="1"/>
        <v>0.625</v>
      </c>
      <c r="F6" s="72">
        <v>0.0</v>
      </c>
      <c r="G6" s="94">
        <v>37.62</v>
      </c>
      <c r="H6" s="95" t="s">
        <v>222</v>
      </c>
    </row>
    <row r="7">
      <c r="A7" s="7" t="s">
        <v>96</v>
      </c>
      <c r="B7" s="71">
        <v>17.0</v>
      </c>
      <c r="C7" s="71">
        <v>56.1</v>
      </c>
      <c r="D7" s="71">
        <v>80.0</v>
      </c>
      <c r="E7" s="93">
        <f t="shared" si="1"/>
        <v>0.70125</v>
      </c>
      <c r="F7" s="72">
        <v>2.0</v>
      </c>
      <c r="G7" s="94">
        <v>24.23</v>
      </c>
      <c r="H7" s="95" t="s">
        <v>223</v>
      </c>
    </row>
    <row r="8">
      <c r="A8" s="7" t="s">
        <v>97</v>
      </c>
      <c r="B8" s="71">
        <v>8.0</v>
      </c>
      <c r="C8" s="79">
        <v>38.4</v>
      </c>
      <c r="D8" s="71">
        <v>90.0</v>
      </c>
      <c r="E8" s="93">
        <f t="shared" si="1"/>
        <v>0.4266666667</v>
      </c>
      <c r="F8" s="72">
        <v>3.0</v>
      </c>
      <c r="G8" s="94">
        <v>65.42</v>
      </c>
      <c r="H8" s="95" t="s">
        <v>224</v>
      </c>
    </row>
    <row r="9">
      <c r="C9" s="74"/>
      <c r="D9" s="38"/>
      <c r="E9" s="93"/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108</v>
      </c>
      <c r="G14" s="100">
        <v>5.21</v>
      </c>
    </row>
    <row r="15">
      <c r="C15" s="56"/>
      <c r="E15" s="97">
        <v>2.0</v>
      </c>
      <c r="F15" s="100" t="s">
        <v>90</v>
      </c>
      <c r="G15" s="100">
        <v>4.98</v>
      </c>
    </row>
    <row r="16">
      <c r="C16" s="56"/>
      <c r="E16" s="97">
        <v>3.0</v>
      </c>
      <c r="F16" s="100" t="s">
        <v>96</v>
      </c>
      <c r="G16" s="101">
        <v>3.53</v>
      </c>
    </row>
    <row r="17">
      <c r="C17" s="56"/>
      <c r="E17" s="94">
        <v>4.0</v>
      </c>
      <c r="F17" s="100" t="s">
        <v>88</v>
      </c>
      <c r="G17" s="100">
        <v>3.23</v>
      </c>
    </row>
    <row r="18">
      <c r="C18" s="56"/>
      <c r="E18" s="94">
        <v>6.0</v>
      </c>
      <c r="F18" s="100" t="s">
        <v>94</v>
      </c>
      <c r="G18" s="100">
        <v>3.09</v>
      </c>
    </row>
    <row r="19">
      <c r="C19" s="56"/>
      <c r="E19" s="94">
        <v>7.0</v>
      </c>
      <c r="F19" s="100" t="s">
        <v>97</v>
      </c>
      <c r="G19" s="100">
        <v>2.21</v>
      </c>
    </row>
    <row r="20">
      <c r="E20" s="102">
        <v>8.0</v>
      </c>
      <c r="F20" s="100" t="s">
        <v>85</v>
      </c>
      <c r="G20" s="100">
        <v>1.51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1.8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14.0</v>
      </c>
      <c r="C2" s="71">
        <v>54.5</v>
      </c>
      <c r="D2" s="71">
        <v>100.0</v>
      </c>
      <c r="E2" s="93">
        <f t="shared" ref="E2:E8" si="1">C2/D2</f>
        <v>0.545</v>
      </c>
      <c r="F2" s="72">
        <v>4.0</v>
      </c>
      <c r="G2" s="94">
        <v>47.83</v>
      </c>
      <c r="H2" s="95" t="s">
        <v>225</v>
      </c>
    </row>
    <row r="3">
      <c r="A3" s="38" t="s">
        <v>86</v>
      </c>
      <c r="B3" s="71">
        <v>4.0</v>
      </c>
      <c r="C3" s="96">
        <v>49.44</v>
      </c>
      <c r="D3" s="71">
        <v>80.0</v>
      </c>
      <c r="E3" s="93">
        <f t="shared" si="1"/>
        <v>0.618</v>
      </c>
      <c r="F3" s="72">
        <v>1.0</v>
      </c>
      <c r="G3" s="97">
        <v>49.5</v>
      </c>
      <c r="H3" s="95" t="s">
        <v>226</v>
      </c>
    </row>
    <row r="4">
      <c r="A4" s="38" t="s">
        <v>88</v>
      </c>
      <c r="B4" s="71">
        <v>8.0</v>
      </c>
      <c r="C4" s="71">
        <v>49.8</v>
      </c>
      <c r="D4" s="71">
        <v>80.0</v>
      </c>
      <c r="E4" s="93">
        <f t="shared" si="1"/>
        <v>0.6225</v>
      </c>
      <c r="F4" s="72">
        <v>1.0</v>
      </c>
      <c r="G4" s="97">
        <v>54.67</v>
      </c>
      <c r="H4" s="95" t="s">
        <v>227</v>
      </c>
    </row>
    <row r="5">
      <c r="A5" s="38" t="s">
        <v>90</v>
      </c>
      <c r="B5" s="71">
        <v>7.0</v>
      </c>
      <c r="C5" s="71">
        <v>35.2</v>
      </c>
      <c r="D5" s="71">
        <v>76.0</v>
      </c>
      <c r="E5" s="93">
        <f t="shared" si="1"/>
        <v>0.4631578947</v>
      </c>
      <c r="F5" s="72">
        <v>0.0</v>
      </c>
      <c r="G5" s="94">
        <v>31.5</v>
      </c>
      <c r="H5" s="95" t="s">
        <v>228</v>
      </c>
    </row>
    <row r="6">
      <c r="A6" s="38" t="s">
        <v>94</v>
      </c>
      <c r="B6" s="71">
        <v>8.0</v>
      </c>
      <c r="C6" s="71">
        <v>71.06</v>
      </c>
      <c r="D6" s="71">
        <v>100.0</v>
      </c>
      <c r="E6" s="93">
        <f t="shared" si="1"/>
        <v>0.7106</v>
      </c>
      <c r="F6" s="72">
        <v>2.0</v>
      </c>
      <c r="G6" s="94">
        <v>45.68</v>
      </c>
      <c r="H6" s="95" t="s">
        <v>229</v>
      </c>
    </row>
    <row r="7">
      <c r="A7" s="7" t="s">
        <v>96</v>
      </c>
      <c r="B7" s="71">
        <v>8.0</v>
      </c>
      <c r="C7" s="71">
        <v>34.8</v>
      </c>
      <c r="D7" s="71">
        <v>80.0</v>
      </c>
      <c r="E7" s="93">
        <f t="shared" si="1"/>
        <v>0.435</v>
      </c>
      <c r="F7" s="72">
        <v>2.0</v>
      </c>
      <c r="G7" s="94">
        <v>19.93</v>
      </c>
      <c r="H7" s="95" t="s">
        <v>230</v>
      </c>
    </row>
    <row r="8">
      <c r="A8" s="7" t="s">
        <v>97</v>
      </c>
      <c r="B8" s="71">
        <v>11.0</v>
      </c>
      <c r="C8" s="79">
        <v>37.0</v>
      </c>
      <c r="D8" s="71">
        <v>100.0</v>
      </c>
      <c r="E8" s="93">
        <f t="shared" si="1"/>
        <v>0.37</v>
      </c>
      <c r="F8" s="72">
        <v>1.0</v>
      </c>
      <c r="G8" s="94">
        <v>78.0</v>
      </c>
      <c r="H8" s="95" t="s">
        <v>231</v>
      </c>
    </row>
    <row r="9">
      <c r="C9" s="74"/>
      <c r="D9" s="38"/>
      <c r="E9" s="93"/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108</v>
      </c>
      <c r="G14" s="100">
        <v>3.54</v>
      </c>
    </row>
    <row r="15">
      <c r="C15" s="56"/>
      <c r="E15" s="97">
        <v>2.0</v>
      </c>
      <c r="F15" s="100" t="s">
        <v>90</v>
      </c>
      <c r="G15" s="100">
        <v>3.32</v>
      </c>
    </row>
    <row r="16">
      <c r="C16" s="56"/>
      <c r="E16" s="97">
        <v>3.0</v>
      </c>
      <c r="F16" s="100" t="s">
        <v>94</v>
      </c>
      <c r="G16" s="101">
        <v>3.27</v>
      </c>
    </row>
    <row r="17">
      <c r="C17" s="56"/>
      <c r="E17" s="94">
        <v>4.0</v>
      </c>
      <c r="F17" s="100" t="s">
        <v>88</v>
      </c>
      <c r="G17" s="100">
        <v>3.05</v>
      </c>
    </row>
    <row r="18">
      <c r="C18" s="56"/>
      <c r="E18" s="94">
        <v>6.0</v>
      </c>
      <c r="F18" s="100" t="s">
        <v>85</v>
      </c>
      <c r="G18" s="100">
        <v>2.76</v>
      </c>
    </row>
    <row r="19">
      <c r="C19" s="56"/>
      <c r="E19" s="94">
        <v>7.0</v>
      </c>
      <c r="F19" s="100" t="s">
        <v>96</v>
      </c>
      <c r="G19" s="100">
        <v>2.73</v>
      </c>
    </row>
    <row r="20">
      <c r="E20" s="102">
        <v>8.0</v>
      </c>
      <c r="F20" s="100" t="s">
        <v>97</v>
      </c>
      <c r="G20" s="100">
        <v>2.46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1.8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20.0</v>
      </c>
      <c r="C2" s="71">
        <v>127.948</v>
      </c>
      <c r="D2" s="71">
        <v>165.0</v>
      </c>
      <c r="E2" s="93">
        <f t="shared" ref="E2:E9" si="1">C2/D2</f>
        <v>0.7754424242</v>
      </c>
      <c r="F2" s="72">
        <v>1.0</v>
      </c>
      <c r="G2" s="94">
        <v>103.5</v>
      </c>
      <c r="H2" s="95" t="s">
        <v>232</v>
      </c>
    </row>
    <row r="3">
      <c r="A3" s="38" t="s">
        <v>86</v>
      </c>
      <c r="B3" s="71">
        <v>13.0</v>
      </c>
      <c r="C3" s="96">
        <v>129.528</v>
      </c>
      <c r="D3" s="71">
        <v>138.75</v>
      </c>
      <c r="E3" s="93">
        <f t="shared" si="1"/>
        <v>0.9335351351</v>
      </c>
      <c r="F3" s="72">
        <v>1.0</v>
      </c>
      <c r="G3" s="97">
        <v>129.5</v>
      </c>
      <c r="H3" s="95" t="s">
        <v>233</v>
      </c>
    </row>
    <row r="4">
      <c r="A4" s="38" t="s">
        <v>88</v>
      </c>
      <c r="B4" s="71">
        <v>15.0</v>
      </c>
      <c r="C4" s="71">
        <v>113.3</v>
      </c>
      <c r="D4" s="71">
        <v>170.0</v>
      </c>
      <c r="E4" s="93">
        <f t="shared" si="1"/>
        <v>0.6664705882</v>
      </c>
      <c r="F4" s="72">
        <v>0.0</v>
      </c>
      <c r="G4" s="97">
        <v>105.28</v>
      </c>
      <c r="H4" s="95" t="s">
        <v>234</v>
      </c>
    </row>
    <row r="5">
      <c r="A5" s="38" t="s">
        <v>90</v>
      </c>
      <c r="B5" s="71">
        <v>20.0</v>
      </c>
      <c r="C5" s="71">
        <v>104.608</v>
      </c>
      <c r="D5" s="71">
        <v>135.0</v>
      </c>
      <c r="E5" s="93">
        <f t="shared" si="1"/>
        <v>0.7748740741</v>
      </c>
      <c r="F5" s="72">
        <v>0.0</v>
      </c>
      <c r="G5" s="94">
        <v>73.35</v>
      </c>
      <c r="H5" s="95" t="s">
        <v>235</v>
      </c>
    </row>
    <row r="6">
      <c r="A6" s="38" t="s">
        <v>94</v>
      </c>
      <c r="B6" s="71">
        <v>15.0</v>
      </c>
      <c r="C6" s="71">
        <v>144.282</v>
      </c>
      <c r="D6" s="71">
        <v>180.0</v>
      </c>
      <c r="E6" s="93">
        <f t="shared" si="1"/>
        <v>0.8015666667</v>
      </c>
      <c r="F6" s="72">
        <v>1.0</v>
      </c>
      <c r="G6" s="94">
        <v>94.82</v>
      </c>
      <c r="H6" s="95" t="s">
        <v>236</v>
      </c>
    </row>
    <row r="7">
      <c r="A7" s="7" t="s">
        <v>96</v>
      </c>
      <c r="B7" s="71">
        <v>15.0</v>
      </c>
      <c r="C7" s="71">
        <v>56.47</v>
      </c>
      <c r="D7" s="71">
        <v>124.0</v>
      </c>
      <c r="E7" s="93">
        <f t="shared" si="1"/>
        <v>0.4554032258</v>
      </c>
      <c r="F7" s="72">
        <v>1.0</v>
      </c>
      <c r="G7" s="94">
        <v>61.83</v>
      </c>
      <c r="H7" s="95" t="s">
        <v>237</v>
      </c>
    </row>
    <row r="8">
      <c r="A8" s="7" t="s">
        <v>97</v>
      </c>
      <c r="B8" s="71">
        <v>14.0</v>
      </c>
      <c r="C8" s="79">
        <v>48.42</v>
      </c>
      <c r="D8" s="71">
        <v>148.0</v>
      </c>
      <c r="E8" s="93">
        <f t="shared" si="1"/>
        <v>0.3271621622</v>
      </c>
      <c r="F8" s="72">
        <v>2.0</v>
      </c>
      <c r="G8" s="94">
        <v>130.42</v>
      </c>
      <c r="H8" s="95" t="s">
        <v>238</v>
      </c>
    </row>
    <row r="9">
      <c r="C9" s="42">
        <f t="shared" ref="C9:D9" si="2">SUM(C2:C7)</f>
        <v>676.136</v>
      </c>
      <c r="D9" s="39">
        <f t="shared" si="2"/>
        <v>912.75</v>
      </c>
      <c r="E9" s="93">
        <f t="shared" si="1"/>
        <v>0.7407680088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108</v>
      </c>
      <c r="G14" s="94">
        <v>4.65</v>
      </c>
    </row>
    <row r="15">
      <c r="C15" s="56"/>
      <c r="E15" s="97">
        <v>2.0</v>
      </c>
      <c r="F15" s="100" t="s">
        <v>90</v>
      </c>
      <c r="G15" s="100">
        <v>4.38</v>
      </c>
    </row>
    <row r="16">
      <c r="C16" s="56"/>
      <c r="E16" s="97">
        <v>3.0</v>
      </c>
      <c r="F16" s="100" t="s">
        <v>94</v>
      </c>
      <c r="G16" s="101">
        <v>3.66</v>
      </c>
    </row>
    <row r="17">
      <c r="C17" s="56"/>
      <c r="E17" s="94">
        <v>4.0</v>
      </c>
      <c r="F17" s="100" t="s">
        <v>85</v>
      </c>
      <c r="G17" s="100">
        <v>3.63</v>
      </c>
    </row>
    <row r="18">
      <c r="C18" s="56"/>
      <c r="E18" s="94">
        <v>6.0</v>
      </c>
      <c r="F18" s="100" t="s">
        <v>88</v>
      </c>
      <c r="G18" s="100">
        <v>3.4</v>
      </c>
    </row>
    <row r="19">
      <c r="C19" s="56"/>
      <c r="E19" s="94">
        <v>7.0</v>
      </c>
      <c r="F19" s="100" t="s">
        <v>96</v>
      </c>
      <c r="G19" s="100">
        <v>3.18</v>
      </c>
    </row>
    <row r="20">
      <c r="E20" s="102">
        <v>8.0</v>
      </c>
      <c r="F20" s="100" t="s">
        <v>239</v>
      </c>
      <c r="G20" s="100">
        <v>2.19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8.6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14.0</v>
      </c>
      <c r="C2" s="71">
        <v>57.13</v>
      </c>
      <c r="D2" s="71">
        <v>70.0</v>
      </c>
      <c r="E2" s="93">
        <f t="shared" ref="E2:E9" si="1">C2/D2</f>
        <v>0.8161428571</v>
      </c>
      <c r="F2" s="72">
        <v>1.0</v>
      </c>
      <c r="G2" s="94">
        <v>35.67</v>
      </c>
      <c r="H2" s="95" t="s">
        <v>240</v>
      </c>
    </row>
    <row r="3">
      <c r="A3" s="38" t="s">
        <v>86</v>
      </c>
      <c r="B3" s="71">
        <v>8.0</v>
      </c>
      <c r="C3" s="96">
        <v>77.06</v>
      </c>
      <c r="D3" s="71">
        <v>67.5</v>
      </c>
      <c r="E3" s="93">
        <f t="shared" si="1"/>
        <v>1.14162963</v>
      </c>
      <c r="F3" s="72">
        <v>0.0</v>
      </c>
      <c r="G3" s="97">
        <v>57.5</v>
      </c>
      <c r="H3" s="95" t="s">
        <v>241</v>
      </c>
    </row>
    <row r="4">
      <c r="A4" s="38" t="s">
        <v>88</v>
      </c>
      <c r="B4" s="71">
        <v>12.0</v>
      </c>
      <c r="C4" s="71">
        <v>76.17</v>
      </c>
      <c r="D4" s="71">
        <v>100.0</v>
      </c>
      <c r="E4" s="93">
        <f t="shared" si="1"/>
        <v>0.7617</v>
      </c>
      <c r="F4" s="72">
        <v>1.0</v>
      </c>
      <c r="G4" s="97">
        <v>52.52</v>
      </c>
      <c r="H4" s="95" t="s">
        <v>242</v>
      </c>
    </row>
    <row r="5">
      <c r="A5" s="38" t="s">
        <v>90</v>
      </c>
      <c r="B5" s="71">
        <v>19.0</v>
      </c>
      <c r="C5" s="71">
        <v>61.37</v>
      </c>
      <c r="D5" s="71">
        <v>75.0</v>
      </c>
      <c r="E5" s="93">
        <f t="shared" si="1"/>
        <v>0.8182666667</v>
      </c>
      <c r="F5" s="72">
        <v>1.0</v>
      </c>
      <c r="G5" s="94">
        <v>39.48</v>
      </c>
      <c r="H5" s="95" t="s">
        <v>243</v>
      </c>
    </row>
    <row r="6">
      <c r="A6" s="38" t="s">
        <v>94</v>
      </c>
      <c r="B6" s="71">
        <v>8.0</v>
      </c>
      <c r="C6" s="71">
        <v>124.02</v>
      </c>
      <c r="D6" s="71">
        <v>80.0</v>
      </c>
      <c r="E6" s="93">
        <f t="shared" si="1"/>
        <v>1.55025</v>
      </c>
      <c r="F6" s="72">
        <v>0.0</v>
      </c>
      <c r="G6" s="94">
        <v>82.85</v>
      </c>
      <c r="H6" s="95" t="s">
        <v>244</v>
      </c>
    </row>
    <row r="7">
      <c r="A7" s="7" t="s">
        <v>96</v>
      </c>
      <c r="B7" s="71">
        <v>10.0</v>
      </c>
      <c r="C7" s="71">
        <v>30.59</v>
      </c>
      <c r="D7" s="71">
        <v>72.0</v>
      </c>
      <c r="E7" s="93">
        <f t="shared" si="1"/>
        <v>0.4248611111</v>
      </c>
      <c r="F7" s="72">
        <v>0.0</v>
      </c>
      <c r="G7" s="94">
        <v>11.8</v>
      </c>
      <c r="H7" s="95" t="s">
        <v>245</v>
      </c>
    </row>
    <row r="8">
      <c r="A8" s="7" t="s">
        <v>97</v>
      </c>
      <c r="B8" s="71">
        <v>8.0</v>
      </c>
      <c r="C8" s="79">
        <v>17.7</v>
      </c>
      <c r="D8" s="71">
        <v>80.0</v>
      </c>
      <c r="E8" s="93">
        <f t="shared" si="1"/>
        <v>0.22125</v>
      </c>
      <c r="F8" s="72">
        <v>2.0</v>
      </c>
      <c r="G8" s="94">
        <v>73.0</v>
      </c>
      <c r="H8" s="95" t="s">
        <v>246</v>
      </c>
    </row>
    <row r="9">
      <c r="C9" s="42">
        <f t="shared" ref="C9:D9" si="2">SUM(C2:C7)</f>
        <v>426.34</v>
      </c>
      <c r="D9" s="39">
        <f t="shared" si="2"/>
        <v>464.5</v>
      </c>
      <c r="E9" s="93">
        <f t="shared" si="1"/>
        <v>0.9178471475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108</v>
      </c>
      <c r="G14" s="94">
        <v>5.27</v>
      </c>
    </row>
    <row r="15">
      <c r="C15" s="56"/>
      <c r="E15" s="97">
        <v>2.0</v>
      </c>
      <c r="F15" s="100" t="s">
        <v>94</v>
      </c>
      <c r="G15" s="100">
        <v>5.22</v>
      </c>
    </row>
    <row r="16">
      <c r="C16" s="56"/>
      <c r="E16" s="97">
        <v>3.0</v>
      </c>
      <c r="F16" s="100" t="s">
        <v>90</v>
      </c>
      <c r="G16" s="101">
        <v>4.13</v>
      </c>
    </row>
    <row r="17">
      <c r="C17" s="56"/>
      <c r="E17" s="94">
        <v>4.0</v>
      </c>
      <c r="F17" s="100" t="s">
        <v>85</v>
      </c>
      <c r="G17" s="100">
        <v>3.54</v>
      </c>
    </row>
    <row r="18">
      <c r="C18" s="56"/>
      <c r="E18" s="94">
        <v>6.0</v>
      </c>
      <c r="F18" s="100" t="s">
        <v>88</v>
      </c>
      <c r="G18" s="100">
        <v>3.45</v>
      </c>
    </row>
    <row r="19">
      <c r="C19" s="56"/>
      <c r="E19" s="94">
        <v>7.0</v>
      </c>
      <c r="F19" s="100" t="s">
        <v>96</v>
      </c>
      <c r="G19" s="100">
        <v>3.09</v>
      </c>
    </row>
    <row r="20">
      <c r="E20" s="102">
        <v>8.0</v>
      </c>
      <c r="F20" s="100" t="s">
        <v>97</v>
      </c>
      <c r="G20" s="100">
        <v>1.64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8.6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4.0</v>
      </c>
      <c r="C2" s="71">
        <v>74.392</v>
      </c>
      <c r="D2" s="71">
        <v>90.0</v>
      </c>
      <c r="E2" s="93">
        <f t="shared" ref="E2:E9" si="1">C2/D2</f>
        <v>0.8265777778</v>
      </c>
      <c r="F2" s="72">
        <v>1.0</v>
      </c>
      <c r="G2" s="94">
        <v>61.25</v>
      </c>
      <c r="H2" s="95" t="s">
        <v>247</v>
      </c>
    </row>
    <row r="3">
      <c r="A3" s="38" t="s">
        <v>86</v>
      </c>
      <c r="B3" s="71">
        <v>3.0</v>
      </c>
      <c r="C3" s="96">
        <v>66.275</v>
      </c>
      <c r="D3" s="71">
        <v>75.0</v>
      </c>
      <c r="E3" s="93">
        <f t="shared" si="1"/>
        <v>0.8836666667</v>
      </c>
      <c r="F3" s="72">
        <v>3.0</v>
      </c>
      <c r="G3" s="97">
        <v>54.5</v>
      </c>
      <c r="H3" s="95" t="s">
        <v>248</v>
      </c>
    </row>
    <row r="4">
      <c r="A4" s="38" t="s">
        <v>88</v>
      </c>
      <c r="B4" s="71">
        <v>6.0</v>
      </c>
      <c r="C4" s="71">
        <v>85.21</v>
      </c>
      <c r="D4" s="71">
        <v>100.0</v>
      </c>
      <c r="E4" s="93">
        <f t="shared" si="1"/>
        <v>0.8521</v>
      </c>
      <c r="F4" s="72">
        <v>2.0</v>
      </c>
      <c r="G4" s="97">
        <v>71.37</v>
      </c>
      <c r="H4" s="95" t="s">
        <v>249</v>
      </c>
    </row>
    <row r="5">
      <c r="A5" s="38" t="s">
        <v>90</v>
      </c>
      <c r="B5" s="71">
        <v>12.0</v>
      </c>
      <c r="C5" s="71">
        <v>73.072</v>
      </c>
      <c r="D5" s="71">
        <v>75.0</v>
      </c>
      <c r="E5" s="93">
        <f t="shared" si="1"/>
        <v>0.9742933333</v>
      </c>
      <c r="F5" s="72">
        <v>1.0</v>
      </c>
      <c r="G5" s="94">
        <v>49.82</v>
      </c>
      <c r="H5" s="95" t="s">
        <v>250</v>
      </c>
    </row>
    <row r="6">
      <c r="A6" s="38" t="s">
        <v>94</v>
      </c>
      <c r="B6" s="71">
        <v>10.0</v>
      </c>
      <c r="C6" s="71">
        <v>71.158</v>
      </c>
      <c r="D6" s="71">
        <v>100.0</v>
      </c>
      <c r="E6" s="93">
        <f t="shared" si="1"/>
        <v>0.71158</v>
      </c>
      <c r="F6" s="72">
        <v>3.0</v>
      </c>
      <c r="G6" s="94">
        <v>46.63</v>
      </c>
      <c r="H6" s="95" t="s">
        <v>251</v>
      </c>
    </row>
    <row r="7">
      <c r="A7" s="7" t="s">
        <v>96</v>
      </c>
      <c r="B7" s="71">
        <v>14.0</v>
      </c>
      <c r="C7" s="71">
        <v>44.725</v>
      </c>
      <c r="D7" s="71">
        <v>64.0</v>
      </c>
      <c r="E7" s="93">
        <f t="shared" si="1"/>
        <v>0.698828125</v>
      </c>
      <c r="F7" s="72">
        <v>1.0</v>
      </c>
      <c r="G7" s="94">
        <v>20.45</v>
      </c>
      <c r="H7" s="95" t="s">
        <v>252</v>
      </c>
    </row>
    <row r="8">
      <c r="A8" s="7" t="s">
        <v>97</v>
      </c>
      <c r="B8" s="71">
        <v>8.0</v>
      </c>
      <c r="C8" s="79">
        <v>33.7</v>
      </c>
      <c r="D8" s="71">
        <v>80.0</v>
      </c>
      <c r="E8" s="93">
        <f t="shared" si="1"/>
        <v>0.42125</v>
      </c>
      <c r="F8" s="72">
        <v>4.0</v>
      </c>
      <c r="G8" s="94">
        <v>59.0</v>
      </c>
      <c r="H8" s="95" t="s">
        <v>253</v>
      </c>
    </row>
    <row r="9">
      <c r="C9" s="42">
        <f t="shared" ref="C9:D9" si="2">SUM(C2:C7)</f>
        <v>414.832</v>
      </c>
      <c r="D9" s="39">
        <f t="shared" si="2"/>
        <v>504</v>
      </c>
      <c r="E9" s="93">
        <f t="shared" si="1"/>
        <v>0.8230793651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90</v>
      </c>
      <c r="G14" s="94">
        <v>4.71</v>
      </c>
    </row>
    <row r="15">
      <c r="C15" s="56"/>
      <c r="E15" s="97">
        <v>2.0</v>
      </c>
      <c r="F15" s="100" t="s">
        <v>96</v>
      </c>
      <c r="G15" s="100">
        <v>3.62</v>
      </c>
    </row>
    <row r="16">
      <c r="C16" s="56"/>
      <c r="E16" s="97">
        <v>3.0</v>
      </c>
      <c r="F16" s="100" t="s">
        <v>88</v>
      </c>
      <c r="G16" s="101">
        <v>3.6</v>
      </c>
    </row>
    <row r="17">
      <c r="C17" s="56"/>
      <c r="E17" s="94">
        <v>4.0</v>
      </c>
      <c r="F17" s="100" t="s">
        <v>85</v>
      </c>
      <c r="G17" s="100">
        <v>3.56</v>
      </c>
    </row>
    <row r="18">
      <c r="C18" s="56"/>
      <c r="E18" s="94">
        <v>5.0</v>
      </c>
      <c r="F18" s="100" t="s">
        <v>108</v>
      </c>
      <c r="G18" s="100">
        <v>3.46</v>
      </c>
    </row>
    <row r="19">
      <c r="C19" s="56"/>
      <c r="E19" s="94">
        <v>6.0</v>
      </c>
      <c r="F19" s="100" t="s">
        <v>94</v>
      </c>
      <c r="G19" s="100">
        <v>2.86</v>
      </c>
    </row>
    <row r="20">
      <c r="E20" s="92">
        <v>7.0</v>
      </c>
      <c r="F20" s="100" t="s">
        <v>97</v>
      </c>
      <c r="G20" s="100">
        <v>1.64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0.3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21.0</v>
      </c>
      <c r="C2" s="71">
        <v>64.17</v>
      </c>
      <c r="D2" s="71">
        <v>100.0</v>
      </c>
      <c r="E2" s="93">
        <f t="shared" ref="E2:E9" si="1">C2/D2</f>
        <v>0.6417</v>
      </c>
      <c r="F2" s="72">
        <v>3.0</v>
      </c>
      <c r="G2" s="94">
        <v>47.58</v>
      </c>
      <c r="H2" s="95" t="s">
        <v>254</v>
      </c>
    </row>
    <row r="3">
      <c r="A3" s="38" t="s">
        <v>86</v>
      </c>
      <c r="B3" s="71">
        <v>4.0</v>
      </c>
      <c r="C3" s="96">
        <v>61.997</v>
      </c>
      <c r="D3" s="71">
        <v>71.25</v>
      </c>
      <c r="E3" s="93">
        <f t="shared" si="1"/>
        <v>0.8701333333</v>
      </c>
      <c r="F3" s="72">
        <v>2.0</v>
      </c>
      <c r="G3" s="97">
        <v>45.0</v>
      </c>
      <c r="H3" s="95" t="s">
        <v>255</v>
      </c>
    </row>
    <row r="4">
      <c r="A4" s="38" t="s">
        <v>88</v>
      </c>
      <c r="B4" s="71">
        <v>8.0</v>
      </c>
      <c r="C4" s="71">
        <v>72.372</v>
      </c>
      <c r="D4" s="71">
        <v>100.0</v>
      </c>
      <c r="E4" s="93">
        <f t="shared" si="1"/>
        <v>0.72372</v>
      </c>
      <c r="F4" s="72">
        <v>1.0</v>
      </c>
      <c r="G4" s="97">
        <v>49.28</v>
      </c>
      <c r="H4" s="95" t="s">
        <v>256</v>
      </c>
    </row>
    <row r="5">
      <c r="A5" s="38" t="s">
        <v>90</v>
      </c>
      <c r="B5" s="71">
        <v>7.0</v>
      </c>
      <c r="C5" s="71">
        <v>55.55</v>
      </c>
      <c r="D5" s="71">
        <v>56.25</v>
      </c>
      <c r="E5" s="93">
        <f t="shared" si="1"/>
        <v>0.9875555556</v>
      </c>
      <c r="F5" s="72">
        <v>0.0</v>
      </c>
      <c r="G5" s="94">
        <v>36.43</v>
      </c>
      <c r="H5" s="95" t="s">
        <v>257</v>
      </c>
    </row>
    <row r="6">
      <c r="A6" s="38" t="s">
        <v>94</v>
      </c>
      <c r="B6" s="71">
        <v>7.0</v>
      </c>
      <c r="C6" s="71">
        <v>91.582</v>
      </c>
      <c r="D6" s="71">
        <v>100.0</v>
      </c>
      <c r="E6" s="93">
        <f t="shared" si="1"/>
        <v>0.91582</v>
      </c>
      <c r="F6" s="72">
        <v>2.0</v>
      </c>
      <c r="G6" s="94">
        <v>59.65</v>
      </c>
      <c r="H6" s="95" t="s">
        <v>258</v>
      </c>
    </row>
    <row r="7">
      <c r="A7" s="7" t="s">
        <v>96</v>
      </c>
      <c r="B7" s="71">
        <v>7.0</v>
      </c>
      <c r="C7" s="71">
        <v>31.305</v>
      </c>
      <c r="D7" s="71">
        <v>80.0</v>
      </c>
      <c r="E7" s="93">
        <f t="shared" si="1"/>
        <v>0.3913125</v>
      </c>
      <c r="F7" s="72">
        <v>2.0</v>
      </c>
      <c r="G7" s="94">
        <v>20.6</v>
      </c>
      <c r="H7" s="95" t="s">
        <v>259</v>
      </c>
    </row>
    <row r="8">
      <c r="A8" s="7" t="s">
        <v>97</v>
      </c>
      <c r="B8" s="71">
        <v>5.0</v>
      </c>
      <c r="C8" s="79">
        <v>65.256</v>
      </c>
      <c r="D8" s="71">
        <v>80.0</v>
      </c>
      <c r="E8" s="93">
        <f t="shared" si="1"/>
        <v>0.8157</v>
      </c>
      <c r="F8" s="72">
        <v>0.0</v>
      </c>
      <c r="G8" s="94">
        <v>82.25</v>
      </c>
      <c r="H8" s="95" t="s">
        <v>260</v>
      </c>
    </row>
    <row r="9">
      <c r="C9" s="42">
        <f t="shared" ref="C9:D9" si="2">SUM(C2:C7)</f>
        <v>376.976</v>
      </c>
      <c r="D9" s="39">
        <f t="shared" si="2"/>
        <v>507.5</v>
      </c>
      <c r="E9" s="93">
        <f t="shared" si="1"/>
        <v>0.7428098522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90</v>
      </c>
      <c r="G14" s="94">
        <v>4.73</v>
      </c>
    </row>
    <row r="15">
      <c r="C15" s="56"/>
      <c r="E15" s="97">
        <v>2.0</v>
      </c>
      <c r="F15" s="100" t="s">
        <v>94</v>
      </c>
      <c r="G15" s="100">
        <v>3.91</v>
      </c>
    </row>
    <row r="16">
      <c r="C16" s="56"/>
      <c r="E16" s="97">
        <v>3.0</v>
      </c>
      <c r="F16" s="100" t="s">
        <v>108</v>
      </c>
      <c r="G16" s="101">
        <v>3.71</v>
      </c>
    </row>
    <row r="17">
      <c r="C17" s="56"/>
      <c r="E17" s="94">
        <v>4.0</v>
      </c>
      <c r="F17" s="100" t="s">
        <v>97</v>
      </c>
      <c r="G17" s="100">
        <v>3.42</v>
      </c>
    </row>
    <row r="18">
      <c r="C18" s="56"/>
      <c r="E18" s="94">
        <v>5.0</v>
      </c>
      <c r="F18" s="100" t="s">
        <v>88</v>
      </c>
      <c r="G18" s="100">
        <v>3.3</v>
      </c>
    </row>
    <row r="19">
      <c r="C19" s="56"/>
      <c r="E19" s="94">
        <v>6.0</v>
      </c>
      <c r="F19" s="100" t="s">
        <v>85</v>
      </c>
      <c r="G19" s="100">
        <v>2.9</v>
      </c>
    </row>
    <row r="20">
      <c r="E20" s="92">
        <v>7.0</v>
      </c>
      <c r="F20" s="100" t="s">
        <v>96</v>
      </c>
      <c r="G20" s="100">
        <v>2.75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14.0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6.0</v>
      </c>
      <c r="C2" s="71">
        <f>8.8+56.12</f>
        <v>64.92</v>
      </c>
      <c r="D2" s="71">
        <v>70.0</v>
      </c>
      <c r="E2" s="93">
        <f t="shared" ref="E2:E9" si="1">C2/D2</f>
        <v>0.9274285714</v>
      </c>
      <c r="F2" s="72">
        <v>0.0</v>
      </c>
      <c r="G2" s="94">
        <v>63.67</v>
      </c>
      <c r="H2" s="95" t="s">
        <v>261</v>
      </c>
    </row>
    <row r="3">
      <c r="A3" s="38" t="s">
        <v>86</v>
      </c>
      <c r="B3" s="71">
        <v>4.0</v>
      </c>
      <c r="C3" s="96">
        <v>45.18</v>
      </c>
      <c r="D3" s="71">
        <v>52.5</v>
      </c>
      <c r="E3" s="93">
        <f t="shared" si="1"/>
        <v>0.8605714286</v>
      </c>
      <c r="F3" s="72">
        <v>0.0</v>
      </c>
      <c r="G3" s="97">
        <v>43.0</v>
      </c>
      <c r="H3" s="95" t="s">
        <v>262</v>
      </c>
    </row>
    <row r="4">
      <c r="A4" s="38" t="s">
        <v>88</v>
      </c>
      <c r="B4" s="71">
        <v>9.0</v>
      </c>
      <c r="C4" s="71">
        <v>74.072</v>
      </c>
      <c r="D4" s="71">
        <v>85.0</v>
      </c>
      <c r="E4" s="93">
        <f t="shared" si="1"/>
        <v>0.8714352941</v>
      </c>
      <c r="F4" s="72">
        <v>0.0</v>
      </c>
      <c r="G4" s="97">
        <v>56.52</v>
      </c>
      <c r="H4" s="95" t="s">
        <v>263</v>
      </c>
    </row>
    <row r="5">
      <c r="A5" s="38" t="s">
        <v>90</v>
      </c>
      <c r="B5" s="71">
        <v>6.0</v>
      </c>
      <c r="C5" s="71">
        <v>28.76</v>
      </c>
      <c r="D5" s="71">
        <v>63.75</v>
      </c>
      <c r="E5" s="93">
        <f t="shared" si="1"/>
        <v>0.4511372549</v>
      </c>
      <c r="F5" s="72">
        <v>0.0</v>
      </c>
      <c r="G5" s="94">
        <v>21.92</v>
      </c>
      <c r="H5" s="95" t="s">
        <v>264</v>
      </c>
    </row>
    <row r="6">
      <c r="A6" s="38" t="s">
        <v>94</v>
      </c>
      <c r="B6" s="71">
        <v>8.0</v>
      </c>
      <c r="C6" s="71">
        <v>88.46</v>
      </c>
      <c r="D6" s="71">
        <v>70.0</v>
      </c>
      <c r="E6" s="93">
        <f t="shared" si="1"/>
        <v>1.263714286</v>
      </c>
      <c r="F6" s="72">
        <v>2.0</v>
      </c>
      <c r="G6" s="94">
        <v>43.15</v>
      </c>
      <c r="H6" s="95" t="s">
        <v>265</v>
      </c>
    </row>
    <row r="7">
      <c r="A7" s="7" t="s">
        <v>96</v>
      </c>
      <c r="B7" s="71">
        <v>20.0</v>
      </c>
      <c r="C7" s="71">
        <v>45.444</v>
      </c>
      <c r="D7" s="71">
        <v>68.0</v>
      </c>
      <c r="E7" s="93">
        <f t="shared" si="1"/>
        <v>0.6682941176</v>
      </c>
      <c r="F7" s="72">
        <v>1.0</v>
      </c>
      <c r="G7" s="94">
        <v>12.17</v>
      </c>
      <c r="H7" s="95" t="s">
        <v>266</v>
      </c>
    </row>
    <row r="8">
      <c r="A8" s="7" t="s">
        <v>97</v>
      </c>
      <c r="B8" s="71">
        <v>8.0</v>
      </c>
      <c r="C8" s="79">
        <v>25.2</v>
      </c>
      <c r="D8" s="71">
        <v>68.0</v>
      </c>
      <c r="E8" s="93">
        <f t="shared" si="1"/>
        <v>0.3705882353</v>
      </c>
      <c r="F8" s="72" t="s">
        <v>267</v>
      </c>
      <c r="G8" s="94">
        <v>31.0</v>
      </c>
      <c r="H8" s="95" t="s">
        <v>268</v>
      </c>
    </row>
    <row r="9">
      <c r="C9" s="42">
        <f t="shared" ref="C9:D9" si="2">SUM(C2:C7)</f>
        <v>346.836</v>
      </c>
      <c r="D9" s="39">
        <f t="shared" si="2"/>
        <v>409.25</v>
      </c>
      <c r="E9" s="93">
        <f t="shared" si="1"/>
        <v>0.8474917532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94</v>
      </c>
      <c r="G14" s="94">
        <v>4.66</v>
      </c>
    </row>
    <row r="15">
      <c r="C15" s="56"/>
      <c r="E15" s="97">
        <v>2.0</v>
      </c>
      <c r="F15" s="100" t="s">
        <v>108</v>
      </c>
      <c r="G15" s="100">
        <v>4.52</v>
      </c>
    </row>
    <row r="16">
      <c r="C16" s="56"/>
      <c r="E16" s="97">
        <v>3.0</v>
      </c>
      <c r="F16" s="100" t="s">
        <v>85</v>
      </c>
      <c r="G16" s="101">
        <v>4.24</v>
      </c>
    </row>
    <row r="17">
      <c r="C17" s="56"/>
      <c r="E17" s="94">
        <v>4.0</v>
      </c>
      <c r="F17" s="100" t="s">
        <v>88</v>
      </c>
      <c r="G17" s="100">
        <v>4.0</v>
      </c>
    </row>
    <row r="18">
      <c r="C18" s="56"/>
      <c r="E18" s="94">
        <v>5.0</v>
      </c>
      <c r="F18" s="100" t="s">
        <v>96</v>
      </c>
      <c r="G18" s="100">
        <v>3.93</v>
      </c>
    </row>
    <row r="19">
      <c r="C19" s="56"/>
      <c r="E19" s="94">
        <v>6.0</v>
      </c>
      <c r="F19" s="100" t="s">
        <v>90</v>
      </c>
      <c r="G19" s="100">
        <v>3.21</v>
      </c>
    </row>
    <row r="20">
      <c r="E20" s="92">
        <v>7.0</v>
      </c>
      <c r="F20" s="94" t="s">
        <v>97</v>
      </c>
      <c r="G20" s="94">
        <v>2.32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1.0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12.0</v>
      </c>
      <c r="C2" s="71">
        <v>49.855</v>
      </c>
      <c r="D2" s="71">
        <v>100.0</v>
      </c>
      <c r="E2" s="93">
        <f t="shared" ref="E2:E9" si="1">C2/D2</f>
        <v>0.49855</v>
      </c>
      <c r="F2" s="72">
        <v>2.0</v>
      </c>
      <c r="G2" s="94">
        <v>21.0</v>
      </c>
      <c r="H2" s="95" t="s">
        <v>269</v>
      </c>
    </row>
    <row r="3">
      <c r="A3" s="38" t="s">
        <v>86</v>
      </c>
      <c r="B3" s="71">
        <v>5.0</v>
      </c>
      <c r="C3" s="96">
        <v>60.75</v>
      </c>
      <c r="D3" s="71">
        <v>75.0</v>
      </c>
      <c r="E3" s="93">
        <f t="shared" si="1"/>
        <v>0.81</v>
      </c>
      <c r="F3" s="72">
        <v>0.0</v>
      </c>
      <c r="G3" s="97">
        <v>15.0</v>
      </c>
      <c r="H3" s="95" t="s">
        <v>270</v>
      </c>
    </row>
    <row r="4">
      <c r="A4" s="38" t="s">
        <v>88</v>
      </c>
      <c r="B4" s="71">
        <v>8.0</v>
      </c>
      <c r="C4" s="71">
        <v>70.35</v>
      </c>
      <c r="D4" s="71">
        <v>100.0</v>
      </c>
      <c r="E4" s="93">
        <f t="shared" si="1"/>
        <v>0.7035</v>
      </c>
      <c r="F4" s="72">
        <v>1.0</v>
      </c>
      <c r="G4" s="97">
        <v>42.63</v>
      </c>
      <c r="H4" s="95" t="s">
        <v>271</v>
      </c>
    </row>
    <row r="5">
      <c r="A5" s="38" t="s">
        <v>90</v>
      </c>
      <c r="B5" s="71">
        <v>9.0</v>
      </c>
      <c r="C5" s="71">
        <v>116.204</v>
      </c>
      <c r="D5" s="71">
        <v>75.0</v>
      </c>
      <c r="E5" s="93">
        <f t="shared" si="1"/>
        <v>1.549386667</v>
      </c>
      <c r="F5" s="72">
        <v>0.0</v>
      </c>
      <c r="G5" s="94">
        <v>59.35</v>
      </c>
      <c r="H5" s="95" t="s">
        <v>272</v>
      </c>
    </row>
    <row r="6">
      <c r="A6" s="38" t="s">
        <v>94</v>
      </c>
      <c r="B6" s="71">
        <v>11.0</v>
      </c>
      <c r="C6" s="71">
        <v>123.486</v>
      </c>
      <c r="D6" s="71">
        <v>100.0</v>
      </c>
      <c r="E6" s="93">
        <f t="shared" si="1"/>
        <v>1.23486</v>
      </c>
      <c r="F6" s="72">
        <v>1.0</v>
      </c>
      <c r="G6" s="94">
        <v>59.4</v>
      </c>
      <c r="H6" s="95" t="s">
        <v>273</v>
      </c>
    </row>
    <row r="7">
      <c r="A7" s="7" t="s">
        <v>96</v>
      </c>
      <c r="B7" s="71">
        <v>18.0</v>
      </c>
      <c r="C7" s="71">
        <v>65.908</v>
      </c>
      <c r="D7" s="71">
        <v>72.0</v>
      </c>
      <c r="E7" s="93">
        <f t="shared" si="1"/>
        <v>0.9153888889</v>
      </c>
      <c r="F7" s="72">
        <v>0.0</v>
      </c>
      <c r="G7" s="94">
        <v>6.98</v>
      </c>
      <c r="H7" s="95" t="s">
        <v>274</v>
      </c>
    </row>
    <row r="8">
      <c r="A8" s="7" t="s">
        <v>97</v>
      </c>
      <c r="B8" s="71">
        <v>7.0</v>
      </c>
      <c r="C8" s="79">
        <v>35.902</v>
      </c>
      <c r="D8" s="71">
        <v>80.0</v>
      </c>
      <c r="E8" s="93">
        <f t="shared" si="1"/>
        <v>0.448775</v>
      </c>
      <c r="F8" s="72">
        <v>0.0</v>
      </c>
      <c r="G8" s="94">
        <v>12.0</v>
      </c>
      <c r="H8" s="95" t="s">
        <v>275</v>
      </c>
    </row>
    <row r="9">
      <c r="C9" s="42">
        <f t="shared" ref="C9:D9" si="2">SUM(C2:C7)</f>
        <v>486.553</v>
      </c>
      <c r="D9" s="39">
        <f t="shared" si="2"/>
        <v>522</v>
      </c>
      <c r="E9" s="93">
        <f t="shared" si="1"/>
        <v>0.9320938697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90</v>
      </c>
      <c r="G14" s="94">
        <v>5.34</v>
      </c>
    </row>
    <row r="15">
      <c r="C15" s="56"/>
      <c r="E15" s="97">
        <v>2.0</v>
      </c>
      <c r="F15" s="100" t="s">
        <v>94</v>
      </c>
      <c r="G15" s="100">
        <v>4.91</v>
      </c>
    </row>
    <row r="16">
      <c r="C16" s="56"/>
      <c r="E16" s="97">
        <v>3.0</v>
      </c>
      <c r="F16" s="100" t="s">
        <v>108</v>
      </c>
      <c r="G16" s="101">
        <v>4.19</v>
      </c>
    </row>
    <row r="17">
      <c r="C17" s="56"/>
      <c r="E17" s="94">
        <v>4.0</v>
      </c>
      <c r="F17" s="100" t="s">
        <v>96</v>
      </c>
      <c r="G17" s="100">
        <v>4.18</v>
      </c>
    </row>
    <row r="18">
      <c r="C18" s="56"/>
      <c r="E18" s="94">
        <v>5.0</v>
      </c>
      <c r="F18" s="100" t="s">
        <v>88</v>
      </c>
      <c r="G18" s="100">
        <v>3.2</v>
      </c>
    </row>
    <row r="19">
      <c r="C19" s="56"/>
      <c r="E19" s="94">
        <v>6.0</v>
      </c>
      <c r="F19" s="100" t="s">
        <v>85</v>
      </c>
      <c r="G19" s="100">
        <v>2.5</v>
      </c>
    </row>
    <row r="20">
      <c r="E20" s="92">
        <v>7.0</v>
      </c>
      <c r="F20" s="94" t="s">
        <v>97</v>
      </c>
      <c r="G20" s="94">
        <v>2.4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8.6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11.0</v>
      </c>
      <c r="C2" s="71">
        <v>61.948</v>
      </c>
      <c r="D2" s="71">
        <v>100.0</v>
      </c>
      <c r="E2" s="93">
        <f t="shared" ref="E2:E9" si="1">C2/D2</f>
        <v>0.61948</v>
      </c>
      <c r="F2" s="72">
        <v>5.0</v>
      </c>
      <c r="G2" s="94">
        <v>38.67</v>
      </c>
      <c r="H2" s="95" t="s">
        <v>276</v>
      </c>
    </row>
    <row r="3">
      <c r="A3" s="38" t="s">
        <v>86</v>
      </c>
      <c r="B3" s="71">
        <v>5.0</v>
      </c>
      <c r="C3" s="96">
        <v>34.83</v>
      </c>
      <c r="D3" s="71">
        <v>75.0</v>
      </c>
      <c r="E3" s="93">
        <f t="shared" si="1"/>
        <v>0.4644</v>
      </c>
      <c r="F3" s="72">
        <v>1.0</v>
      </c>
      <c r="G3" s="97">
        <v>29.0</v>
      </c>
      <c r="H3" s="95" t="s">
        <v>277</v>
      </c>
    </row>
    <row r="4">
      <c r="A4" s="38" t="s">
        <v>88</v>
      </c>
      <c r="B4" s="71">
        <v>9.0</v>
      </c>
      <c r="C4" s="71">
        <v>93.29</v>
      </c>
      <c r="D4" s="71">
        <v>100.0</v>
      </c>
      <c r="E4" s="93">
        <f t="shared" si="1"/>
        <v>0.9329</v>
      </c>
      <c r="F4" s="72">
        <v>0.0</v>
      </c>
      <c r="G4" s="97">
        <v>68.23</v>
      </c>
      <c r="H4" s="95" t="s">
        <v>278</v>
      </c>
    </row>
    <row r="5">
      <c r="A5" s="38" t="s">
        <v>90</v>
      </c>
      <c r="B5" s="71">
        <v>8.0</v>
      </c>
      <c r="C5" s="71">
        <v>57.362</v>
      </c>
      <c r="D5" s="71">
        <v>75.0</v>
      </c>
      <c r="E5" s="93">
        <f t="shared" si="1"/>
        <v>0.7648266667</v>
      </c>
      <c r="F5" s="72">
        <v>0.0</v>
      </c>
      <c r="G5" s="94">
        <v>29.75</v>
      </c>
      <c r="H5" s="95" t="s">
        <v>279</v>
      </c>
    </row>
    <row r="6">
      <c r="A6" s="38" t="s">
        <v>94</v>
      </c>
      <c r="B6" s="71">
        <v>11.0</v>
      </c>
      <c r="C6" s="71">
        <v>123.486</v>
      </c>
      <c r="D6" s="71">
        <v>100.0</v>
      </c>
      <c r="E6" s="93">
        <f t="shared" si="1"/>
        <v>1.23486</v>
      </c>
      <c r="F6" s="72">
        <v>0.0</v>
      </c>
      <c r="G6" s="94">
        <v>64.57</v>
      </c>
      <c r="H6" s="95" t="s">
        <v>280</v>
      </c>
    </row>
    <row r="7">
      <c r="A7" s="7" t="s">
        <v>96</v>
      </c>
      <c r="B7" s="71">
        <v>16.0</v>
      </c>
      <c r="C7" s="71">
        <v>47.55</v>
      </c>
      <c r="D7" s="71">
        <v>72.0</v>
      </c>
      <c r="E7" s="93">
        <f t="shared" si="1"/>
        <v>0.6604166667</v>
      </c>
      <c r="F7" s="72">
        <v>0.0</v>
      </c>
      <c r="G7" s="94">
        <v>10.98</v>
      </c>
      <c r="H7" s="95" t="s">
        <v>281</v>
      </c>
    </row>
    <row r="8">
      <c r="A8" s="7" t="s">
        <v>97</v>
      </c>
      <c r="B8" s="71">
        <v>3.0</v>
      </c>
      <c r="C8" s="79">
        <v>15.388</v>
      </c>
      <c r="D8" s="71">
        <v>80.0</v>
      </c>
      <c r="E8" s="93">
        <f t="shared" si="1"/>
        <v>0.19235</v>
      </c>
      <c r="F8" s="72">
        <v>1.0</v>
      </c>
      <c r="G8" s="94">
        <v>30.0</v>
      </c>
      <c r="H8" s="95" t="s">
        <v>282</v>
      </c>
    </row>
    <row r="9">
      <c r="C9" s="42">
        <f t="shared" ref="C9:D9" si="2">SUM(C2:C7)</f>
        <v>418.466</v>
      </c>
      <c r="D9" s="39">
        <f t="shared" si="2"/>
        <v>522</v>
      </c>
      <c r="E9" s="93">
        <f t="shared" si="1"/>
        <v>0.8016590038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94</v>
      </c>
      <c r="G14" s="94">
        <v>5.12</v>
      </c>
    </row>
    <row r="15">
      <c r="C15" s="56"/>
      <c r="E15" s="97">
        <v>2.0</v>
      </c>
      <c r="F15" s="100" t="s">
        <v>88</v>
      </c>
      <c r="G15" s="100">
        <v>4.14</v>
      </c>
    </row>
    <row r="16">
      <c r="C16" s="56"/>
      <c r="E16" s="97">
        <v>3.0</v>
      </c>
      <c r="F16" s="100" t="s">
        <v>90</v>
      </c>
      <c r="G16" s="101">
        <v>4.05</v>
      </c>
    </row>
    <row r="17">
      <c r="C17" s="56"/>
      <c r="E17" s="94">
        <v>4.0</v>
      </c>
      <c r="F17" s="100" t="s">
        <v>96</v>
      </c>
      <c r="G17" s="100">
        <v>3.73</v>
      </c>
    </row>
    <row r="18">
      <c r="C18" s="56"/>
      <c r="E18" s="94">
        <v>5.0</v>
      </c>
      <c r="F18" s="100" t="s">
        <v>108</v>
      </c>
      <c r="G18" s="100">
        <v>3.07</v>
      </c>
    </row>
    <row r="19">
      <c r="C19" s="56"/>
      <c r="E19" s="94">
        <v>6.0</v>
      </c>
      <c r="F19" s="100" t="s">
        <v>85</v>
      </c>
      <c r="G19" s="100">
        <v>2.43</v>
      </c>
    </row>
    <row r="20">
      <c r="E20" s="92">
        <v>7.0</v>
      </c>
      <c r="F20" s="94" t="s">
        <v>97</v>
      </c>
      <c r="G20" s="94">
        <v>1.5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1.0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11.0</v>
      </c>
      <c r="C2" s="71">
        <v>68.904</v>
      </c>
      <c r="D2" s="71">
        <v>95.0</v>
      </c>
      <c r="E2" s="93">
        <f t="shared" ref="E2:E9" si="1">C2/D2</f>
        <v>0.7253052632</v>
      </c>
      <c r="F2" s="72">
        <v>4.0</v>
      </c>
      <c r="G2" s="94">
        <v>59.33</v>
      </c>
      <c r="H2" s="95" t="s">
        <v>283</v>
      </c>
    </row>
    <row r="3">
      <c r="A3" s="38" t="s">
        <v>86</v>
      </c>
      <c r="B3" s="71">
        <v>10.0</v>
      </c>
      <c r="C3" s="96">
        <v>63.576</v>
      </c>
      <c r="D3" s="71">
        <v>75.0</v>
      </c>
      <c r="E3" s="93">
        <f t="shared" si="1"/>
        <v>0.84768</v>
      </c>
      <c r="F3" s="72">
        <v>3.0</v>
      </c>
      <c r="G3" s="97">
        <v>61.0</v>
      </c>
      <c r="H3" s="95" t="s">
        <v>284</v>
      </c>
    </row>
    <row r="4">
      <c r="A4" s="38" t="s">
        <v>88</v>
      </c>
      <c r="B4" s="71">
        <v>10.0</v>
      </c>
      <c r="C4" s="71">
        <v>75.32</v>
      </c>
      <c r="D4" s="71">
        <v>90.0</v>
      </c>
      <c r="E4" s="93">
        <f t="shared" si="1"/>
        <v>0.8368888889</v>
      </c>
      <c r="F4" s="72">
        <v>2.0</v>
      </c>
      <c r="G4" s="97">
        <v>58.67</v>
      </c>
      <c r="H4" s="95" t="s">
        <v>285</v>
      </c>
    </row>
    <row r="5">
      <c r="A5" s="38" t="s">
        <v>90</v>
      </c>
      <c r="B5" s="71">
        <v>3.0</v>
      </c>
      <c r="C5" s="71">
        <v>68.112</v>
      </c>
      <c r="D5" s="71">
        <v>75.0</v>
      </c>
      <c r="E5" s="93">
        <f t="shared" si="1"/>
        <v>0.90816</v>
      </c>
      <c r="F5" s="72">
        <v>0.0</v>
      </c>
      <c r="G5" s="94">
        <v>85.05</v>
      </c>
      <c r="H5" s="95" t="s">
        <v>286</v>
      </c>
    </row>
    <row r="6">
      <c r="A6" s="38" t="s">
        <v>94</v>
      </c>
      <c r="B6" s="71">
        <v>13.0</v>
      </c>
      <c r="C6" s="71">
        <v>141.545</v>
      </c>
      <c r="D6" s="71">
        <v>100.0</v>
      </c>
      <c r="E6" s="93">
        <f t="shared" si="1"/>
        <v>1.41545</v>
      </c>
      <c r="F6" s="72">
        <v>2.0</v>
      </c>
      <c r="G6" s="94">
        <v>71.5</v>
      </c>
      <c r="H6" s="95" t="s">
        <v>287</v>
      </c>
    </row>
    <row r="7">
      <c r="A7" s="7" t="s">
        <v>96</v>
      </c>
      <c r="B7" s="71">
        <v>8.0</v>
      </c>
      <c r="C7" s="71">
        <v>75.9</v>
      </c>
      <c r="D7" s="71">
        <v>80.0</v>
      </c>
      <c r="E7" s="93">
        <f t="shared" si="1"/>
        <v>0.94875</v>
      </c>
      <c r="F7" s="72">
        <v>2.0</v>
      </c>
      <c r="G7" s="94">
        <v>40.03</v>
      </c>
      <c r="H7" s="95" t="s">
        <v>288</v>
      </c>
    </row>
    <row r="8">
      <c r="A8" s="7" t="s">
        <v>97</v>
      </c>
      <c r="B8" s="71">
        <v>10.0</v>
      </c>
      <c r="C8" s="79">
        <v>47.45</v>
      </c>
      <c r="D8" s="71">
        <v>80.0</v>
      </c>
      <c r="E8" s="93">
        <f t="shared" si="1"/>
        <v>0.593125</v>
      </c>
      <c r="F8" s="72">
        <v>1.0</v>
      </c>
      <c r="G8" s="94">
        <v>58.0</v>
      </c>
      <c r="H8" s="95" t="s">
        <v>289</v>
      </c>
    </row>
    <row r="9">
      <c r="C9" s="42">
        <f t="shared" ref="C9:D9" si="2">SUM(C2:C7)</f>
        <v>493.357</v>
      </c>
      <c r="D9" s="39">
        <f t="shared" si="2"/>
        <v>515</v>
      </c>
      <c r="E9" s="93">
        <f t="shared" si="1"/>
        <v>0.9579747573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90</v>
      </c>
      <c r="G14" s="94">
        <v>4.58</v>
      </c>
    </row>
    <row r="15">
      <c r="C15" s="56"/>
      <c r="E15" s="97">
        <v>2.0</v>
      </c>
      <c r="F15" s="100" t="s">
        <v>94</v>
      </c>
      <c r="G15" s="100">
        <v>4.46</v>
      </c>
    </row>
    <row r="16">
      <c r="C16" s="56"/>
      <c r="E16" s="97">
        <v>3.0</v>
      </c>
      <c r="F16" s="100" t="s">
        <v>96</v>
      </c>
      <c r="G16" s="103">
        <v>4.03</v>
      </c>
    </row>
    <row r="17">
      <c r="C17" s="56"/>
      <c r="E17" s="94">
        <v>4.0</v>
      </c>
      <c r="F17" s="100" t="s">
        <v>108</v>
      </c>
      <c r="G17" s="100">
        <v>3.69</v>
      </c>
    </row>
    <row r="18">
      <c r="C18" s="56"/>
      <c r="E18" s="94">
        <v>5.0</v>
      </c>
      <c r="F18" s="100" t="s">
        <v>88</v>
      </c>
      <c r="G18" s="100">
        <v>3.43</v>
      </c>
    </row>
    <row r="19">
      <c r="C19" s="56"/>
      <c r="E19" s="94">
        <v>6.0</v>
      </c>
      <c r="F19" s="100" t="s">
        <v>97</v>
      </c>
      <c r="G19" s="100">
        <v>2.58</v>
      </c>
    </row>
    <row r="20">
      <c r="E20" s="92">
        <v>7.0</v>
      </c>
      <c r="F20" s="94" t="s">
        <v>85</v>
      </c>
      <c r="G20" s="94">
        <v>2.51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9.8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6.0</v>
      </c>
      <c r="C2" s="71">
        <v>77.17</v>
      </c>
      <c r="D2" s="71">
        <v>100.0</v>
      </c>
      <c r="E2" s="93">
        <f t="shared" ref="E2:E9" si="1">C2/D2</f>
        <v>0.7717</v>
      </c>
      <c r="F2" s="72">
        <v>1.0</v>
      </c>
      <c r="G2" s="94">
        <v>67.5</v>
      </c>
      <c r="H2" s="95" t="s">
        <v>290</v>
      </c>
    </row>
    <row r="3">
      <c r="A3" s="38" t="s">
        <v>86</v>
      </c>
      <c r="B3" s="71">
        <v>3.0</v>
      </c>
      <c r="C3" s="96">
        <v>13.45</v>
      </c>
      <c r="D3" s="71">
        <v>37.5</v>
      </c>
      <c r="E3" s="93">
        <f t="shared" si="1"/>
        <v>0.3586666667</v>
      </c>
      <c r="F3" s="72">
        <v>1.0</v>
      </c>
      <c r="G3" s="97">
        <v>6.0</v>
      </c>
      <c r="H3" s="95" t="s">
        <v>291</v>
      </c>
    </row>
    <row r="4">
      <c r="A4" s="38" t="s">
        <v>88</v>
      </c>
      <c r="B4" s="71">
        <v>11.0</v>
      </c>
      <c r="C4" s="71">
        <v>79.425</v>
      </c>
      <c r="D4" s="71">
        <v>90.0</v>
      </c>
      <c r="E4" s="93">
        <f t="shared" si="1"/>
        <v>0.8825</v>
      </c>
      <c r="F4" s="72">
        <v>0.0</v>
      </c>
      <c r="G4" s="97">
        <v>58.52</v>
      </c>
      <c r="H4" s="95" t="s">
        <v>292</v>
      </c>
    </row>
    <row r="5">
      <c r="A5" s="38" t="s">
        <v>90</v>
      </c>
      <c r="B5" s="71">
        <v>8.0</v>
      </c>
      <c r="C5" s="71">
        <v>41.55</v>
      </c>
      <c r="D5" s="71">
        <v>37.5</v>
      </c>
      <c r="E5" s="93">
        <f t="shared" si="1"/>
        <v>1.108</v>
      </c>
      <c r="F5" s="72">
        <v>1.0</v>
      </c>
      <c r="G5" s="94">
        <v>32.98</v>
      </c>
      <c r="H5" s="95" t="s">
        <v>293</v>
      </c>
    </row>
    <row r="6">
      <c r="A6" s="38" t="s">
        <v>94</v>
      </c>
      <c r="B6" s="71">
        <v>1.0</v>
      </c>
      <c r="C6" s="71">
        <v>18.72</v>
      </c>
      <c r="D6" s="71">
        <v>60.0</v>
      </c>
      <c r="E6" s="93">
        <f t="shared" si="1"/>
        <v>0.312</v>
      </c>
      <c r="F6" s="72">
        <v>0.0</v>
      </c>
      <c r="G6" s="94">
        <v>28.52</v>
      </c>
      <c r="H6" s="95" t="s">
        <v>294</v>
      </c>
    </row>
    <row r="7">
      <c r="A7" s="7" t="s">
        <v>96</v>
      </c>
      <c r="B7" s="71">
        <v>10.0</v>
      </c>
      <c r="C7" s="79">
        <v>27.916</v>
      </c>
      <c r="D7" s="71">
        <v>56.0</v>
      </c>
      <c r="E7" s="93">
        <f t="shared" si="1"/>
        <v>0.4985</v>
      </c>
      <c r="F7" s="72">
        <v>3.0</v>
      </c>
      <c r="G7" s="94">
        <v>17.45</v>
      </c>
      <c r="H7" s="95" t="s">
        <v>295</v>
      </c>
    </row>
    <row r="8">
      <c r="A8" s="7" t="s">
        <v>97</v>
      </c>
      <c r="B8" s="71">
        <v>9.0</v>
      </c>
      <c r="C8" s="79">
        <v>25.9</v>
      </c>
      <c r="D8" s="71">
        <v>80.0</v>
      </c>
      <c r="E8" s="93">
        <f t="shared" si="1"/>
        <v>0.32375</v>
      </c>
      <c r="F8" s="72">
        <v>3.0</v>
      </c>
      <c r="G8" s="94">
        <v>52.0</v>
      </c>
      <c r="H8" s="95" t="s">
        <v>296</v>
      </c>
    </row>
    <row r="9">
      <c r="C9" s="42">
        <f t="shared" ref="C9:D9" si="2">SUM(C2:C7)</f>
        <v>258.231</v>
      </c>
      <c r="D9" s="39">
        <f t="shared" si="2"/>
        <v>381</v>
      </c>
      <c r="E9" s="93">
        <f t="shared" si="1"/>
        <v>0.6777716535</v>
      </c>
      <c r="G9" s="98"/>
      <c r="H9" s="56"/>
    </row>
    <row r="10">
      <c r="C10" s="56"/>
      <c r="E10" s="56"/>
      <c r="G10" s="98"/>
    </row>
    <row r="11">
      <c r="C11" s="56"/>
      <c r="E11" s="56"/>
      <c r="G11" s="98"/>
    </row>
    <row r="12">
      <c r="C12" s="56"/>
      <c r="E12" s="56"/>
      <c r="G12" s="98"/>
    </row>
    <row r="13">
      <c r="C13" s="56"/>
      <c r="E13" s="94" t="s">
        <v>193</v>
      </c>
      <c r="F13" s="94" t="s">
        <v>194</v>
      </c>
      <c r="G13" s="94" t="s">
        <v>217</v>
      </c>
    </row>
    <row r="14">
      <c r="C14" s="56"/>
      <c r="E14" s="94">
        <v>1.0</v>
      </c>
      <c r="F14" s="100" t="s">
        <v>90</v>
      </c>
      <c r="G14" s="94">
        <v>4.54</v>
      </c>
    </row>
    <row r="15">
      <c r="C15" s="56"/>
      <c r="E15" s="97">
        <v>2.0</v>
      </c>
      <c r="F15" s="100" t="s">
        <v>88</v>
      </c>
      <c r="G15" s="100">
        <v>4.15</v>
      </c>
    </row>
    <row r="16">
      <c r="C16" s="56"/>
      <c r="E16" s="97">
        <v>3.0</v>
      </c>
      <c r="F16" s="100" t="s">
        <v>85</v>
      </c>
      <c r="G16" s="100">
        <v>3.31</v>
      </c>
    </row>
    <row r="17">
      <c r="C17" s="56"/>
      <c r="E17" s="94">
        <v>4.0</v>
      </c>
      <c r="F17" s="100" t="s">
        <v>96</v>
      </c>
      <c r="G17" s="100">
        <v>2.59</v>
      </c>
    </row>
    <row r="18">
      <c r="C18" s="56"/>
      <c r="E18" s="94">
        <v>5.0</v>
      </c>
      <c r="F18" s="100" t="s">
        <v>94</v>
      </c>
      <c r="G18" s="100">
        <v>2.27</v>
      </c>
    </row>
    <row r="19">
      <c r="C19" s="56"/>
      <c r="E19" s="94">
        <v>6.0</v>
      </c>
      <c r="F19" s="100" t="s">
        <v>108</v>
      </c>
      <c r="G19" s="100">
        <v>1.84</v>
      </c>
    </row>
    <row r="20">
      <c r="E20" s="92">
        <v>7.0</v>
      </c>
      <c r="F20" s="94" t="s">
        <v>97</v>
      </c>
      <c r="G20" s="94">
        <v>1.42</v>
      </c>
    </row>
    <row r="21">
      <c r="G21" s="98"/>
    </row>
    <row r="22">
      <c r="G22" s="98"/>
    </row>
    <row r="23">
      <c r="G23" s="98"/>
    </row>
    <row r="24">
      <c r="G24" s="98"/>
    </row>
    <row r="25">
      <c r="G25" s="98"/>
    </row>
    <row r="26">
      <c r="G26" s="98"/>
    </row>
    <row r="27">
      <c r="G27" s="98"/>
    </row>
    <row r="28">
      <c r="G28" s="98"/>
    </row>
    <row r="29">
      <c r="G29" s="98"/>
    </row>
    <row r="30">
      <c r="G30" s="98"/>
    </row>
    <row r="31">
      <c r="G31" s="98"/>
    </row>
    <row r="32">
      <c r="G32" s="98"/>
    </row>
    <row r="33">
      <c r="G33" s="98"/>
    </row>
    <row r="34">
      <c r="G34" s="98"/>
    </row>
    <row r="35">
      <c r="G35" s="98"/>
    </row>
    <row r="36">
      <c r="G36" s="98"/>
    </row>
    <row r="37">
      <c r="G37" s="98"/>
    </row>
    <row r="38">
      <c r="G38" s="98"/>
    </row>
    <row r="39">
      <c r="G39" s="98"/>
    </row>
    <row r="40">
      <c r="G40" s="98"/>
    </row>
    <row r="41">
      <c r="G41" s="98"/>
    </row>
    <row r="42">
      <c r="G42" s="98"/>
    </row>
    <row r="43">
      <c r="G43" s="98"/>
    </row>
    <row r="44">
      <c r="G44" s="98"/>
    </row>
    <row r="45">
      <c r="G45" s="98"/>
    </row>
    <row r="46">
      <c r="G46" s="98"/>
    </row>
    <row r="47">
      <c r="G47" s="98"/>
    </row>
    <row r="48">
      <c r="G48" s="98"/>
    </row>
    <row r="49">
      <c r="G49" s="98"/>
    </row>
    <row r="50">
      <c r="G50" s="98"/>
    </row>
    <row r="51">
      <c r="G51" s="98"/>
    </row>
    <row r="52">
      <c r="G52" s="98"/>
    </row>
    <row r="53">
      <c r="G53" s="98"/>
    </row>
    <row r="54">
      <c r="G54" s="98"/>
    </row>
    <row r="55">
      <c r="G55" s="98"/>
    </row>
    <row r="56">
      <c r="G56" s="98"/>
    </row>
    <row r="57">
      <c r="G57" s="98"/>
    </row>
    <row r="58">
      <c r="G58" s="98"/>
    </row>
    <row r="59">
      <c r="G59" s="98"/>
    </row>
    <row r="60">
      <c r="G60" s="98"/>
    </row>
    <row r="61">
      <c r="G61" s="98"/>
    </row>
    <row r="62">
      <c r="G62" s="98"/>
    </row>
    <row r="63">
      <c r="G63" s="98"/>
    </row>
    <row r="64">
      <c r="G64" s="98"/>
    </row>
    <row r="65">
      <c r="G65" s="98"/>
    </row>
    <row r="66">
      <c r="G66" s="98"/>
    </row>
    <row r="67">
      <c r="G67" s="98"/>
    </row>
    <row r="68">
      <c r="G68" s="98"/>
    </row>
    <row r="69">
      <c r="G69" s="98"/>
    </row>
    <row r="70">
      <c r="G70" s="98"/>
    </row>
    <row r="71">
      <c r="G71" s="98"/>
    </row>
    <row r="72">
      <c r="G72" s="98"/>
    </row>
    <row r="73">
      <c r="G73" s="98"/>
    </row>
    <row r="74">
      <c r="G74" s="98"/>
    </row>
    <row r="75">
      <c r="G75" s="98"/>
    </row>
    <row r="76">
      <c r="G76" s="98"/>
    </row>
    <row r="77">
      <c r="G77" s="98"/>
    </row>
    <row r="78">
      <c r="G78" s="98"/>
    </row>
    <row r="79">
      <c r="G79" s="98"/>
    </row>
    <row r="80">
      <c r="G80" s="98"/>
    </row>
    <row r="81">
      <c r="G81" s="98"/>
    </row>
    <row r="82">
      <c r="G82" s="98"/>
    </row>
    <row r="83">
      <c r="G83" s="98"/>
    </row>
    <row r="84">
      <c r="G84" s="98"/>
    </row>
    <row r="85">
      <c r="G85" s="98"/>
    </row>
    <row r="86">
      <c r="G86" s="98"/>
    </row>
    <row r="87">
      <c r="G87" s="98"/>
    </row>
    <row r="88">
      <c r="G88" s="98"/>
    </row>
    <row r="89">
      <c r="G89" s="98"/>
    </row>
    <row r="90">
      <c r="G90" s="98"/>
    </row>
    <row r="91">
      <c r="G91" s="98"/>
    </row>
    <row r="92">
      <c r="G92" s="98"/>
    </row>
    <row r="93">
      <c r="G93" s="98"/>
    </row>
    <row r="94">
      <c r="G94" s="98"/>
    </row>
    <row r="95">
      <c r="G95" s="98"/>
    </row>
    <row r="96">
      <c r="G96" s="98"/>
    </row>
    <row r="97">
      <c r="G97" s="98"/>
    </row>
    <row r="98">
      <c r="G98" s="98"/>
    </row>
    <row r="99">
      <c r="G99" s="98"/>
    </row>
    <row r="100">
      <c r="G100" s="98"/>
    </row>
    <row r="101">
      <c r="G101" s="98"/>
    </row>
    <row r="102">
      <c r="G102" s="98"/>
    </row>
    <row r="103">
      <c r="G103" s="98"/>
    </row>
    <row r="104">
      <c r="G104" s="98"/>
    </row>
    <row r="105">
      <c r="G105" s="98"/>
    </row>
    <row r="106">
      <c r="G106" s="98"/>
    </row>
    <row r="107">
      <c r="G107" s="98"/>
    </row>
    <row r="108">
      <c r="G108" s="98"/>
    </row>
    <row r="109">
      <c r="G109" s="98"/>
    </row>
    <row r="110">
      <c r="G110" s="98"/>
    </row>
    <row r="111">
      <c r="G111" s="98"/>
    </row>
    <row r="112">
      <c r="G112" s="98"/>
    </row>
    <row r="113">
      <c r="G113" s="98"/>
    </row>
    <row r="114">
      <c r="G114" s="98"/>
    </row>
    <row r="115">
      <c r="G115" s="98"/>
    </row>
    <row r="116">
      <c r="G116" s="98"/>
    </row>
    <row r="117">
      <c r="G117" s="98"/>
    </row>
    <row r="118">
      <c r="G118" s="98"/>
    </row>
    <row r="119">
      <c r="G119" s="98"/>
    </row>
    <row r="120">
      <c r="G120" s="98"/>
    </row>
    <row r="121">
      <c r="G121" s="98"/>
    </row>
    <row r="122">
      <c r="G122" s="98"/>
    </row>
    <row r="123">
      <c r="G123" s="98"/>
    </row>
    <row r="124">
      <c r="G124" s="98"/>
    </row>
    <row r="125">
      <c r="G125" s="98"/>
    </row>
    <row r="126">
      <c r="G126" s="98"/>
    </row>
    <row r="127">
      <c r="G127" s="98"/>
    </row>
    <row r="128">
      <c r="G128" s="98"/>
    </row>
    <row r="129">
      <c r="G129" s="98"/>
    </row>
    <row r="130">
      <c r="G130" s="98"/>
    </row>
    <row r="131">
      <c r="G131" s="98"/>
    </row>
    <row r="132">
      <c r="G132" s="98"/>
    </row>
    <row r="133">
      <c r="G133" s="98"/>
    </row>
    <row r="134">
      <c r="G134" s="98"/>
    </row>
    <row r="135">
      <c r="G135" s="98"/>
    </row>
    <row r="136">
      <c r="G136" s="98"/>
    </row>
    <row r="137">
      <c r="G137" s="98"/>
    </row>
    <row r="138">
      <c r="G138" s="98"/>
    </row>
    <row r="139">
      <c r="G139" s="98"/>
    </row>
    <row r="140">
      <c r="G140" s="98"/>
    </row>
    <row r="141">
      <c r="G141" s="98"/>
    </row>
    <row r="142">
      <c r="G142" s="98"/>
    </row>
    <row r="143">
      <c r="G143" s="98"/>
    </row>
    <row r="144">
      <c r="G144" s="98"/>
    </row>
    <row r="145">
      <c r="G145" s="98"/>
    </row>
    <row r="146">
      <c r="G146" s="98"/>
    </row>
    <row r="147">
      <c r="G147" s="98"/>
    </row>
    <row r="148">
      <c r="G148" s="98"/>
    </row>
    <row r="149">
      <c r="G149" s="98"/>
    </row>
    <row r="150">
      <c r="G150" s="98"/>
    </row>
    <row r="151">
      <c r="G151" s="98"/>
    </row>
    <row r="152">
      <c r="G152" s="98"/>
    </row>
    <row r="153">
      <c r="G153" s="98"/>
    </row>
    <row r="154">
      <c r="G154" s="98"/>
    </row>
    <row r="155">
      <c r="G155" s="98"/>
    </row>
    <row r="156">
      <c r="G156" s="98"/>
    </row>
    <row r="157">
      <c r="G157" s="98"/>
    </row>
    <row r="158">
      <c r="G158" s="98"/>
    </row>
    <row r="159">
      <c r="G159" s="98"/>
    </row>
    <row r="160">
      <c r="G160" s="98"/>
    </row>
    <row r="161">
      <c r="G161" s="98"/>
    </row>
    <row r="162">
      <c r="G162" s="98"/>
    </row>
    <row r="163">
      <c r="G163" s="98"/>
    </row>
    <row r="164">
      <c r="G164" s="98"/>
    </row>
    <row r="165">
      <c r="G165" s="98"/>
    </row>
    <row r="166">
      <c r="G166" s="98"/>
    </row>
    <row r="167">
      <c r="G167" s="98"/>
    </row>
    <row r="168">
      <c r="G168" s="98"/>
    </row>
    <row r="169">
      <c r="G169" s="98"/>
    </row>
    <row r="170">
      <c r="G170" s="98"/>
    </row>
    <row r="171">
      <c r="G171" s="98"/>
    </row>
    <row r="172">
      <c r="G172" s="98"/>
    </row>
    <row r="173">
      <c r="G173" s="98"/>
    </row>
    <row r="174">
      <c r="G174" s="98"/>
    </row>
    <row r="175">
      <c r="G175" s="98"/>
    </row>
    <row r="176">
      <c r="G176" s="98"/>
    </row>
    <row r="177">
      <c r="G177" s="98"/>
    </row>
    <row r="178">
      <c r="G178" s="98"/>
    </row>
    <row r="179">
      <c r="G179" s="98"/>
    </row>
    <row r="180">
      <c r="G180" s="98"/>
    </row>
    <row r="181">
      <c r="G181" s="98"/>
    </row>
    <row r="182">
      <c r="G182" s="98"/>
    </row>
    <row r="183">
      <c r="G183" s="98"/>
    </row>
    <row r="184">
      <c r="G184" s="98"/>
    </row>
    <row r="185">
      <c r="G185" s="98"/>
    </row>
    <row r="186">
      <c r="G186" s="98"/>
    </row>
    <row r="187">
      <c r="G187" s="98"/>
    </row>
    <row r="188">
      <c r="G188" s="98"/>
    </row>
    <row r="189">
      <c r="G189" s="98"/>
    </row>
    <row r="190">
      <c r="G190" s="98"/>
    </row>
    <row r="191">
      <c r="G191" s="98"/>
    </row>
    <row r="192">
      <c r="G192" s="98"/>
    </row>
    <row r="193">
      <c r="G193" s="98"/>
    </row>
    <row r="194">
      <c r="G194" s="98"/>
    </row>
    <row r="195">
      <c r="G195" s="98"/>
    </row>
    <row r="196">
      <c r="G196" s="98"/>
    </row>
    <row r="197">
      <c r="G197" s="98"/>
    </row>
    <row r="198">
      <c r="G198" s="98"/>
    </row>
    <row r="199">
      <c r="G199" s="98"/>
    </row>
    <row r="200">
      <c r="G200" s="98"/>
    </row>
    <row r="201">
      <c r="G201" s="98"/>
    </row>
    <row r="202">
      <c r="G202" s="98"/>
    </row>
    <row r="203">
      <c r="G203" s="98"/>
    </row>
    <row r="204">
      <c r="G204" s="98"/>
    </row>
    <row r="205">
      <c r="G205" s="98"/>
    </row>
    <row r="206">
      <c r="G206" s="98"/>
    </row>
    <row r="207">
      <c r="G207" s="98"/>
    </row>
    <row r="208">
      <c r="G208" s="98"/>
    </row>
    <row r="209">
      <c r="G209" s="98"/>
    </row>
    <row r="210">
      <c r="G210" s="98"/>
    </row>
    <row r="211">
      <c r="G211" s="98"/>
    </row>
    <row r="212">
      <c r="G212" s="98"/>
    </row>
    <row r="213">
      <c r="G213" s="98"/>
    </row>
    <row r="214">
      <c r="G214" s="98"/>
    </row>
    <row r="215">
      <c r="G215" s="98"/>
    </row>
    <row r="216">
      <c r="G216" s="98"/>
    </row>
    <row r="217">
      <c r="G217" s="98"/>
    </row>
    <row r="218">
      <c r="G218" s="98"/>
    </row>
    <row r="219">
      <c r="G219" s="98"/>
    </row>
    <row r="220">
      <c r="G220" s="98"/>
    </row>
    <row r="221">
      <c r="G221" s="98"/>
    </row>
    <row r="222">
      <c r="G222" s="98"/>
    </row>
    <row r="223">
      <c r="G223" s="98"/>
    </row>
    <row r="224">
      <c r="G224" s="98"/>
    </row>
    <row r="225">
      <c r="G225" s="98"/>
    </row>
    <row r="226">
      <c r="G226" s="98"/>
    </row>
    <row r="227">
      <c r="G227" s="98"/>
    </row>
    <row r="228">
      <c r="G228" s="98"/>
    </row>
    <row r="229">
      <c r="G229" s="98"/>
    </row>
    <row r="230">
      <c r="G230" s="98"/>
    </row>
    <row r="231">
      <c r="G231" s="98"/>
    </row>
    <row r="232">
      <c r="G232" s="98"/>
    </row>
    <row r="233">
      <c r="G233" s="98"/>
    </row>
    <row r="234">
      <c r="G234" s="98"/>
    </row>
    <row r="235">
      <c r="G235" s="98"/>
    </row>
    <row r="236">
      <c r="G236" s="98"/>
    </row>
    <row r="237">
      <c r="G237" s="98"/>
    </row>
    <row r="238">
      <c r="G238" s="98"/>
    </row>
    <row r="239">
      <c r="G239" s="98"/>
    </row>
    <row r="240">
      <c r="G240" s="98"/>
    </row>
    <row r="241">
      <c r="G241" s="98"/>
    </row>
    <row r="242">
      <c r="G242" s="98"/>
    </row>
    <row r="243">
      <c r="G243" s="98"/>
    </row>
    <row r="244">
      <c r="G244" s="98"/>
    </row>
    <row r="245">
      <c r="G245" s="98"/>
    </row>
    <row r="246">
      <c r="G246" s="98"/>
    </row>
    <row r="247">
      <c r="G247" s="98"/>
    </row>
    <row r="248">
      <c r="G248" s="98"/>
    </row>
    <row r="249">
      <c r="G249" s="98"/>
    </row>
    <row r="250">
      <c r="G250" s="98"/>
    </row>
    <row r="251">
      <c r="G251" s="98"/>
    </row>
    <row r="252">
      <c r="G252" s="98"/>
    </row>
    <row r="253">
      <c r="G253" s="98"/>
    </row>
    <row r="254">
      <c r="G254" s="98"/>
    </row>
    <row r="255">
      <c r="G255" s="98"/>
    </row>
    <row r="256">
      <c r="G256" s="98"/>
    </row>
    <row r="257">
      <c r="G257" s="98"/>
    </row>
    <row r="258">
      <c r="G258" s="98"/>
    </row>
    <row r="259">
      <c r="G259" s="98"/>
    </row>
    <row r="260">
      <c r="G260" s="98"/>
    </row>
    <row r="261">
      <c r="G261" s="98"/>
    </row>
    <row r="262">
      <c r="G262" s="98"/>
    </row>
    <row r="263">
      <c r="G263" s="98"/>
    </row>
    <row r="264">
      <c r="G264" s="98"/>
    </row>
    <row r="265">
      <c r="G265" s="98"/>
    </row>
    <row r="266">
      <c r="G266" s="98"/>
    </row>
    <row r="267">
      <c r="G267" s="98"/>
    </row>
    <row r="268">
      <c r="G268" s="98"/>
    </row>
    <row r="269">
      <c r="G269" s="98"/>
    </row>
    <row r="270">
      <c r="G270" s="98"/>
    </row>
    <row r="271">
      <c r="G271" s="98"/>
    </row>
    <row r="272">
      <c r="G272" s="98"/>
    </row>
    <row r="273">
      <c r="G273" s="98"/>
    </row>
    <row r="274">
      <c r="G274" s="98"/>
    </row>
    <row r="275">
      <c r="G275" s="98"/>
    </row>
    <row r="276">
      <c r="G276" s="98"/>
    </row>
    <row r="277">
      <c r="G277" s="98"/>
    </row>
    <row r="278">
      <c r="G278" s="98"/>
    </row>
    <row r="279">
      <c r="G279" s="98"/>
    </row>
    <row r="280">
      <c r="G280" s="98"/>
    </row>
    <row r="281">
      <c r="G281" s="98"/>
    </row>
    <row r="282">
      <c r="G282" s="98"/>
    </row>
    <row r="283">
      <c r="G283" s="98"/>
    </row>
    <row r="284">
      <c r="G284" s="98"/>
    </row>
    <row r="285">
      <c r="G285" s="98"/>
    </row>
    <row r="286">
      <c r="G286" s="98"/>
    </row>
    <row r="287">
      <c r="G287" s="98"/>
    </row>
    <row r="288">
      <c r="G288" s="98"/>
    </row>
    <row r="289">
      <c r="G289" s="98"/>
    </row>
    <row r="290">
      <c r="G290" s="98"/>
    </row>
    <row r="291">
      <c r="G291" s="98"/>
    </row>
    <row r="292">
      <c r="G292" s="98"/>
    </row>
    <row r="293">
      <c r="G293" s="98"/>
    </row>
    <row r="294">
      <c r="G294" s="98"/>
    </row>
    <row r="295">
      <c r="G295" s="98"/>
    </row>
    <row r="296">
      <c r="G296" s="98"/>
    </row>
    <row r="297">
      <c r="G297" s="98"/>
    </row>
    <row r="298">
      <c r="G298" s="98"/>
    </row>
    <row r="299">
      <c r="G299" s="98"/>
    </row>
    <row r="300">
      <c r="G300" s="98"/>
    </row>
    <row r="301">
      <c r="G301" s="98"/>
    </row>
    <row r="302">
      <c r="G302" s="98"/>
    </row>
    <row r="303">
      <c r="G303" s="98"/>
    </row>
    <row r="304">
      <c r="G304" s="98"/>
    </row>
    <row r="305">
      <c r="G305" s="98"/>
    </row>
    <row r="306">
      <c r="G306" s="98"/>
    </row>
    <row r="307">
      <c r="G307" s="98"/>
    </row>
    <row r="308">
      <c r="G308" s="98"/>
    </row>
    <row r="309">
      <c r="G309" s="98"/>
    </row>
    <row r="310">
      <c r="G310" s="98"/>
    </row>
    <row r="311">
      <c r="G311" s="98"/>
    </row>
    <row r="312">
      <c r="G312" s="98"/>
    </row>
    <row r="313">
      <c r="G313" s="98"/>
    </row>
    <row r="314">
      <c r="G314" s="98"/>
    </row>
    <row r="315">
      <c r="G315" s="98"/>
    </row>
    <row r="316">
      <c r="G316" s="98"/>
    </row>
    <row r="317">
      <c r="G317" s="98"/>
    </row>
    <row r="318">
      <c r="G318" s="98"/>
    </row>
    <row r="319">
      <c r="G319" s="98"/>
    </row>
    <row r="320">
      <c r="G320" s="98"/>
    </row>
    <row r="321">
      <c r="G321" s="98"/>
    </row>
    <row r="322">
      <c r="G322" s="98"/>
    </row>
    <row r="323">
      <c r="G323" s="98"/>
    </row>
    <row r="324">
      <c r="G324" s="98"/>
    </row>
    <row r="325">
      <c r="G325" s="98"/>
    </row>
    <row r="326">
      <c r="G326" s="98"/>
    </row>
    <row r="327">
      <c r="G327" s="98"/>
    </row>
    <row r="328">
      <c r="G328" s="98"/>
    </row>
    <row r="329">
      <c r="G329" s="98"/>
    </row>
    <row r="330">
      <c r="G330" s="98"/>
    </row>
    <row r="331">
      <c r="G331" s="98"/>
    </row>
    <row r="332">
      <c r="G332" s="98"/>
    </row>
    <row r="333">
      <c r="G333" s="98"/>
    </row>
    <row r="334">
      <c r="G334" s="98"/>
    </row>
    <row r="335">
      <c r="G335" s="98"/>
    </row>
    <row r="336">
      <c r="G336" s="98"/>
    </row>
    <row r="337">
      <c r="G337" s="98"/>
    </row>
    <row r="338">
      <c r="G338" s="98"/>
    </row>
    <row r="339">
      <c r="G339" s="98"/>
    </row>
    <row r="340">
      <c r="G340" s="98"/>
    </row>
    <row r="341">
      <c r="G341" s="98"/>
    </row>
    <row r="342">
      <c r="G342" s="98"/>
    </row>
    <row r="343">
      <c r="G343" s="98"/>
    </row>
    <row r="344">
      <c r="G344" s="98"/>
    </row>
    <row r="345">
      <c r="G345" s="98"/>
    </row>
    <row r="346">
      <c r="G346" s="98"/>
    </row>
    <row r="347">
      <c r="G347" s="98"/>
    </row>
    <row r="348">
      <c r="G348" s="98"/>
    </row>
    <row r="349">
      <c r="G349" s="98"/>
    </row>
    <row r="350">
      <c r="G350" s="98"/>
    </row>
    <row r="351">
      <c r="G351" s="98"/>
    </row>
    <row r="352">
      <c r="G352" s="98"/>
    </row>
    <row r="353">
      <c r="G353" s="98"/>
    </row>
    <row r="354">
      <c r="G354" s="98"/>
    </row>
    <row r="355">
      <c r="G355" s="98"/>
    </row>
    <row r="356">
      <c r="G356" s="98"/>
    </row>
    <row r="357">
      <c r="G357" s="98"/>
    </row>
    <row r="358">
      <c r="G358" s="98"/>
    </row>
    <row r="359">
      <c r="G359" s="98"/>
    </row>
    <row r="360">
      <c r="G360" s="98"/>
    </row>
    <row r="361">
      <c r="G361" s="98"/>
    </row>
    <row r="362">
      <c r="G362" s="98"/>
    </row>
    <row r="363">
      <c r="G363" s="98"/>
    </row>
    <row r="364">
      <c r="G364" s="98"/>
    </row>
    <row r="365">
      <c r="G365" s="98"/>
    </row>
    <row r="366">
      <c r="G366" s="98"/>
    </row>
    <row r="367">
      <c r="G367" s="98"/>
    </row>
    <row r="368">
      <c r="G368" s="98"/>
    </row>
    <row r="369">
      <c r="G369" s="98"/>
    </row>
    <row r="370">
      <c r="G370" s="98"/>
    </row>
    <row r="371">
      <c r="G371" s="98"/>
    </row>
    <row r="372">
      <c r="G372" s="98"/>
    </row>
    <row r="373">
      <c r="G373" s="98"/>
    </row>
    <row r="374">
      <c r="G374" s="98"/>
    </row>
    <row r="375">
      <c r="G375" s="98"/>
    </row>
    <row r="376">
      <c r="G376" s="98"/>
    </row>
    <row r="377">
      <c r="G377" s="98"/>
    </row>
    <row r="378">
      <c r="G378" s="98"/>
    </row>
    <row r="379">
      <c r="G379" s="98"/>
    </row>
    <row r="380">
      <c r="G380" s="98"/>
    </row>
    <row r="381">
      <c r="G381" s="98"/>
    </row>
    <row r="382">
      <c r="G382" s="98"/>
    </row>
    <row r="383">
      <c r="G383" s="98"/>
    </row>
    <row r="384">
      <c r="G384" s="98"/>
    </row>
    <row r="385">
      <c r="G385" s="98"/>
    </row>
    <row r="386">
      <c r="G386" s="98"/>
    </row>
    <row r="387">
      <c r="G387" s="98"/>
    </row>
    <row r="388">
      <c r="G388" s="98"/>
    </row>
    <row r="389">
      <c r="G389" s="98"/>
    </row>
    <row r="390">
      <c r="G390" s="98"/>
    </row>
    <row r="391">
      <c r="G391" s="98"/>
    </row>
    <row r="392">
      <c r="G392" s="98"/>
    </row>
    <row r="393">
      <c r="G393" s="98"/>
    </row>
    <row r="394">
      <c r="G394" s="98"/>
    </row>
    <row r="395">
      <c r="G395" s="98"/>
    </row>
    <row r="396">
      <c r="G396" s="98"/>
    </row>
    <row r="397">
      <c r="G397" s="98"/>
    </row>
    <row r="398">
      <c r="G398" s="98"/>
    </row>
    <row r="399">
      <c r="G399" s="98"/>
    </row>
    <row r="400">
      <c r="G400" s="98"/>
    </row>
    <row r="401">
      <c r="G401" s="98"/>
    </row>
    <row r="402">
      <c r="G402" s="98"/>
    </row>
    <row r="403">
      <c r="G403" s="98"/>
    </row>
    <row r="404">
      <c r="G404" s="98"/>
    </row>
    <row r="405">
      <c r="G405" s="98"/>
    </row>
    <row r="406">
      <c r="G406" s="98"/>
    </row>
    <row r="407">
      <c r="G407" s="98"/>
    </row>
    <row r="408">
      <c r="G408" s="98"/>
    </row>
    <row r="409">
      <c r="G409" s="98"/>
    </row>
    <row r="410">
      <c r="G410" s="98"/>
    </row>
    <row r="411">
      <c r="G411" s="98"/>
    </row>
    <row r="412">
      <c r="G412" s="98"/>
    </row>
    <row r="413">
      <c r="G413" s="98"/>
    </row>
    <row r="414">
      <c r="G414" s="98"/>
    </row>
    <row r="415">
      <c r="G415" s="98"/>
    </row>
    <row r="416">
      <c r="G416" s="98"/>
    </row>
    <row r="417">
      <c r="G417" s="98"/>
    </row>
    <row r="418">
      <c r="G418" s="98"/>
    </row>
    <row r="419">
      <c r="G419" s="98"/>
    </row>
    <row r="420">
      <c r="G420" s="98"/>
    </row>
    <row r="421">
      <c r="G421" s="98"/>
    </row>
    <row r="422">
      <c r="G422" s="98"/>
    </row>
    <row r="423">
      <c r="G423" s="98"/>
    </row>
    <row r="424">
      <c r="G424" s="98"/>
    </row>
    <row r="425">
      <c r="G425" s="98"/>
    </row>
    <row r="426">
      <c r="G426" s="98"/>
    </row>
    <row r="427">
      <c r="G427" s="98"/>
    </row>
    <row r="428">
      <c r="G428" s="98"/>
    </row>
    <row r="429">
      <c r="G429" s="98"/>
    </row>
    <row r="430">
      <c r="G430" s="98"/>
    </row>
    <row r="431">
      <c r="G431" s="98"/>
    </row>
    <row r="432">
      <c r="G432" s="98"/>
    </row>
    <row r="433">
      <c r="G433" s="98"/>
    </row>
    <row r="434">
      <c r="G434" s="98"/>
    </row>
    <row r="435">
      <c r="G435" s="98"/>
    </row>
    <row r="436">
      <c r="G436" s="98"/>
    </row>
    <row r="437">
      <c r="G437" s="98"/>
    </row>
    <row r="438">
      <c r="G438" s="98"/>
    </row>
    <row r="439">
      <c r="G439" s="98"/>
    </row>
    <row r="440">
      <c r="G440" s="98"/>
    </row>
    <row r="441">
      <c r="G441" s="98"/>
    </row>
    <row r="442">
      <c r="G442" s="98"/>
    </row>
    <row r="443">
      <c r="G443" s="98"/>
    </row>
    <row r="444">
      <c r="G444" s="98"/>
    </row>
    <row r="445">
      <c r="G445" s="98"/>
    </row>
    <row r="446">
      <c r="G446" s="98"/>
    </row>
    <row r="447">
      <c r="G447" s="98"/>
    </row>
    <row r="448">
      <c r="G448" s="98"/>
    </row>
    <row r="449">
      <c r="G449" s="98"/>
    </row>
    <row r="450">
      <c r="G450" s="98"/>
    </row>
    <row r="451">
      <c r="G451" s="98"/>
    </row>
    <row r="452">
      <c r="G452" s="98"/>
    </row>
    <row r="453">
      <c r="G453" s="98"/>
    </row>
    <row r="454">
      <c r="G454" s="98"/>
    </row>
    <row r="455">
      <c r="G455" s="98"/>
    </row>
    <row r="456">
      <c r="G456" s="98"/>
    </row>
    <row r="457">
      <c r="G457" s="98"/>
    </row>
    <row r="458">
      <c r="G458" s="98"/>
    </row>
    <row r="459">
      <c r="G459" s="98"/>
    </row>
    <row r="460">
      <c r="G460" s="98"/>
    </row>
    <row r="461">
      <c r="G461" s="98"/>
    </row>
    <row r="462">
      <c r="G462" s="98"/>
    </row>
    <row r="463">
      <c r="G463" s="98"/>
    </row>
    <row r="464">
      <c r="G464" s="98"/>
    </row>
    <row r="465">
      <c r="G465" s="98"/>
    </row>
    <row r="466">
      <c r="G466" s="98"/>
    </row>
    <row r="467">
      <c r="G467" s="98"/>
    </row>
    <row r="468">
      <c r="G468" s="98"/>
    </row>
    <row r="469">
      <c r="G469" s="98"/>
    </row>
    <row r="470">
      <c r="G470" s="98"/>
    </row>
    <row r="471">
      <c r="G471" s="98"/>
    </row>
    <row r="472">
      <c r="G472" s="98"/>
    </row>
    <row r="473">
      <c r="G473" s="98"/>
    </row>
    <row r="474">
      <c r="G474" s="98"/>
    </row>
    <row r="475">
      <c r="G475" s="98"/>
    </row>
    <row r="476">
      <c r="G476" s="98"/>
    </row>
    <row r="477">
      <c r="G477" s="98"/>
    </row>
    <row r="478">
      <c r="G478" s="98"/>
    </row>
    <row r="479">
      <c r="G479" s="98"/>
    </row>
    <row r="480">
      <c r="G480" s="98"/>
    </row>
    <row r="481">
      <c r="G481" s="98"/>
    </row>
    <row r="482">
      <c r="G482" s="98"/>
    </row>
    <row r="483">
      <c r="G483" s="98"/>
    </row>
    <row r="484">
      <c r="G484" s="98"/>
    </row>
    <row r="485">
      <c r="G485" s="98"/>
    </row>
    <row r="486">
      <c r="G486" s="98"/>
    </row>
    <row r="487">
      <c r="G487" s="98"/>
    </row>
    <row r="488">
      <c r="G488" s="98"/>
    </row>
    <row r="489">
      <c r="G489" s="98"/>
    </row>
    <row r="490">
      <c r="G490" s="98"/>
    </row>
    <row r="491">
      <c r="G491" s="98"/>
    </row>
    <row r="492">
      <c r="G492" s="98"/>
    </row>
    <row r="493">
      <c r="G493" s="98"/>
    </row>
    <row r="494">
      <c r="G494" s="98"/>
    </row>
    <row r="495">
      <c r="G495" s="98"/>
    </row>
    <row r="496">
      <c r="G496" s="98"/>
    </row>
    <row r="497">
      <c r="G497" s="98"/>
    </row>
    <row r="498">
      <c r="G498" s="98"/>
    </row>
    <row r="499">
      <c r="G499" s="98"/>
    </row>
    <row r="500">
      <c r="G500" s="98"/>
    </row>
    <row r="501">
      <c r="G501" s="98"/>
    </row>
    <row r="502">
      <c r="G502" s="98"/>
    </row>
    <row r="503">
      <c r="G503" s="98"/>
    </row>
    <row r="504">
      <c r="G504" s="98"/>
    </row>
    <row r="505">
      <c r="G505" s="98"/>
    </row>
    <row r="506">
      <c r="G506" s="98"/>
    </row>
    <row r="507">
      <c r="G507" s="98"/>
    </row>
    <row r="508">
      <c r="G508" s="98"/>
    </row>
    <row r="509">
      <c r="G509" s="98"/>
    </row>
    <row r="510">
      <c r="G510" s="98"/>
    </row>
    <row r="511">
      <c r="G511" s="98"/>
    </row>
    <row r="512">
      <c r="G512" s="98"/>
    </row>
    <row r="513">
      <c r="G513" s="98"/>
    </row>
    <row r="514">
      <c r="G514" s="98"/>
    </row>
    <row r="515">
      <c r="G515" s="98"/>
    </row>
    <row r="516">
      <c r="G516" s="98"/>
    </row>
    <row r="517">
      <c r="G517" s="98"/>
    </row>
    <row r="518">
      <c r="G518" s="98"/>
    </row>
    <row r="519">
      <c r="G519" s="98"/>
    </row>
    <row r="520">
      <c r="G520" s="98"/>
    </row>
    <row r="521">
      <c r="G521" s="98"/>
    </row>
    <row r="522">
      <c r="G522" s="98"/>
    </row>
    <row r="523">
      <c r="G523" s="98"/>
    </row>
    <row r="524">
      <c r="G524" s="98"/>
    </row>
    <row r="525">
      <c r="G525" s="98"/>
    </row>
    <row r="526">
      <c r="G526" s="98"/>
    </row>
    <row r="527">
      <c r="G527" s="98"/>
    </row>
    <row r="528">
      <c r="G528" s="98"/>
    </row>
    <row r="529">
      <c r="G529" s="98"/>
    </row>
    <row r="530">
      <c r="G530" s="98"/>
    </row>
    <row r="531">
      <c r="G531" s="98"/>
    </row>
    <row r="532">
      <c r="G532" s="98"/>
    </row>
    <row r="533">
      <c r="G533" s="98"/>
    </row>
    <row r="534">
      <c r="G534" s="98"/>
    </row>
    <row r="535">
      <c r="G535" s="98"/>
    </row>
    <row r="536">
      <c r="G536" s="98"/>
    </row>
    <row r="537">
      <c r="G537" s="98"/>
    </row>
    <row r="538">
      <c r="G538" s="98"/>
    </row>
    <row r="539">
      <c r="G539" s="98"/>
    </row>
    <row r="540">
      <c r="G540" s="98"/>
    </row>
    <row r="541">
      <c r="G541" s="98"/>
    </row>
    <row r="542">
      <c r="G542" s="98"/>
    </row>
    <row r="543">
      <c r="G543" s="98"/>
    </row>
    <row r="544">
      <c r="G544" s="98"/>
    </row>
    <row r="545">
      <c r="G545" s="98"/>
    </row>
    <row r="546">
      <c r="G546" s="98"/>
    </row>
    <row r="547">
      <c r="G547" s="98"/>
    </row>
    <row r="548">
      <c r="G548" s="98"/>
    </row>
    <row r="549">
      <c r="G549" s="98"/>
    </row>
    <row r="550">
      <c r="G550" s="98"/>
    </row>
    <row r="551">
      <c r="G551" s="98"/>
    </row>
    <row r="552">
      <c r="G552" s="98"/>
    </row>
    <row r="553">
      <c r="G553" s="98"/>
    </row>
    <row r="554">
      <c r="G554" s="98"/>
    </row>
    <row r="555">
      <c r="G555" s="98"/>
    </row>
    <row r="556">
      <c r="G556" s="98"/>
    </row>
    <row r="557">
      <c r="G557" s="98"/>
    </row>
    <row r="558">
      <c r="G558" s="98"/>
    </row>
    <row r="559">
      <c r="G559" s="98"/>
    </row>
    <row r="560">
      <c r="G560" s="98"/>
    </row>
    <row r="561">
      <c r="G561" s="98"/>
    </row>
    <row r="562">
      <c r="G562" s="98"/>
    </row>
    <row r="563">
      <c r="G563" s="98"/>
    </row>
    <row r="564">
      <c r="G564" s="98"/>
    </row>
    <row r="565">
      <c r="G565" s="98"/>
    </row>
    <row r="566">
      <c r="G566" s="98"/>
    </row>
    <row r="567">
      <c r="G567" s="98"/>
    </row>
    <row r="568">
      <c r="G568" s="98"/>
    </row>
    <row r="569">
      <c r="G569" s="98"/>
    </row>
    <row r="570">
      <c r="G570" s="98"/>
    </row>
    <row r="571">
      <c r="G571" s="98"/>
    </row>
    <row r="572">
      <c r="G572" s="98"/>
    </row>
    <row r="573">
      <c r="G573" s="98"/>
    </row>
    <row r="574">
      <c r="G574" s="98"/>
    </row>
    <row r="575">
      <c r="G575" s="98"/>
    </row>
    <row r="576">
      <c r="G576" s="98"/>
    </row>
    <row r="577">
      <c r="G577" s="98"/>
    </row>
    <row r="578">
      <c r="G578" s="98"/>
    </row>
    <row r="579">
      <c r="G579" s="98"/>
    </row>
    <row r="580">
      <c r="G580" s="98"/>
    </row>
    <row r="581">
      <c r="G581" s="98"/>
    </row>
    <row r="582">
      <c r="G582" s="98"/>
    </row>
    <row r="583">
      <c r="G583" s="98"/>
    </row>
    <row r="584">
      <c r="G584" s="98"/>
    </row>
    <row r="585">
      <c r="G585" s="98"/>
    </row>
    <row r="586">
      <c r="G586" s="98"/>
    </row>
    <row r="587">
      <c r="G587" s="98"/>
    </row>
    <row r="588">
      <c r="G588" s="98"/>
    </row>
    <row r="589">
      <c r="G589" s="98"/>
    </row>
    <row r="590">
      <c r="G590" s="98"/>
    </row>
    <row r="591">
      <c r="G591" s="98"/>
    </row>
    <row r="592">
      <c r="G592" s="98"/>
    </row>
    <row r="593">
      <c r="G593" s="98"/>
    </row>
    <row r="594">
      <c r="G594" s="98"/>
    </row>
    <row r="595">
      <c r="G595" s="98"/>
    </row>
    <row r="596">
      <c r="G596" s="98"/>
    </row>
    <row r="597">
      <c r="G597" s="98"/>
    </row>
    <row r="598">
      <c r="G598" s="98"/>
    </row>
    <row r="599">
      <c r="G599" s="98"/>
    </row>
    <row r="600">
      <c r="G600" s="98"/>
    </row>
    <row r="601">
      <c r="G601" s="98"/>
    </row>
    <row r="602">
      <c r="G602" s="98"/>
    </row>
    <row r="603">
      <c r="G603" s="98"/>
    </row>
    <row r="604">
      <c r="G604" s="98"/>
    </row>
    <row r="605">
      <c r="G605" s="98"/>
    </row>
    <row r="606">
      <c r="G606" s="98"/>
    </row>
    <row r="607">
      <c r="G607" s="98"/>
    </row>
    <row r="608">
      <c r="G608" s="98"/>
    </row>
    <row r="609">
      <c r="G609" s="98"/>
    </row>
    <row r="610">
      <c r="G610" s="98"/>
    </row>
    <row r="611">
      <c r="G611" s="98"/>
    </row>
    <row r="612">
      <c r="G612" s="98"/>
    </row>
    <row r="613">
      <c r="G613" s="98"/>
    </row>
    <row r="614">
      <c r="G614" s="98"/>
    </row>
    <row r="615">
      <c r="G615" s="98"/>
    </row>
    <row r="616">
      <c r="G616" s="98"/>
    </row>
    <row r="617">
      <c r="G617" s="98"/>
    </row>
    <row r="618">
      <c r="G618" s="98"/>
    </row>
    <row r="619">
      <c r="G619" s="98"/>
    </row>
    <row r="620">
      <c r="G620" s="98"/>
    </row>
    <row r="621">
      <c r="G621" s="98"/>
    </row>
    <row r="622">
      <c r="G622" s="98"/>
    </row>
    <row r="623">
      <c r="G623" s="98"/>
    </row>
    <row r="624">
      <c r="G624" s="98"/>
    </row>
    <row r="625">
      <c r="G625" s="98"/>
    </row>
    <row r="626">
      <c r="G626" s="98"/>
    </row>
    <row r="627">
      <c r="G627" s="98"/>
    </row>
    <row r="628">
      <c r="G628" s="98"/>
    </row>
    <row r="629">
      <c r="G629" s="98"/>
    </row>
    <row r="630">
      <c r="G630" s="98"/>
    </row>
    <row r="631">
      <c r="G631" s="98"/>
    </row>
    <row r="632">
      <c r="G632" s="98"/>
    </row>
    <row r="633">
      <c r="G633" s="98"/>
    </row>
    <row r="634">
      <c r="G634" s="98"/>
    </row>
    <row r="635">
      <c r="G635" s="98"/>
    </row>
    <row r="636">
      <c r="G636" s="98"/>
    </row>
    <row r="637">
      <c r="G637" s="98"/>
    </row>
    <row r="638">
      <c r="G638" s="98"/>
    </row>
    <row r="639">
      <c r="G639" s="98"/>
    </row>
    <row r="640">
      <c r="G640" s="98"/>
    </row>
    <row r="641">
      <c r="G641" s="98"/>
    </row>
    <row r="642">
      <c r="G642" s="98"/>
    </row>
    <row r="643">
      <c r="G643" s="98"/>
    </row>
    <row r="644">
      <c r="G644" s="98"/>
    </row>
    <row r="645">
      <c r="G645" s="98"/>
    </row>
    <row r="646">
      <c r="G646" s="98"/>
    </row>
    <row r="647">
      <c r="G647" s="98"/>
    </row>
    <row r="648">
      <c r="G648" s="98"/>
    </row>
    <row r="649">
      <c r="G649" s="98"/>
    </row>
    <row r="650">
      <c r="G650" s="98"/>
    </row>
    <row r="651">
      <c r="G651" s="98"/>
    </row>
    <row r="652">
      <c r="G652" s="98"/>
    </row>
    <row r="653">
      <c r="G653" s="98"/>
    </row>
    <row r="654">
      <c r="G654" s="98"/>
    </row>
    <row r="655">
      <c r="G655" s="98"/>
    </row>
    <row r="656">
      <c r="G656" s="98"/>
    </row>
    <row r="657">
      <c r="G657" s="98"/>
    </row>
    <row r="658">
      <c r="G658" s="98"/>
    </row>
    <row r="659">
      <c r="G659" s="98"/>
    </row>
    <row r="660">
      <c r="G660" s="98"/>
    </row>
    <row r="661">
      <c r="G661" s="98"/>
    </row>
    <row r="662">
      <c r="G662" s="98"/>
    </row>
    <row r="663">
      <c r="G663" s="98"/>
    </row>
    <row r="664">
      <c r="G664" s="98"/>
    </row>
    <row r="665">
      <c r="G665" s="98"/>
    </row>
    <row r="666">
      <c r="G666" s="98"/>
    </row>
    <row r="667">
      <c r="G667" s="98"/>
    </row>
    <row r="668">
      <c r="G668" s="98"/>
    </row>
    <row r="669">
      <c r="G669" s="98"/>
    </row>
    <row r="670">
      <c r="G670" s="98"/>
    </row>
    <row r="671">
      <c r="G671" s="98"/>
    </row>
    <row r="672">
      <c r="G672" s="98"/>
    </row>
    <row r="673">
      <c r="G673" s="98"/>
    </row>
    <row r="674">
      <c r="G674" s="98"/>
    </row>
    <row r="675">
      <c r="G675" s="98"/>
    </row>
    <row r="676">
      <c r="G676" s="98"/>
    </row>
    <row r="677">
      <c r="G677" s="98"/>
    </row>
    <row r="678">
      <c r="G678" s="98"/>
    </row>
    <row r="679">
      <c r="G679" s="98"/>
    </row>
    <row r="680">
      <c r="G680" s="98"/>
    </row>
    <row r="681">
      <c r="G681" s="98"/>
    </row>
    <row r="682">
      <c r="G682" s="98"/>
    </row>
    <row r="683">
      <c r="G683" s="98"/>
    </row>
    <row r="684">
      <c r="G684" s="98"/>
    </row>
    <row r="685">
      <c r="G685" s="98"/>
    </row>
    <row r="686">
      <c r="G686" s="98"/>
    </row>
    <row r="687">
      <c r="G687" s="98"/>
    </row>
    <row r="688">
      <c r="G688" s="98"/>
    </row>
    <row r="689">
      <c r="G689" s="98"/>
    </row>
    <row r="690">
      <c r="G690" s="98"/>
    </row>
    <row r="691">
      <c r="G691" s="98"/>
    </row>
    <row r="692">
      <c r="G692" s="98"/>
    </row>
    <row r="693">
      <c r="G693" s="98"/>
    </row>
    <row r="694">
      <c r="G694" s="98"/>
    </row>
    <row r="695">
      <c r="G695" s="98"/>
    </row>
    <row r="696">
      <c r="G696" s="98"/>
    </row>
    <row r="697">
      <c r="G697" s="98"/>
    </row>
    <row r="698">
      <c r="G698" s="98"/>
    </row>
    <row r="699">
      <c r="G699" s="98"/>
    </row>
    <row r="700">
      <c r="G700" s="98"/>
    </row>
    <row r="701">
      <c r="G701" s="98"/>
    </row>
    <row r="702">
      <c r="G702" s="98"/>
    </row>
    <row r="703">
      <c r="G703" s="98"/>
    </row>
    <row r="704">
      <c r="G704" s="98"/>
    </row>
    <row r="705">
      <c r="G705" s="98"/>
    </row>
    <row r="706">
      <c r="G706" s="98"/>
    </row>
    <row r="707">
      <c r="G707" s="98"/>
    </row>
    <row r="708">
      <c r="G708" s="98"/>
    </row>
    <row r="709">
      <c r="G709" s="98"/>
    </row>
    <row r="710">
      <c r="G710" s="98"/>
    </row>
    <row r="711">
      <c r="G711" s="98"/>
    </row>
    <row r="712">
      <c r="G712" s="98"/>
    </row>
    <row r="713">
      <c r="G713" s="98"/>
    </row>
    <row r="714">
      <c r="G714" s="98"/>
    </row>
    <row r="715">
      <c r="G715" s="98"/>
    </row>
    <row r="716">
      <c r="G716" s="98"/>
    </row>
    <row r="717">
      <c r="G717" s="98"/>
    </row>
    <row r="718">
      <c r="G718" s="98"/>
    </row>
    <row r="719">
      <c r="G719" s="98"/>
    </row>
    <row r="720">
      <c r="G720" s="98"/>
    </row>
    <row r="721">
      <c r="G721" s="98"/>
    </row>
    <row r="722">
      <c r="G722" s="98"/>
    </row>
    <row r="723">
      <c r="G723" s="98"/>
    </row>
    <row r="724">
      <c r="G724" s="98"/>
    </row>
    <row r="725">
      <c r="G725" s="98"/>
    </row>
    <row r="726">
      <c r="G726" s="98"/>
    </row>
    <row r="727">
      <c r="G727" s="98"/>
    </row>
    <row r="728">
      <c r="G728" s="98"/>
    </row>
    <row r="729">
      <c r="G729" s="98"/>
    </row>
    <row r="730">
      <c r="G730" s="98"/>
    </row>
    <row r="731">
      <c r="G731" s="98"/>
    </row>
    <row r="732">
      <c r="G732" s="98"/>
    </row>
    <row r="733">
      <c r="G733" s="98"/>
    </row>
    <row r="734">
      <c r="G734" s="98"/>
    </row>
    <row r="735">
      <c r="G735" s="98"/>
    </row>
    <row r="736">
      <c r="G736" s="98"/>
    </row>
    <row r="737">
      <c r="G737" s="98"/>
    </row>
    <row r="738">
      <c r="G738" s="98"/>
    </row>
    <row r="739">
      <c r="G739" s="98"/>
    </row>
    <row r="740">
      <c r="G740" s="98"/>
    </row>
    <row r="741">
      <c r="G741" s="98"/>
    </row>
    <row r="742">
      <c r="G742" s="98"/>
    </row>
    <row r="743">
      <c r="G743" s="98"/>
    </row>
    <row r="744">
      <c r="G744" s="98"/>
    </row>
    <row r="745">
      <c r="G745" s="98"/>
    </row>
    <row r="746">
      <c r="G746" s="98"/>
    </row>
    <row r="747">
      <c r="G747" s="98"/>
    </row>
    <row r="748">
      <c r="G748" s="98"/>
    </row>
    <row r="749">
      <c r="G749" s="98"/>
    </row>
    <row r="750">
      <c r="G750" s="98"/>
    </row>
    <row r="751">
      <c r="G751" s="98"/>
    </row>
    <row r="752">
      <c r="G752" s="98"/>
    </row>
    <row r="753">
      <c r="G753" s="98"/>
    </row>
    <row r="754">
      <c r="G754" s="98"/>
    </row>
    <row r="755">
      <c r="G755" s="98"/>
    </row>
    <row r="756">
      <c r="G756" s="98"/>
    </row>
    <row r="757">
      <c r="G757" s="98"/>
    </row>
    <row r="758">
      <c r="G758" s="98"/>
    </row>
    <row r="759">
      <c r="G759" s="98"/>
    </row>
    <row r="760">
      <c r="G760" s="98"/>
    </row>
    <row r="761">
      <c r="G761" s="98"/>
    </row>
    <row r="762">
      <c r="G762" s="98"/>
    </row>
    <row r="763">
      <c r="G763" s="98"/>
    </row>
    <row r="764">
      <c r="G764" s="98"/>
    </row>
    <row r="765">
      <c r="G765" s="98"/>
    </row>
    <row r="766">
      <c r="G766" s="98"/>
    </row>
    <row r="767">
      <c r="G767" s="98"/>
    </row>
    <row r="768">
      <c r="G768" s="98"/>
    </row>
    <row r="769">
      <c r="G769" s="98"/>
    </row>
    <row r="770">
      <c r="G770" s="98"/>
    </row>
    <row r="771">
      <c r="G771" s="98"/>
    </row>
    <row r="772">
      <c r="G772" s="98"/>
    </row>
    <row r="773">
      <c r="G773" s="98"/>
    </row>
    <row r="774">
      <c r="G774" s="98"/>
    </row>
    <row r="775">
      <c r="G775" s="98"/>
    </row>
    <row r="776">
      <c r="G776" s="98"/>
    </row>
    <row r="777">
      <c r="G777" s="98"/>
    </row>
    <row r="778">
      <c r="G778" s="98"/>
    </row>
    <row r="779">
      <c r="G779" s="98"/>
    </row>
    <row r="780">
      <c r="G780" s="98"/>
    </row>
    <row r="781">
      <c r="G781" s="98"/>
    </row>
    <row r="782">
      <c r="G782" s="98"/>
    </row>
    <row r="783">
      <c r="G783" s="98"/>
    </row>
    <row r="784">
      <c r="G784" s="98"/>
    </row>
    <row r="785">
      <c r="G785" s="98"/>
    </row>
    <row r="786">
      <c r="G786" s="98"/>
    </row>
    <row r="787">
      <c r="G787" s="98"/>
    </row>
    <row r="788">
      <c r="G788" s="98"/>
    </row>
    <row r="789">
      <c r="G789" s="98"/>
    </row>
    <row r="790">
      <c r="G790" s="98"/>
    </row>
    <row r="791">
      <c r="G791" s="98"/>
    </row>
    <row r="792">
      <c r="G792" s="98"/>
    </row>
    <row r="793">
      <c r="G793" s="98"/>
    </row>
    <row r="794">
      <c r="G794" s="98"/>
    </row>
    <row r="795">
      <c r="G795" s="98"/>
    </row>
    <row r="796">
      <c r="G796" s="98"/>
    </row>
    <row r="797">
      <c r="G797" s="98"/>
    </row>
    <row r="798">
      <c r="G798" s="98"/>
    </row>
    <row r="799">
      <c r="G799" s="98"/>
    </row>
    <row r="800">
      <c r="G800" s="98"/>
    </row>
    <row r="801">
      <c r="G801" s="98"/>
    </row>
    <row r="802">
      <c r="G802" s="98"/>
    </row>
    <row r="803">
      <c r="G803" s="98"/>
    </row>
    <row r="804">
      <c r="G804" s="98"/>
    </row>
    <row r="805">
      <c r="G805" s="98"/>
    </row>
    <row r="806">
      <c r="G806" s="98"/>
    </row>
    <row r="807">
      <c r="G807" s="98"/>
    </row>
    <row r="808">
      <c r="G808" s="98"/>
    </row>
    <row r="809">
      <c r="G809" s="98"/>
    </row>
    <row r="810">
      <c r="G810" s="98"/>
    </row>
    <row r="811">
      <c r="G811" s="98"/>
    </row>
    <row r="812">
      <c r="G812" s="98"/>
    </row>
    <row r="813">
      <c r="G813" s="98"/>
    </row>
    <row r="814">
      <c r="G814" s="98"/>
    </row>
    <row r="815">
      <c r="G815" s="98"/>
    </row>
    <row r="816">
      <c r="G816" s="98"/>
    </row>
    <row r="817">
      <c r="G817" s="98"/>
    </row>
    <row r="818">
      <c r="G818" s="98"/>
    </row>
    <row r="819">
      <c r="G819" s="98"/>
    </row>
    <row r="820">
      <c r="G820" s="98"/>
    </row>
    <row r="821">
      <c r="G821" s="98"/>
    </row>
    <row r="822">
      <c r="G822" s="98"/>
    </row>
    <row r="823">
      <c r="G823" s="98"/>
    </row>
    <row r="824">
      <c r="G824" s="98"/>
    </row>
    <row r="825">
      <c r="G825" s="98"/>
    </row>
    <row r="826">
      <c r="G826" s="98"/>
    </row>
    <row r="827">
      <c r="G827" s="98"/>
    </row>
    <row r="828">
      <c r="G828" s="98"/>
    </row>
    <row r="829">
      <c r="G829" s="98"/>
    </row>
    <row r="830">
      <c r="G830" s="98"/>
    </row>
    <row r="831">
      <c r="G831" s="98"/>
    </row>
    <row r="832">
      <c r="G832" s="98"/>
    </row>
    <row r="833">
      <c r="G833" s="98"/>
    </row>
    <row r="834">
      <c r="G834" s="98"/>
    </row>
    <row r="835">
      <c r="G835" s="98"/>
    </row>
    <row r="836">
      <c r="G836" s="98"/>
    </row>
    <row r="837">
      <c r="G837" s="98"/>
    </row>
    <row r="838">
      <c r="G838" s="98"/>
    </row>
    <row r="839">
      <c r="G839" s="98"/>
    </row>
    <row r="840">
      <c r="G840" s="98"/>
    </row>
    <row r="841">
      <c r="G841" s="98"/>
    </row>
    <row r="842">
      <c r="G842" s="98"/>
    </row>
    <row r="843">
      <c r="G843" s="98"/>
    </row>
    <row r="844">
      <c r="G844" s="98"/>
    </row>
    <row r="845">
      <c r="G845" s="98"/>
    </row>
    <row r="846">
      <c r="G846" s="98"/>
    </row>
    <row r="847">
      <c r="G847" s="98"/>
    </row>
    <row r="848">
      <c r="G848" s="98"/>
    </row>
    <row r="849">
      <c r="G849" s="98"/>
    </row>
    <row r="850">
      <c r="G850" s="98"/>
    </row>
    <row r="851">
      <c r="G851" s="98"/>
    </row>
    <row r="852">
      <c r="G852" s="98"/>
    </row>
    <row r="853">
      <c r="G853" s="98"/>
    </row>
    <row r="854">
      <c r="G854" s="98"/>
    </row>
    <row r="855">
      <c r="G855" s="98"/>
    </row>
    <row r="856">
      <c r="G856" s="98"/>
    </row>
    <row r="857">
      <c r="G857" s="98"/>
    </row>
    <row r="858">
      <c r="G858" s="98"/>
    </row>
    <row r="859">
      <c r="G859" s="98"/>
    </row>
    <row r="860">
      <c r="G860" s="98"/>
    </row>
    <row r="861">
      <c r="G861" s="98"/>
    </row>
    <row r="862">
      <c r="G862" s="98"/>
    </row>
    <row r="863">
      <c r="G863" s="98"/>
    </row>
    <row r="864">
      <c r="G864" s="98"/>
    </row>
    <row r="865">
      <c r="G865" s="98"/>
    </row>
    <row r="866">
      <c r="G866" s="98"/>
    </row>
    <row r="867">
      <c r="G867" s="98"/>
    </row>
    <row r="868">
      <c r="G868" s="98"/>
    </row>
    <row r="869">
      <c r="G869" s="98"/>
    </row>
    <row r="870">
      <c r="G870" s="98"/>
    </row>
    <row r="871">
      <c r="G871" s="98"/>
    </row>
    <row r="872">
      <c r="G872" s="98"/>
    </row>
    <row r="873">
      <c r="G873" s="98"/>
    </row>
    <row r="874">
      <c r="G874" s="98"/>
    </row>
    <row r="875">
      <c r="G875" s="98"/>
    </row>
    <row r="876">
      <c r="G876" s="98"/>
    </row>
    <row r="877">
      <c r="G877" s="98"/>
    </row>
    <row r="878">
      <c r="G878" s="98"/>
    </row>
    <row r="879">
      <c r="G879" s="98"/>
    </row>
    <row r="880">
      <c r="G880" s="98"/>
    </row>
    <row r="881">
      <c r="G881" s="98"/>
    </row>
    <row r="882">
      <c r="G882" s="98"/>
    </row>
    <row r="883">
      <c r="G883" s="98"/>
    </row>
    <row r="884">
      <c r="G884" s="98"/>
    </row>
    <row r="885">
      <c r="G885" s="98"/>
    </row>
    <row r="886">
      <c r="G886" s="98"/>
    </row>
    <row r="887">
      <c r="G887" s="98"/>
    </row>
    <row r="888">
      <c r="G888" s="98"/>
    </row>
    <row r="889">
      <c r="G889" s="98"/>
    </row>
    <row r="890">
      <c r="G890" s="98"/>
    </row>
    <row r="891">
      <c r="G891" s="98"/>
    </row>
    <row r="892">
      <c r="G892" s="98"/>
    </row>
    <row r="893">
      <c r="G893" s="98"/>
    </row>
    <row r="894">
      <c r="G894" s="98"/>
    </row>
    <row r="895">
      <c r="G895" s="98"/>
    </row>
    <row r="896">
      <c r="G896" s="98"/>
    </row>
    <row r="897">
      <c r="G897" s="98"/>
    </row>
    <row r="898">
      <c r="G898" s="98"/>
    </row>
    <row r="899">
      <c r="G899" s="98"/>
    </row>
    <row r="900">
      <c r="G900" s="98"/>
    </row>
    <row r="901">
      <c r="G901" s="98"/>
    </row>
    <row r="902">
      <c r="G902" s="98"/>
    </row>
    <row r="903">
      <c r="G903" s="98"/>
    </row>
    <row r="904">
      <c r="G904" s="98"/>
    </row>
    <row r="905">
      <c r="G905" s="98"/>
    </row>
    <row r="906">
      <c r="G906" s="98"/>
    </row>
    <row r="907">
      <c r="G907" s="98"/>
    </row>
    <row r="908">
      <c r="G908" s="98"/>
    </row>
    <row r="909">
      <c r="G909" s="98"/>
    </row>
    <row r="910">
      <c r="G910" s="98"/>
    </row>
    <row r="911">
      <c r="G911" s="98"/>
    </row>
    <row r="912">
      <c r="G912" s="98"/>
    </row>
    <row r="913">
      <c r="G913" s="98"/>
    </row>
    <row r="914">
      <c r="G914" s="98"/>
    </row>
    <row r="915">
      <c r="G915" s="98"/>
    </row>
    <row r="916">
      <c r="G916" s="98"/>
    </row>
    <row r="917">
      <c r="G917" s="98"/>
    </row>
    <row r="918">
      <c r="G918" s="98"/>
    </row>
    <row r="919">
      <c r="G919" s="98"/>
    </row>
    <row r="920">
      <c r="G920" s="98"/>
    </row>
    <row r="921">
      <c r="G921" s="98"/>
    </row>
    <row r="922">
      <c r="G922" s="98"/>
    </row>
    <row r="923">
      <c r="G923" s="98"/>
    </row>
    <row r="924">
      <c r="G924" s="98"/>
    </row>
    <row r="925">
      <c r="G925" s="98"/>
    </row>
    <row r="926">
      <c r="G926" s="98"/>
    </row>
    <row r="927">
      <c r="G927" s="98"/>
    </row>
    <row r="928">
      <c r="G928" s="98"/>
    </row>
    <row r="929">
      <c r="G929" s="98"/>
    </row>
    <row r="930">
      <c r="G930" s="98"/>
    </row>
    <row r="931">
      <c r="G931" s="98"/>
    </row>
    <row r="932">
      <c r="G932" s="98"/>
    </row>
    <row r="933">
      <c r="G933" s="98"/>
    </row>
    <row r="934">
      <c r="G934" s="98"/>
    </row>
    <row r="935">
      <c r="G935" s="98"/>
    </row>
    <row r="936">
      <c r="G936" s="98"/>
    </row>
    <row r="937">
      <c r="G937" s="98"/>
    </row>
    <row r="938">
      <c r="G938" s="98"/>
    </row>
    <row r="939">
      <c r="G939" s="98"/>
    </row>
    <row r="940">
      <c r="G940" s="98"/>
    </row>
    <row r="941">
      <c r="G941" s="98"/>
    </row>
    <row r="942">
      <c r="G942" s="98"/>
    </row>
    <row r="943">
      <c r="G943" s="98"/>
    </row>
    <row r="944">
      <c r="G944" s="98"/>
    </row>
    <row r="945">
      <c r="G945" s="98"/>
    </row>
    <row r="946">
      <c r="G946" s="98"/>
    </row>
    <row r="947">
      <c r="G947" s="98"/>
    </row>
    <row r="948">
      <c r="G948" s="98"/>
    </row>
    <row r="949">
      <c r="G949" s="98"/>
    </row>
    <row r="950">
      <c r="G950" s="98"/>
    </row>
    <row r="951">
      <c r="G951" s="98"/>
    </row>
    <row r="952">
      <c r="G952" s="98"/>
    </row>
    <row r="953">
      <c r="G953" s="98"/>
    </row>
    <row r="954">
      <c r="G954" s="98"/>
    </row>
    <row r="955">
      <c r="G955" s="98"/>
    </row>
    <row r="956">
      <c r="G956" s="98"/>
    </row>
    <row r="957">
      <c r="G957" s="98"/>
    </row>
    <row r="958">
      <c r="G958" s="98"/>
    </row>
    <row r="959">
      <c r="G959" s="98"/>
    </row>
    <row r="960">
      <c r="G960" s="98"/>
    </row>
    <row r="961">
      <c r="G961" s="98"/>
    </row>
    <row r="962">
      <c r="G962" s="98"/>
    </row>
    <row r="963">
      <c r="G963" s="98"/>
    </row>
    <row r="964">
      <c r="G964" s="98"/>
    </row>
    <row r="965">
      <c r="G965" s="98"/>
    </row>
    <row r="966">
      <c r="G966" s="98"/>
    </row>
    <row r="967">
      <c r="G967" s="98"/>
    </row>
    <row r="968">
      <c r="G968" s="98"/>
    </row>
    <row r="969">
      <c r="G969" s="98"/>
    </row>
    <row r="970">
      <c r="G970" s="98"/>
    </row>
    <row r="971">
      <c r="G971" s="98"/>
    </row>
    <row r="972">
      <c r="G972" s="98"/>
    </row>
    <row r="973">
      <c r="G973" s="98"/>
    </row>
    <row r="974">
      <c r="G974" s="98"/>
    </row>
    <row r="975">
      <c r="G975" s="98"/>
    </row>
    <row r="976">
      <c r="G976" s="98"/>
    </row>
    <row r="977">
      <c r="G977" s="98"/>
    </row>
    <row r="978">
      <c r="G978" s="98"/>
    </row>
    <row r="979">
      <c r="G979" s="98"/>
    </row>
    <row r="980">
      <c r="G980" s="98"/>
    </row>
    <row r="981">
      <c r="G981" s="98"/>
    </row>
    <row r="982">
      <c r="G982" s="98"/>
    </row>
    <row r="983">
      <c r="G983" s="98"/>
    </row>
    <row r="984">
      <c r="G984" s="98"/>
    </row>
    <row r="985">
      <c r="G985" s="98"/>
    </row>
    <row r="986">
      <c r="G986" s="98"/>
    </row>
    <row r="987">
      <c r="G987" s="98"/>
    </row>
    <row r="988">
      <c r="G988" s="98"/>
    </row>
    <row r="989">
      <c r="G989" s="98"/>
    </row>
    <row r="990">
      <c r="G990" s="98"/>
    </row>
    <row r="991">
      <c r="G991" s="98"/>
    </row>
    <row r="992">
      <c r="G992" s="98"/>
    </row>
    <row r="993">
      <c r="G993" s="98"/>
    </row>
    <row r="994">
      <c r="G994" s="98"/>
    </row>
    <row r="995">
      <c r="G995" s="98"/>
    </row>
    <row r="996">
      <c r="G996" s="98"/>
    </row>
    <row r="997">
      <c r="G997" s="98"/>
    </row>
    <row r="998">
      <c r="G998" s="98"/>
    </row>
    <row r="999">
      <c r="G999" s="98"/>
    </row>
    <row r="1000">
      <c r="G1000" s="98"/>
    </row>
    <row r="1001">
      <c r="G1001" s="98"/>
    </row>
    <row r="1002">
      <c r="G1002" s="98"/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5.1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10.0</v>
      </c>
      <c r="C2" s="71">
        <v>75.868</v>
      </c>
      <c r="D2" s="71">
        <v>100.0</v>
      </c>
      <c r="E2" s="93">
        <f t="shared" ref="E2:E9" si="1">C2/D2</f>
        <v>0.75868</v>
      </c>
      <c r="F2" s="72">
        <v>0.0</v>
      </c>
      <c r="G2" s="94">
        <v>55.25</v>
      </c>
      <c r="H2" s="95" t="s">
        <v>297</v>
      </c>
    </row>
    <row r="3">
      <c r="A3" s="38" t="s">
        <v>86</v>
      </c>
      <c r="B3" s="71">
        <v>1.0</v>
      </c>
      <c r="C3" s="96">
        <v>22.08</v>
      </c>
      <c r="D3" s="71">
        <v>37.5</v>
      </c>
      <c r="E3" s="93">
        <f t="shared" si="1"/>
        <v>0.5888</v>
      </c>
      <c r="F3" s="72">
        <v>0.0</v>
      </c>
      <c r="G3" s="97">
        <v>24.0</v>
      </c>
      <c r="H3" s="95" t="s">
        <v>298</v>
      </c>
    </row>
    <row r="4">
      <c r="A4" s="38" t="s">
        <v>88</v>
      </c>
      <c r="B4" s="71">
        <v>8.0</v>
      </c>
      <c r="C4" s="71">
        <v>67.54</v>
      </c>
      <c r="D4" s="71">
        <v>80.0</v>
      </c>
      <c r="E4" s="93">
        <f t="shared" si="1"/>
        <v>0.84425</v>
      </c>
      <c r="F4" s="72">
        <v>0.0</v>
      </c>
      <c r="G4" s="97">
        <v>57.25</v>
      </c>
      <c r="H4" s="95" t="s">
        <v>299</v>
      </c>
    </row>
    <row r="5">
      <c r="A5" s="38" t="s">
        <v>90</v>
      </c>
      <c r="B5" s="71">
        <v>6.0</v>
      </c>
      <c r="C5" s="71">
        <v>26.308</v>
      </c>
      <c r="D5" s="71">
        <v>52.5</v>
      </c>
      <c r="E5" s="93">
        <f t="shared" si="1"/>
        <v>0.5011047619</v>
      </c>
      <c r="F5" s="72">
        <v>0.0</v>
      </c>
      <c r="G5" s="94">
        <v>25.62</v>
      </c>
      <c r="H5" s="95" t="s">
        <v>300</v>
      </c>
    </row>
    <row r="6">
      <c r="A6" s="38" t="s">
        <v>94</v>
      </c>
      <c r="B6" s="71">
        <v>11.0</v>
      </c>
      <c r="C6" s="71">
        <v>111.206</v>
      </c>
      <c r="D6" s="71">
        <v>100.0</v>
      </c>
      <c r="E6" s="93">
        <f t="shared" si="1"/>
        <v>1.11206</v>
      </c>
      <c r="F6" s="72">
        <v>0.0</v>
      </c>
      <c r="G6" s="94">
        <v>53.23</v>
      </c>
      <c r="H6" s="95" t="s">
        <v>301</v>
      </c>
    </row>
    <row r="7">
      <c r="A7" s="7" t="s">
        <v>96</v>
      </c>
      <c r="B7" s="71">
        <v>13.0</v>
      </c>
      <c r="C7" s="79">
        <v>41.2</v>
      </c>
      <c r="D7" s="71">
        <v>80.0</v>
      </c>
      <c r="E7" s="93">
        <f t="shared" si="1"/>
        <v>0.515</v>
      </c>
      <c r="F7" s="72">
        <v>2.0</v>
      </c>
      <c r="G7" s="94">
        <v>27.15</v>
      </c>
      <c r="H7" s="95" t="s">
        <v>302</v>
      </c>
    </row>
    <row r="8">
      <c r="A8" s="7" t="s">
        <v>97</v>
      </c>
      <c r="B8" s="71">
        <v>4.0</v>
      </c>
      <c r="C8" s="79">
        <v>15.64</v>
      </c>
      <c r="D8" s="71"/>
      <c r="E8" s="93" t="str">
        <f t="shared" si="1"/>
        <v>#DIV/0!</v>
      </c>
      <c r="F8" s="72">
        <v>0.0</v>
      </c>
      <c r="G8" s="94">
        <v>52.0</v>
      </c>
      <c r="H8" s="95" t="s">
        <v>303</v>
      </c>
    </row>
    <row r="9">
      <c r="C9" s="42">
        <f t="shared" ref="C9:D9" si="2">SUM(C2:C7)</f>
        <v>344.202</v>
      </c>
      <c r="D9" s="39">
        <f t="shared" si="2"/>
        <v>450</v>
      </c>
      <c r="E9" s="93">
        <f t="shared" si="1"/>
        <v>0.7648933333</v>
      </c>
      <c r="G9" s="98"/>
      <c r="H9" s="56"/>
    </row>
    <row r="10">
      <c r="C10" s="56"/>
      <c r="E10" s="56"/>
      <c r="G10" s="98"/>
    </row>
    <row r="11">
      <c r="C11" s="56"/>
      <c r="E11" s="94" t="s">
        <v>193</v>
      </c>
      <c r="F11" s="94" t="s">
        <v>194</v>
      </c>
      <c r="G11" s="94" t="s">
        <v>217</v>
      </c>
    </row>
    <row r="12">
      <c r="C12" s="56"/>
      <c r="E12" s="94">
        <v>1.0</v>
      </c>
      <c r="F12" s="100" t="s">
        <v>94</v>
      </c>
      <c r="G12" s="94">
        <v>4.87</v>
      </c>
    </row>
    <row r="13">
      <c r="C13" s="56"/>
      <c r="E13" s="97">
        <v>2.0</v>
      </c>
      <c r="F13" s="100" t="s">
        <v>88</v>
      </c>
      <c r="G13" s="100">
        <v>3.79</v>
      </c>
    </row>
    <row r="14">
      <c r="C14" s="56"/>
      <c r="E14" s="97">
        <v>3.0</v>
      </c>
      <c r="F14" s="100" t="s">
        <v>108</v>
      </c>
      <c r="G14" s="100">
        <v>3.73</v>
      </c>
    </row>
    <row r="15">
      <c r="C15" s="56"/>
      <c r="E15" s="94">
        <v>4.0</v>
      </c>
      <c r="F15" s="100" t="s">
        <v>85</v>
      </c>
      <c r="G15" s="100">
        <v>3.65</v>
      </c>
    </row>
    <row r="16">
      <c r="C16" s="56"/>
      <c r="E16" s="94">
        <v>5.0</v>
      </c>
      <c r="F16" s="100" t="s">
        <v>90</v>
      </c>
      <c r="G16" s="100">
        <v>3.38</v>
      </c>
    </row>
    <row r="17">
      <c r="C17" s="56"/>
      <c r="E17" s="94">
        <v>6.0</v>
      </c>
      <c r="F17" s="100" t="s">
        <v>96</v>
      </c>
      <c r="G17" s="100">
        <v>3.03</v>
      </c>
    </row>
    <row r="18">
      <c r="G18" s="98"/>
    </row>
    <row r="19">
      <c r="G19" s="98"/>
    </row>
    <row r="20">
      <c r="G20" s="98"/>
    </row>
    <row r="21">
      <c r="G21" s="98"/>
    </row>
    <row r="22">
      <c r="G22" s="98"/>
    </row>
    <row r="23">
      <c r="G23" s="98"/>
    </row>
    <row r="24">
      <c r="G24" s="98"/>
    </row>
    <row r="25">
      <c r="G25" s="98"/>
    </row>
    <row r="26">
      <c r="G26" s="98"/>
    </row>
    <row r="27">
      <c r="G27" s="98"/>
    </row>
    <row r="28">
      <c r="G28" s="98"/>
    </row>
    <row r="29">
      <c r="G29" s="98"/>
    </row>
    <row r="30">
      <c r="G30" s="98"/>
    </row>
    <row r="31">
      <c r="G31" s="98"/>
    </row>
    <row r="32">
      <c r="G32" s="98"/>
    </row>
    <row r="33">
      <c r="G33" s="98"/>
    </row>
    <row r="34">
      <c r="G34" s="98"/>
    </row>
    <row r="35">
      <c r="G35" s="98"/>
    </row>
    <row r="36">
      <c r="G36" s="98"/>
    </row>
    <row r="37">
      <c r="G37" s="98"/>
    </row>
    <row r="38">
      <c r="G38" s="98"/>
    </row>
    <row r="39">
      <c r="G39" s="98"/>
    </row>
    <row r="40">
      <c r="G40" s="98"/>
    </row>
    <row r="41">
      <c r="G41" s="98"/>
    </row>
    <row r="42">
      <c r="G42" s="98"/>
    </row>
    <row r="43">
      <c r="G43" s="98"/>
    </row>
    <row r="44">
      <c r="G44" s="98"/>
    </row>
    <row r="45">
      <c r="G45" s="98"/>
    </row>
    <row r="46">
      <c r="G46" s="98"/>
    </row>
    <row r="47">
      <c r="G47" s="98"/>
    </row>
    <row r="48">
      <c r="G48" s="98"/>
    </row>
    <row r="49">
      <c r="G49" s="98"/>
    </row>
    <row r="50">
      <c r="G50" s="98"/>
    </row>
    <row r="51">
      <c r="G51" s="98"/>
    </row>
    <row r="52">
      <c r="G52" s="98"/>
    </row>
    <row r="53">
      <c r="G53" s="98"/>
    </row>
    <row r="54">
      <c r="G54" s="98"/>
    </row>
    <row r="55">
      <c r="G55" s="98"/>
    </row>
    <row r="56">
      <c r="G56" s="98"/>
    </row>
    <row r="57">
      <c r="G57" s="98"/>
    </row>
    <row r="58">
      <c r="G58" s="98"/>
    </row>
    <row r="59">
      <c r="G59" s="98"/>
    </row>
    <row r="60">
      <c r="G60" s="98"/>
    </row>
    <row r="61">
      <c r="G61" s="98"/>
    </row>
    <row r="62">
      <c r="G62" s="98"/>
    </row>
    <row r="63">
      <c r="G63" s="98"/>
    </row>
    <row r="64">
      <c r="G64" s="98"/>
    </row>
    <row r="65">
      <c r="G65" s="98"/>
    </row>
    <row r="66">
      <c r="G66" s="98"/>
    </row>
    <row r="67">
      <c r="G67" s="98"/>
    </row>
    <row r="68">
      <c r="G68" s="98"/>
    </row>
    <row r="69">
      <c r="G69" s="98"/>
    </row>
    <row r="70">
      <c r="G70" s="98"/>
    </row>
    <row r="71">
      <c r="G71" s="98"/>
    </row>
    <row r="72">
      <c r="G72" s="98"/>
    </row>
    <row r="73">
      <c r="G73" s="98"/>
    </row>
    <row r="74">
      <c r="G74" s="98"/>
    </row>
    <row r="75">
      <c r="G75" s="98"/>
    </row>
    <row r="76">
      <c r="G76" s="98"/>
    </row>
    <row r="77">
      <c r="G77" s="98"/>
    </row>
    <row r="78">
      <c r="G78" s="98"/>
    </row>
    <row r="79">
      <c r="G79" s="98"/>
    </row>
    <row r="80">
      <c r="G80" s="98"/>
    </row>
    <row r="81">
      <c r="G81" s="98"/>
    </row>
    <row r="82">
      <c r="G82" s="98"/>
    </row>
    <row r="83">
      <c r="G83" s="98"/>
    </row>
    <row r="84">
      <c r="G84" s="98"/>
    </row>
    <row r="85">
      <c r="G85" s="98"/>
    </row>
    <row r="86">
      <c r="G86" s="98"/>
    </row>
    <row r="87">
      <c r="G87" s="98"/>
    </row>
    <row r="88">
      <c r="G88" s="98"/>
    </row>
    <row r="89">
      <c r="G89" s="98"/>
    </row>
    <row r="90">
      <c r="G90" s="98"/>
    </row>
    <row r="91">
      <c r="G91" s="98"/>
    </row>
    <row r="92">
      <c r="G92" s="98"/>
    </row>
    <row r="93">
      <c r="G93" s="98"/>
    </row>
    <row r="94">
      <c r="G94" s="98"/>
    </row>
    <row r="95">
      <c r="G95" s="98"/>
    </row>
    <row r="96">
      <c r="G96" s="98"/>
    </row>
    <row r="97">
      <c r="G97" s="98"/>
    </row>
    <row r="98">
      <c r="G98" s="98"/>
    </row>
    <row r="99">
      <c r="G99" s="98"/>
    </row>
    <row r="100">
      <c r="G100" s="98"/>
    </row>
    <row r="101">
      <c r="G101" s="98"/>
    </row>
    <row r="102">
      <c r="G102" s="98"/>
    </row>
    <row r="103">
      <c r="G103" s="98"/>
    </row>
    <row r="104">
      <c r="G104" s="98"/>
    </row>
    <row r="105">
      <c r="G105" s="98"/>
    </row>
    <row r="106">
      <c r="G106" s="98"/>
    </row>
    <row r="107">
      <c r="G107" s="98"/>
    </row>
    <row r="108">
      <c r="G108" s="98"/>
    </row>
    <row r="109">
      <c r="G109" s="98"/>
    </row>
    <row r="110">
      <c r="G110" s="98"/>
    </row>
    <row r="111">
      <c r="G111" s="98"/>
    </row>
    <row r="112">
      <c r="G112" s="98"/>
    </row>
    <row r="113">
      <c r="G113" s="98"/>
    </row>
    <row r="114">
      <c r="G114" s="98"/>
    </row>
    <row r="115">
      <c r="G115" s="98"/>
    </row>
    <row r="116">
      <c r="G116" s="98"/>
    </row>
    <row r="117">
      <c r="G117" s="98"/>
    </row>
    <row r="118">
      <c r="G118" s="98"/>
    </row>
    <row r="119">
      <c r="G119" s="98"/>
    </row>
    <row r="120">
      <c r="G120" s="98"/>
    </row>
    <row r="121">
      <c r="G121" s="98"/>
    </row>
    <row r="122">
      <c r="G122" s="98"/>
    </row>
    <row r="123">
      <c r="G123" s="98"/>
    </row>
    <row r="124">
      <c r="G124" s="98"/>
    </row>
    <row r="125">
      <c r="G125" s="98"/>
    </row>
    <row r="126">
      <c r="G126" s="98"/>
    </row>
    <row r="127">
      <c r="G127" s="98"/>
    </row>
    <row r="128">
      <c r="G128" s="98"/>
    </row>
    <row r="129">
      <c r="G129" s="98"/>
    </row>
    <row r="130">
      <c r="G130" s="98"/>
    </row>
    <row r="131">
      <c r="G131" s="98"/>
    </row>
    <row r="132">
      <c r="G132" s="98"/>
    </row>
    <row r="133">
      <c r="G133" s="98"/>
    </row>
    <row r="134">
      <c r="G134" s="98"/>
    </row>
    <row r="135">
      <c r="G135" s="98"/>
    </row>
    <row r="136">
      <c r="G136" s="98"/>
    </row>
    <row r="137">
      <c r="G137" s="98"/>
    </row>
    <row r="138">
      <c r="G138" s="98"/>
    </row>
    <row r="139">
      <c r="G139" s="98"/>
    </row>
    <row r="140">
      <c r="G140" s="98"/>
    </row>
    <row r="141">
      <c r="G141" s="98"/>
    </row>
    <row r="142">
      <c r="G142" s="98"/>
    </row>
    <row r="143">
      <c r="G143" s="98"/>
    </row>
    <row r="144">
      <c r="G144" s="98"/>
    </row>
    <row r="145">
      <c r="G145" s="98"/>
    </row>
    <row r="146">
      <c r="G146" s="98"/>
    </row>
    <row r="147">
      <c r="G147" s="98"/>
    </row>
    <row r="148">
      <c r="G148" s="98"/>
    </row>
    <row r="149">
      <c r="G149" s="98"/>
    </row>
    <row r="150">
      <c r="G150" s="98"/>
    </row>
    <row r="151">
      <c r="G151" s="98"/>
    </row>
    <row r="152">
      <c r="G152" s="98"/>
    </row>
    <row r="153">
      <c r="G153" s="98"/>
    </row>
    <row r="154">
      <c r="G154" s="98"/>
    </row>
    <row r="155">
      <c r="G155" s="98"/>
    </row>
    <row r="156">
      <c r="G156" s="98"/>
    </row>
    <row r="157">
      <c r="G157" s="98"/>
    </row>
    <row r="158">
      <c r="G158" s="98"/>
    </row>
    <row r="159">
      <c r="G159" s="98"/>
    </row>
    <row r="160">
      <c r="G160" s="98"/>
    </row>
    <row r="161">
      <c r="G161" s="98"/>
    </row>
    <row r="162">
      <c r="G162" s="98"/>
    </row>
    <row r="163">
      <c r="G163" s="98"/>
    </row>
    <row r="164">
      <c r="G164" s="98"/>
    </row>
    <row r="165">
      <c r="G165" s="98"/>
    </row>
    <row r="166">
      <c r="G166" s="98"/>
    </row>
    <row r="167">
      <c r="G167" s="98"/>
    </row>
    <row r="168">
      <c r="G168" s="98"/>
    </row>
    <row r="169">
      <c r="G169" s="98"/>
    </row>
    <row r="170">
      <c r="G170" s="98"/>
    </row>
    <row r="171">
      <c r="G171" s="98"/>
    </row>
    <row r="172">
      <c r="G172" s="98"/>
    </row>
    <row r="173">
      <c r="G173" s="98"/>
    </row>
    <row r="174">
      <c r="G174" s="98"/>
    </row>
    <row r="175">
      <c r="G175" s="98"/>
    </row>
    <row r="176">
      <c r="G176" s="98"/>
    </row>
    <row r="177">
      <c r="G177" s="98"/>
    </row>
    <row r="178">
      <c r="G178" s="98"/>
    </row>
    <row r="179">
      <c r="G179" s="98"/>
    </row>
    <row r="180">
      <c r="G180" s="98"/>
    </row>
    <row r="181">
      <c r="G181" s="98"/>
    </row>
    <row r="182">
      <c r="G182" s="98"/>
    </row>
    <row r="183">
      <c r="G183" s="98"/>
    </row>
    <row r="184">
      <c r="G184" s="98"/>
    </row>
    <row r="185">
      <c r="G185" s="98"/>
    </row>
    <row r="186">
      <c r="G186" s="98"/>
    </row>
    <row r="187">
      <c r="G187" s="98"/>
    </row>
    <row r="188">
      <c r="G188" s="98"/>
    </row>
    <row r="189">
      <c r="G189" s="98"/>
    </row>
    <row r="190">
      <c r="G190" s="98"/>
    </row>
    <row r="191">
      <c r="G191" s="98"/>
    </row>
    <row r="192">
      <c r="G192" s="98"/>
    </row>
    <row r="193">
      <c r="G193" s="98"/>
    </row>
    <row r="194">
      <c r="G194" s="98"/>
    </row>
    <row r="195">
      <c r="G195" s="98"/>
    </row>
    <row r="196">
      <c r="G196" s="98"/>
    </row>
    <row r="197">
      <c r="G197" s="98"/>
    </row>
    <row r="198">
      <c r="G198" s="98"/>
    </row>
    <row r="199">
      <c r="G199" s="98"/>
    </row>
    <row r="200">
      <c r="G200" s="98"/>
    </row>
    <row r="201">
      <c r="G201" s="98"/>
    </row>
    <row r="202">
      <c r="G202" s="98"/>
    </row>
    <row r="203">
      <c r="G203" s="98"/>
    </row>
    <row r="204">
      <c r="G204" s="98"/>
    </row>
    <row r="205">
      <c r="G205" s="98"/>
    </row>
    <row r="206">
      <c r="G206" s="98"/>
    </row>
    <row r="207">
      <c r="G207" s="98"/>
    </row>
    <row r="208">
      <c r="G208" s="98"/>
    </row>
    <row r="209">
      <c r="G209" s="98"/>
    </row>
    <row r="210">
      <c r="G210" s="98"/>
    </row>
    <row r="211">
      <c r="G211" s="98"/>
    </row>
    <row r="212">
      <c r="G212" s="98"/>
    </row>
    <row r="213">
      <c r="G213" s="98"/>
    </row>
    <row r="214">
      <c r="G214" s="98"/>
    </row>
    <row r="215">
      <c r="G215" s="98"/>
    </row>
    <row r="216">
      <c r="G216" s="98"/>
    </row>
    <row r="217">
      <c r="G217" s="98"/>
    </row>
    <row r="218">
      <c r="G218" s="98"/>
    </row>
    <row r="219">
      <c r="G219" s="98"/>
    </row>
    <row r="220">
      <c r="G220" s="98"/>
    </row>
    <row r="221">
      <c r="G221" s="98"/>
    </row>
    <row r="222">
      <c r="G222" s="98"/>
    </row>
    <row r="223">
      <c r="G223" s="98"/>
    </row>
    <row r="224">
      <c r="G224" s="98"/>
    </row>
    <row r="225">
      <c r="G225" s="98"/>
    </row>
    <row r="226">
      <c r="G226" s="98"/>
    </row>
    <row r="227">
      <c r="G227" s="98"/>
    </row>
    <row r="228">
      <c r="G228" s="98"/>
    </row>
    <row r="229">
      <c r="G229" s="98"/>
    </row>
    <row r="230">
      <c r="G230" s="98"/>
    </row>
    <row r="231">
      <c r="G231" s="98"/>
    </row>
    <row r="232">
      <c r="G232" s="98"/>
    </row>
    <row r="233">
      <c r="G233" s="98"/>
    </row>
    <row r="234">
      <c r="G234" s="98"/>
    </row>
    <row r="235">
      <c r="G235" s="98"/>
    </row>
    <row r="236">
      <c r="G236" s="98"/>
    </row>
    <row r="237">
      <c r="G237" s="98"/>
    </row>
    <row r="238">
      <c r="G238" s="98"/>
    </row>
    <row r="239">
      <c r="G239" s="98"/>
    </row>
    <row r="240">
      <c r="G240" s="98"/>
    </row>
    <row r="241">
      <c r="G241" s="98"/>
    </row>
    <row r="242">
      <c r="G242" s="98"/>
    </row>
    <row r="243">
      <c r="G243" s="98"/>
    </row>
    <row r="244">
      <c r="G244" s="98"/>
    </row>
    <row r="245">
      <c r="G245" s="98"/>
    </row>
    <row r="246">
      <c r="G246" s="98"/>
    </row>
    <row r="247">
      <c r="G247" s="98"/>
    </row>
    <row r="248">
      <c r="G248" s="98"/>
    </row>
    <row r="249">
      <c r="G249" s="98"/>
    </row>
    <row r="250">
      <c r="G250" s="98"/>
    </row>
    <row r="251">
      <c r="G251" s="98"/>
    </row>
    <row r="252">
      <c r="G252" s="98"/>
    </row>
    <row r="253">
      <c r="G253" s="98"/>
    </row>
    <row r="254">
      <c r="G254" s="98"/>
    </row>
    <row r="255">
      <c r="G255" s="98"/>
    </row>
    <row r="256">
      <c r="G256" s="98"/>
    </row>
    <row r="257">
      <c r="G257" s="98"/>
    </row>
    <row r="258">
      <c r="G258" s="98"/>
    </row>
    <row r="259">
      <c r="G259" s="98"/>
    </row>
    <row r="260">
      <c r="G260" s="98"/>
    </row>
    <row r="261">
      <c r="G261" s="98"/>
    </row>
    <row r="262">
      <c r="G262" s="98"/>
    </row>
    <row r="263">
      <c r="G263" s="98"/>
    </row>
    <row r="264">
      <c r="G264" s="98"/>
    </row>
    <row r="265">
      <c r="G265" s="98"/>
    </row>
    <row r="266">
      <c r="G266" s="98"/>
    </row>
    <row r="267">
      <c r="G267" s="98"/>
    </row>
    <row r="268">
      <c r="G268" s="98"/>
    </row>
    <row r="269">
      <c r="G269" s="98"/>
    </row>
    <row r="270">
      <c r="G270" s="98"/>
    </row>
    <row r="271">
      <c r="G271" s="98"/>
    </row>
    <row r="272">
      <c r="G272" s="98"/>
    </row>
    <row r="273">
      <c r="G273" s="98"/>
    </row>
    <row r="274">
      <c r="G274" s="98"/>
    </row>
    <row r="275">
      <c r="G275" s="98"/>
    </row>
    <row r="276">
      <c r="G276" s="98"/>
    </row>
    <row r="277">
      <c r="G277" s="98"/>
    </row>
    <row r="278">
      <c r="G278" s="98"/>
    </row>
    <row r="279">
      <c r="G279" s="98"/>
    </row>
    <row r="280">
      <c r="G280" s="98"/>
    </row>
    <row r="281">
      <c r="G281" s="98"/>
    </row>
    <row r="282">
      <c r="G282" s="98"/>
    </row>
    <row r="283">
      <c r="G283" s="98"/>
    </row>
    <row r="284">
      <c r="G284" s="98"/>
    </row>
    <row r="285">
      <c r="G285" s="98"/>
    </row>
    <row r="286">
      <c r="G286" s="98"/>
    </row>
    <row r="287">
      <c r="G287" s="98"/>
    </row>
    <row r="288">
      <c r="G288" s="98"/>
    </row>
    <row r="289">
      <c r="G289" s="98"/>
    </row>
    <row r="290">
      <c r="G290" s="98"/>
    </row>
    <row r="291">
      <c r="G291" s="98"/>
    </row>
    <row r="292">
      <c r="G292" s="98"/>
    </row>
    <row r="293">
      <c r="G293" s="98"/>
    </row>
    <row r="294">
      <c r="G294" s="98"/>
    </row>
    <row r="295">
      <c r="G295" s="98"/>
    </row>
    <row r="296">
      <c r="G296" s="98"/>
    </row>
    <row r="297">
      <c r="G297" s="98"/>
    </row>
    <row r="298">
      <c r="G298" s="98"/>
    </row>
    <row r="299">
      <c r="G299" s="98"/>
    </row>
    <row r="300">
      <c r="G300" s="98"/>
    </row>
    <row r="301">
      <c r="G301" s="98"/>
    </row>
    <row r="302">
      <c r="G302" s="98"/>
    </row>
    <row r="303">
      <c r="G303" s="98"/>
    </row>
    <row r="304">
      <c r="G304" s="98"/>
    </row>
    <row r="305">
      <c r="G305" s="98"/>
    </row>
    <row r="306">
      <c r="G306" s="98"/>
    </row>
    <row r="307">
      <c r="G307" s="98"/>
    </row>
    <row r="308">
      <c r="G308" s="98"/>
    </row>
    <row r="309">
      <c r="G309" s="98"/>
    </row>
    <row r="310">
      <c r="G310" s="98"/>
    </row>
    <row r="311">
      <c r="G311" s="98"/>
    </row>
    <row r="312">
      <c r="G312" s="98"/>
    </row>
    <row r="313">
      <c r="G313" s="98"/>
    </row>
    <row r="314">
      <c r="G314" s="98"/>
    </row>
    <row r="315">
      <c r="G315" s="98"/>
    </row>
    <row r="316">
      <c r="G316" s="98"/>
    </row>
    <row r="317">
      <c r="G317" s="98"/>
    </row>
    <row r="318">
      <c r="G318" s="98"/>
    </row>
    <row r="319">
      <c r="G319" s="98"/>
    </row>
    <row r="320">
      <c r="G320" s="98"/>
    </row>
    <row r="321">
      <c r="G321" s="98"/>
    </row>
    <row r="322">
      <c r="G322" s="98"/>
    </row>
    <row r="323">
      <c r="G323" s="98"/>
    </row>
    <row r="324">
      <c r="G324" s="98"/>
    </row>
    <row r="325">
      <c r="G325" s="98"/>
    </row>
    <row r="326">
      <c r="G326" s="98"/>
    </row>
    <row r="327">
      <c r="G327" s="98"/>
    </row>
    <row r="328">
      <c r="G328" s="98"/>
    </row>
    <row r="329">
      <c r="G329" s="98"/>
    </row>
    <row r="330">
      <c r="G330" s="98"/>
    </row>
    <row r="331">
      <c r="G331" s="98"/>
    </row>
    <row r="332">
      <c r="G332" s="98"/>
    </row>
    <row r="333">
      <c r="G333" s="98"/>
    </row>
    <row r="334">
      <c r="G334" s="98"/>
    </row>
    <row r="335">
      <c r="G335" s="98"/>
    </row>
    <row r="336">
      <c r="G336" s="98"/>
    </row>
    <row r="337">
      <c r="G337" s="98"/>
    </row>
    <row r="338">
      <c r="G338" s="98"/>
    </row>
    <row r="339">
      <c r="G339" s="98"/>
    </row>
    <row r="340">
      <c r="G340" s="98"/>
    </row>
    <row r="341">
      <c r="G341" s="98"/>
    </row>
    <row r="342">
      <c r="G342" s="98"/>
    </row>
    <row r="343">
      <c r="G343" s="98"/>
    </row>
    <row r="344">
      <c r="G344" s="98"/>
    </row>
    <row r="345">
      <c r="G345" s="98"/>
    </row>
    <row r="346">
      <c r="G346" s="98"/>
    </row>
    <row r="347">
      <c r="G347" s="98"/>
    </row>
    <row r="348">
      <c r="G348" s="98"/>
    </row>
    <row r="349">
      <c r="G349" s="98"/>
    </row>
    <row r="350">
      <c r="G350" s="98"/>
    </row>
    <row r="351">
      <c r="G351" s="98"/>
    </row>
    <row r="352">
      <c r="G352" s="98"/>
    </row>
    <row r="353">
      <c r="G353" s="98"/>
    </row>
    <row r="354">
      <c r="G354" s="98"/>
    </row>
    <row r="355">
      <c r="G355" s="98"/>
    </row>
    <row r="356">
      <c r="G356" s="98"/>
    </row>
    <row r="357">
      <c r="G357" s="98"/>
    </row>
    <row r="358">
      <c r="G358" s="98"/>
    </row>
    <row r="359">
      <c r="G359" s="98"/>
    </row>
    <row r="360">
      <c r="G360" s="98"/>
    </row>
    <row r="361">
      <c r="G361" s="98"/>
    </row>
    <row r="362">
      <c r="G362" s="98"/>
    </row>
    <row r="363">
      <c r="G363" s="98"/>
    </row>
    <row r="364">
      <c r="G364" s="98"/>
    </row>
    <row r="365">
      <c r="G365" s="98"/>
    </row>
    <row r="366">
      <c r="G366" s="98"/>
    </row>
    <row r="367">
      <c r="G367" s="98"/>
    </row>
    <row r="368">
      <c r="G368" s="98"/>
    </row>
    <row r="369">
      <c r="G369" s="98"/>
    </row>
    <row r="370">
      <c r="G370" s="98"/>
    </row>
    <row r="371">
      <c r="G371" s="98"/>
    </row>
    <row r="372">
      <c r="G372" s="98"/>
    </row>
    <row r="373">
      <c r="G373" s="98"/>
    </row>
    <row r="374">
      <c r="G374" s="98"/>
    </row>
    <row r="375">
      <c r="G375" s="98"/>
    </row>
    <row r="376">
      <c r="G376" s="98"/>
    </row>
    <row r="377">
      <c r="G377" s="98"/>
    </row>
    <row r="378">
      <c r="G378" s="98"/>
    </row>
    <row r="379">
      <c r="G379" s="98"/>
    </row>
    <row r="380">
      <c r="G380" s="98"/>
    </row>
    <row r="381">
      <c r="G381" s="98"/>
    </row>
    <row r="382">
      <c r="G382" s="98"/>
    </row>
    <row r="383">
      <c r="G383" s="98"/>
    </row>
    <row r="384">
      <c r="G384" s="98"/>
    </row>
    <row r="385">
      <c r="G385" s="98"/>
    </row>
    <row r="386">
      <c r="G386" s="98"/>
    </row>
    <row r="387">
      <c r="G387" s="98"/>
    </row>
    <row r="388">
      <c r="G388" s="98"/>
    </row>
    <row r="389">
      <c r="G389" s="98"/>
    </row>
    <row r="390">
      <c r="G390" s="98"/>
    </row>
    <row r="391">
      <c r="G391" s="98"/>
    </row>
    <row r="392">
      <c r="G392" s="98"/>
    </row>
    <row r="393">
      <c r="G393" s="98"/>
    </row>
    <row r="394">
      <c r="G394" s="98"/>
    </row>
    <row r="395">
      <c r="G395" s="98"/>
    </row>
    <row r="396">
      <c r="G396" s="98"/>
    </row>
    <row r="397">
      <c r="G397" s="98"/>
    </row>
    <row r="398">
      <c r="G398" s="98"/>
    </row>
    <row r="399">
      <c r="G399" s="98"/>
    </row>
    <row r="400">
      <c r="G400" s="98"/>
    </row>
    <row r="401">
      <c r="G401" s="98"/>
    </row>
    <row r="402">
      <c r="G402" s="98"/>
    </row>
    <row r="403">
      <c r="G403" s="98"/>
    </row>
    <row r="404">
      <c r="G404" s="98"/>
    </row>
    <row r="405">
      <c r="G405" s="98"/>
    </row>
    <row r="406">
      <c r="G406" s="98"/>
    </row>
    <row r="407">
      <c r="G407" s="98"/>
    </row>
    <row r="408">
      <c r="G408" s="98"/>
    </row>
    <row r="409">
      <c r="G409" s="98"/>
    </row>
    <row r="410">
      <c r="G410" s="98"/>
    </row>
    <row r="411">
      <c r="G411" s="98"/>
    </row>
    <row r="412">
      <c r="G412" s="98"/>
    </row>
    <row r="413">
      <c r="G413" s="98"/>
    </row>
    <row r="414">
      <c r="G414" s="98"/>
    </row>
    <row r="415">
      <c r="G415" s="98"/>
    </row>
    <row r="416">
      <c r="G416" s="98"/>
    </row>
    <row r="417">
      <c r="G417" s="98"/>
    </row>
    <row r="418">
      <c r="G418" s="98"/>
    </row>
    <row r="419">
      <c r="G419" s="98"/>
    </row>
    <row r="420">
      <c r="G420" s="98"/>
    </row>
    <row r="421">
      <c r="G421" s="98"/>
    </row>
    <row r="422">
      <c r="G422" s="98"/>
    </row>
    <row r="423">
      <c r="G423" s="98"/>
    </row>
    <row r="424">
      <c r="G424" s="98"/>
    </row>
    <row r="425">
      <c r="G425" s="98"/>
    </row>
    <row r="426">
      <c r="G426" s="98"/>
    </row>
    <row r="427">
      <c r="G427" s="98"/>
    </row>
    <row r="428">
      <c r="G428" s="98"/>
    </row>
    <row r="429">
      <c r="G429" s="98"/>
    </row>
    <row r="430">
      <c r="G430" s="98"/>
    </row>
    <row r="431">
      <c r="G431" s="98"/>
    </row>
    <row r="432">
      <c r="G432" s="98"/>
    </row>
    <row r="433">
      <c r="G433" s="98"/>
    </row>
    <row r="434">
      <c r="G434" s="98"/>
    </row>
    <row r="435">
      <c r="G435" s="98"/>
    </row>
    <row r="436">
      <c r="G436" s="98"/>
    </row>
    <row r="437">
      <c r="G437" s="98"/>
    </row>
    <row r="438">
      <c r="G438" s="98"/>
    </row>
    <row r="439">
      <c r="G439" s="98"/>
    </row>
    <row r="440">
      <c r="G440" s="98"/>
    </row>
    <row r="441">
      <c r="G441" s="98"/>
    </row>
    <row r="442">
      <c r="G442" s="98"/>
    </row>
    <row r="443">
      <c r="G443" s="98"/>
    </row>
    <row r="444">
      <c r="G444" s="98"/>
    </row>
    <row r="445">
      <c r="G445" s="98"/>
    </row>
    <row r="446">
      <c r="G446" s="98"/>
    </row>
    <row r="447">
      <c r="G447" s="98"/>
    </row>
    <row r="448">
      <c r="G448" s="98"/>
    </row>
    <row r="449">
      <c r="G449" s="98"/>
    </row>
    <row r="450">
      <c r="G450" s="98"/>
    </row>
    <row r="451">
      <c r="G451" s="98"/>
    </row>
    <row r="452">
      <c r="G452" s="98"/>
    </row>
    <row r="453">
      <c r="G453" s="98"/>
    </row>
    <row r="454">
      <c r="G454" s="98"/>
    </row>
    <row r="455">
      <c r="G455" s="98"/>
    </row>
    <row r="456">
      <c r="G456" s="98"/>
    </row>
    <row r="457">
      <c r="G457" s="98"/>
    </row>
    <row r="458">
      <c r="G458" s="98"/>
    </row>
    <row r="459">
      <c r="G459" s="98"/>
    </row>
    <row r="460">
      <c r="G460" s="98"/>
    </row>
    <row r="461">
      <c r="G461" s="98"/>
    </row>
    <row r="462">
      <c r="G462" s="98"/>
    </row>
    <row r="463">
      <c r="G463" s="98"/>
    </row>
    <row r="464">
      <c r="G464" s="98"/>
    </row>
    <row r="465">
      <c r="G465" s="98"/>
    </row>
    <row r="466">
      <c r="G466" s="98"/>
    </row>
    <row r="467">
      <c r="G467" s="98"/>
    </row>
    <row r="468">
      <c r="G468" s="98"/>
    </row>
    <row r="469">
      <c r="G469" s="98"/>
    </row>
    <row r="470">
      <c r="G470" s="98"/>
    </row>
    <row r="471">
      <c r="G471" s="98"/>
    </row>
    <row r="472">
      <c r="G472" s="98"/>
    </row>
    <row r="473">
      <c r="G473" s="98"/>
    </row>
    <row r="474">
      <c r="G474" s="98"/>
    </row>
    <row r="475">
      <c r="G475" s="98"/>
    </row>
    <row r="476">
      <c r="G476" s="98"/>
    </row>
    <row r="477">
      <c r="G477" s="98"/>
    </row>
    <row r="478">
      <c r="G478" s="98"/>
    </row>
    <row r="479">
      <c r="G479" s="98"/>
    </row>
    <row r="480">
      <c r="G480" s="98"/>
    </row>
    <row r="481">
      <c r="G481" s="98"/>
    </row>
    <row r="482">
      <c r="G482" s="98"/>
    </row>
    <row r="483">
      <c r="G483" s="98"/>
    </row>
    <row r="484">
      <c r="G484" s="98"/>
    </row>
    <row r="485">
      <c r="G485" s="98"/>
    </row>
    <row r="486">
      <c r="G486" s="98"/>
    </row>
    <row r="487">
      <c r="G487" s="98"/>
    </row>
    <row r="488">
      <c r="G488" s="98"/>
    </row>
    <row r="489">
      <c r="G489" s="98"/>
    </row>
    <row r="490">
      <c r="G490" s="98"/>
    </row>
    <row r="491">
      <c r="G491" s="98"/>
    </row>
    <row r="492">
      <c r="G492" s="98"/>
    </row>
    <row r="493">
      <c r="G493" s="98"/>
    </row>
    <row r="494">
      <c r="G494" s="98"/>
    </row>
    <row r="495">
      <c r="G495" s="98"/>
    </row>
    <row r="496">
      <c r="G496" s="98"/>
    </row>
    <row r="497">
      <c r="G497" s="98"/>
    </row>
    <row r="498">
      <c r="G498" s="98"/>
    </row>
    <row r="499">
      <c r="G499" s="98"/>
    </row>
    <row r="500">
      <c r="G500" s="98"/>
    </row>
    <row r="501">
      <c r="G501" s="98"/>
    </row>
    <row r="502">
      <c r="G502" s="98"/>
    </row>
    <row r="503">
      <c r="G503" s="98"/>
    </row>
    <row r="504">
      <c r="G504" s="98"/>
    </row>
    <row r="505">
      <c r="G505" s="98"/>
    </row>
    <row r="506">
      <c r="G506" s="98"/>
    </row>
    <row r="507">
      <c r="G507" s="98"/>
    </row>
    <row r="508">
      <c r="G508" s="98"/>
    </row>
    <row r="509">
      <c r="G509" s="98"/>
    </row>
    <row r="510">
      <c r="G510" s="98"/>
    </row>
    <row r="511">
      <c r="G511" s="98"/>
    </row>
    <row r="512">
      <c r="G512" s="98"/>
    </row>
    <row r="513">
      <c r="G513" s="98"/>
    </row>
    <row r="514">
      <c r="G514" s="98"/>
    </row>
    <row r="515">
      <c r="G515" s="98"/>
    </row>
    <row r="516">
      <c r="G516" s="98"/>
    </row>
    <row r="517">
      <c r="G517" s="98"/>
    </row>
    <row r="518">
      <c r="G518" s="98"/>
    </row>
    <row r="519">
      <c r="G519" s="98"/>
    </row>
    <row r="520">
      <c r="G520" s="98"/>
    </row>
    <row r="521">
      <c r="G521" s="98"/>
    </row>
    <row r="522">
      <c r="G522" s="98"/>
    </row>
    <row r="523">
      <c r="G523" s="98"/>
    </row>
    <row r="524">
      <c r="G524" s="98"/>
    </row>
    <row r="525">
      <c r="G525" s="98"/>
    </row>
    <row r="526">
      <c r="G526" s="98"/>
    </row>
    <row r="527">
      <c r="G527" s="98"/>
    </row>
    <row r="528">
      <c r="G528" s="98"/>
    </row>
    <row r="529">
      <c r="G529" s="98"/>
    </row>
    <row r="530">
      <c r="G530" s="98"/>
    </row>
    <row r="531">
      <c r="G531" s="98"/>
    </row>
    <row r="532">
      <c r="G532" s="98"/>
    </row>
    <row r="533">
      <c r="G533" s="98"/>
    </row>
    <row r="534">
      <c r="G534" s="98"/>
    </row>
    <row r="535">
      <c r="G535" s="98"/>
    </row>
    <row r="536">
      <c r="G536" s="98"/>
    </row>
    <row r="537">
      <c r="G537" s="98"/>
    </row>
    <row r="538">
      <c r="G538" s="98"/>
    </row>
    <row r="539">
      <c r="G539" s="98"/>
    </row>
    <row r="540">
      <c r="G540" s="98"/>
    </row>
    <row r="541">
      <c r="G541" s="98"/>
    </row>
    <row r="542">
      <c r="G542" s="98"/>
    </row>
    <row r="543">
      <c r="G543" s="98"/>
    </row>
    <row r="544">
      <c r="G544" s="98"/>
    </row>
    <row r="545">
      <c r="G545" s="98"/>
    </row>
    <row r="546">
      <c r="G546" s="98"/>
    </row>
    <row r="547">
      <c r="G547" s="98"/>
    </row>
    <row r="548">
      <c r="G548" s="98"/>
    </row>
    <row r="549">
      <c r="G549" s="98"/>
    </row>
    <row r="550">
      <c r="G550" s="98"/>
    </row>
    <row r="551">
      <c r="G551" s="98"/>
    </row>
    <row r="552">
      <c r="G552" s="98"/>
    </row>
    <row r="553">
      <c r="G553" s="98"/>
    </row>
    <row r="554">
      <c r="G554" s="98"/>
    </row>
    <row r="555">
      <c r="G555" s="98"/>
    </row>
    <row r="556">
      <c r="G556" s="98"/>
    </row>
    <row r="557">
      <c r="G557" s="98"/>
    </row>
    <row r="558">
      <c r="G558" s="98"/>
    </row>
    <row r="559">
      <c r="G559" s="98"/>
    </row>
    <row r="560">
      <c r="G560" s="98"/>
    </row>
    <row r="561">
      <c r="G561" s="98"/>
    </row>
    <row r="562">
      <c r="G562" s="98"/>
    </row>
    <row r="563">
      <c r="G563" s="98"/>
    </row>
    <row r="564">
      <c r="G564" s="98"/>
    </row>
    <row r="565">
      <c r="G565" s="98"/>
    </row>
    <row r="566">
      <c r="G566" s="98"/>
    </row>
    <row r="567">
      <c r="G567" s="98"/>
    </row>
    <row r="568">
      <c r="G568" s="98"/>
    </row>
    <row r="569">
      <c r="G569" s="98"/>
    </row>
    <row r="570">
      <c r="G570" s="98"/>
    </row>
    <row r="571">
      <c r="G571" s="98"/>
    </row>
    <row r="572">
      <c r="G572" s="98"/>
    </row>
    <row r="573">
      <c r="G573" s="98"/>
    </row>
    <row r="574">
      <c r="G574" s="98"/>
    </row>
    <row r="575">
      <c r="G575" s="98"/>
    </row>
    <row r="576">
      <c r="G576" s="98"/>
    </row>
    <row r="577">
      <c r="G577" s="98"/>
    </row>
    <row r="578">
      <c r="G578" s="98"/>
    </row>
    <row r="579">
      <c r="G579" s="98"/>
    </row>
    <row r="580">
      <c r="G580" s="98"/>
    </row>
    <row r="581">
      <c r="G581" s="98"/>
    </row>
    <row r="582">
      <c r="G582" s="98"/>
    </row>
    <row r="583">
      <c r="G583" s="98"/>
    </row>
    <row r="584">
      <c r="G584" s="98"/>
    </row>
    <row r="585">
      <c r="G585" s="98"/>
    </row>
    <row r="586">
      <c r="G586" s="98"/>
    </row>
    <row r="587">
      <c r="G587" s="98"/>
    </row>
    <row r="588">
      <c r="G588" s="98"/>
    </row>
    <row r="589">
      <c r="G589" s="98"/>
    </row>
    <row r="590">
      <c r="G590" s="98"/>
    </row>
    <row r="591">
      <c r="G591" s="98"/>
    </row>
    <row r="592">
      <c r="G592" s="98"/>
    </row>
    <row r="593">
      <c r="G593" s="98"/>
    </row>
    <row r="594">
      <c r="G594" s="98"/>
    </row>
    <row r="595">
      <c r="G595" s="98"/>
    </row>
    <row r="596">
      <c r="G596" s="98"/>
    </row>
    <row r="597">
      <c r="G597" s="98"/>
    </row>
    <row r="598">
      <c r="G598" s="98"/>
    </row>
    <row r="599">
      <c r="G599" s="98"/>
    </row>
    <row r="600">
      <c r="G600" s="98"/>
    </row>
    <row r="601">
      <c r="G601" s="98"/>
    </row>
    <row r="602">
      <c r="G602" s="98"/>
    </row>
    <row r="603">
      <c r="G603" s="98"/>
    </row>
    <row r="604">
      <c r="G604" s="98"/>
    </row>
    <row r="605">
      <c r="G605" s="98"/>
    </row>
    <row r="606">
      <c r="G606" s="98"/>
    </row>
    <row r="607">
      <c r="G607" s="98"/>
    </row>
    <row r="608">
      <c r="G608" s="98"/>
    </row>
    <row r="609">
      <c r="G609" s="98"/>
    </row>
    <row r="610">
      <c r="G610" s="98"/>
    </row>
    <row r="611">
      <c r="G611" s="98"/>
    </row>
    <row r="612">
      <c r="G612" s="98"/>
    </row>
    <row r="613">
      <c r="G613" s="98"/>
    </row>
    <row r="614">
      <c r="G614" s="98"/>
    </row>
    <row r="615">
      <c r="G615" s="98"/>
    </row>
    <row r="616">
      <c r="G616" s="98"/>
    </row>
    <row r="617">
      <c r="G617" s="98"/>
    </row>
    <row r="618">
      <c r="G618" s="98"/>
    </row>
    <row r="619">
      <c r="G619" s="98"/>
    </row>
    <row r="620">
      <c r="G620" s="98"/>
    </row>
    <row r="621">
      <c r="G621" s="98"/>
    </row>
    <row r="622">
      <c r="G622" s="98"/>
    </row>
    <row r="623">
      <c r="G623" s="98"/>
    </row>
    <row r="624">
      <c r="G624" s="98"/>
    </row>
    <row r="625">
      <c r="G625" s="98"/>
    </row>
    <row r="626">
      <c r="G626" s="98"/>
    </row>
    <row r="627">
      <c r="G627" s="98"/>
    </row>
    <row r="628">
      <c r="G628" s="98"/>
    </row>
    <row r="629">
      <c r="G629" s="98"/>
    </row>
    <row r="630">
      <c r="G630" s="98"/>
    </row>
    <row r="631">
      <c r="G631" s="98"/>
    </row>
    <row r="632">
      <c r="G632" s="98"/>
    </row>
    <row r="633">
      <c r="G633" s="98"/>
    </row>
    <row r="634">
      <c r="G634" s="98"/>
    </row>
    <row r="635">
      <c r="G635" s="98"/>
    </row>
    <row r="636">
      <c r="G636" s="98"/>
    </row>
    <row r="637">
      <c r="G637" s="98"/>
    </row>
    <row r="638">
      <c r="G638" s="98"/>
    </row>
    <row r="639">
      <c r="G639" s="98"/>
    </row>
    <row r="640">
      <c r="G640" s="98"/>
    </row>
    <row r="641">
      <c r="G641" s="98"/>
    </row>
    <row r="642">
      <c r="G642" s="98"/>
    </row>
    <row r="643">
      <c r="G643" s="98"/>
    </row>
    <row r="644">
      <c r="G644" s="98"/>
    </row>
    <row r="645">
      <c r="G645" s="98"/>
    </row>
    <row r="646">
      <c r="G646" s="98"/>
    </row>
    <row r="647">
      <c r="G647" s="98"/>
    </row>
    <row r="648">
      <c r="G648" s="98"/>
    </row>
    <row r="649">
      <c r="G649" s="98"/>
    </row>
    <row r="650">
      <c r="G650" s="98"/>
    </row>
    <row r="651">
      <c r="G651" s="98"/>
    </row>
    <row r="652">
      <c r="G652" s="98"/>
    </row>
    <row r="653">
      <c r="G653" s="98"/>
    </row>
    <row r="654">
      <c r="G654" s="98"/>
    </row>
    <row r="655">
      <c r="G655" s="98"/>
    </row>
    <row r="656">
      <c r="G656" s="98"/>
    </row>
    <row r="657">
      <c r="G657" s="98"/>
    </row>
    <row r="658">
      <c r="G658" s="98"/>
    </row>
    <row r="659">
      <c r="G659" s="98"/>
    </row>
    <row r="660">
      <c r="G660" s="98"/>
    </row>
    <row r="661">
      <c r="G661" s="98"/>
    </row>
    <row r="662">
      <c r="G662" s="98"/>
    </row>
    <row r="663">
      <c r="G663" s="98"/>
    </row>
    <row r="664">
      <c r="G664" s="98"/>
    </row>
    <row r="665">
      <c r="G665" s="98"/>
    </row>
    <row r="666">
      <c r="G666" s="98"/>
    </row>
    <row r="667">
      <c r="G667" s="98"/>
    </row>
    <row r="668">
      <c r="G668" s="98"/>
    </row>
    <row r="669">
      <c r="G669" s="98"/>
    </row>
    <row r="670">
      <c r="G670" s="98"/>
    </row>
    <row r="671">
      <c r="G671" s="98"/>
    </row>
    <row r="672">
      <c r="G672" s="98"/>
    </row>
    <row r="673">
      <c r="G673" s="98"/>
    </row>
    <row r="674">
      <c r="G674" s="98"/>
    </row>
    <row r="675">
      <c r="G675" s="98"/>
    </row>
    <row r="676">
      <c r="G676" s="98"/>
    </row>
    <row r="677">
      <c r="G677" s="98"/>
    </row>
    <row r="678">
      <c r="G678" s="98"/>
    </row>
    <row r="679">
      <c r="G679" s="98"/>
    </row>
    <row r="680">
      <c r="G680" s="98"/>
    </row>
    <row r="681">
      <c r="G681" s="98"/>
    </row>
    <row r="682">
      <c r="G682" s="98"/>
    </row>
    <row r="683">
      <c r="G683" s="98"/>
    </row>
    <row r="684">
      <c r="G684" s="98"/>
    </row>
    <row r="685">
      <c r="G685" s="98"/>
    </row>
    <row r="686">
      <c r="G686" s="98"/>
    </row>
    <row r="687">
      <c r="G687" s="98"/>
    </row>
    <row r="688">
      <c r="G688" s="98"/>
    </row>
    <row r="689">
      <c r="G689" s="98"/>
    </row>
    <row r="690">
      <c r="G690" s="98"/>
    </row>
    <row r="691">
      <c r="G691" s="98"/>
    </row>
    <row r="692">
      <c r="G692" s="98"/>
    </row>
    <row r="693">
      <c r="G693" s="98"/>
    </row>
    <row r="694">
      <c r="G694" s="98"/>
    </row>
    <row r="695">
      <c r="G695" s="98"/>
    </row>
    <row r="696">
      <c r="G696" s="98"/>
    </row>
    <row r="697">
      <c r="G697" s="98"/>
    </row>
    <row r="698">
      <c r="G698" s="98"/>
    </row>
    <row r="699">
      <c r="G699" s="98"/>
    </row>
    <row r="700">
      <c r="G700" s="98"/>
    </row>
    <row r="701">
      <c r="G701" s="98"/>
    </row>
    <row r="702">
      <c r="G702" s="98"/>
    </row>
    <row r="703">
      <c r="G703" s="98"/>
    </row>
    <row r="704">
      <c r="G704" s="98"/>
    </row>
    <row r="705">
      <c r="G705" s="98"/>
    </row>
    <row r="706">
      <c r="G706" s="98"/>
    </row>
    <row r="707">
      <c r="G707" s="98"/>
    </row>
    <row r="708">
      <c r="G708" s="98"/>
    </row>
    <row r="709">
      <c r="G709" s="98"/>
    </row>
    <row r="710">
      <c r="G710" s="98"/>
    </row>
    <row r="711">
      <c r="G711" s="98"/>
    </row>
    <row r="712">
      <c r="G712" s="98"/>
    </row>
    <row r="713">
      <c r="G713" s="98"/>
    </row>
    <row r="714">
      <c r="G714" s="98"/>
    </row>
    <row r="715">
      <c r="G715" s="98"/>
    </row>
    <row r="716">
      <c r="G716" s="98"/>
    </row>
    <row r="717">
      <c r="G717" s="98"/>
    </row>
    <row r="718">
      <c r="G718" s="98"/>
    </row>
    <row r="719">
      <c r="G719" s="98"/>
    </row>
    <row r="720">
      <c r="G720" s="98"/>
    </row>
    <row r="721">
      <c r="G721" s="98"/>
    </row>
    <row r="722">
      <c r="G722" s="98"/>
    </row>
    <row r="723">
      <c r="G723" s="98"/>
    </row>
    <row r="724">
      <c r="G724" s="98"/>
    </row>
    <row r="725">
      <c r="G725" s="98"/>
    </row>
    <row r="726">
      <c r="G726" s="98"/>
    </row>
    <row r="727">
      <c r="G727" s="98"/>
    </row>
    <row r="728">
      <c r="G728" s="98"/>
    </row>
    <row r="729">
      <c r="G729" s="98"/>
    </row>
    <row r="730">
      <c r="G730" s="98"/>
    </row>
    <row r="731">
      <c r="G731" s="98"/>
    </row>
    <row r="732">
      <c r="G732" s="98"/>
    </row>
    <row r="733">
      <c r="G733" s="98"/>
    </row>
    <row r="734">
      <c r="G734" s="98"/>
    </row>
    <row r="735">
      <c r="G735" s="98"/>
    </row>
    <row r="736">
      <c r="G736" s="98"/>
    </row>
    <row r="737">
      <c r="G737" s="98"/>
    </row>
    <row r="738">
      <c r="G738" s="98"/>
    </row>
    <row r="739">
      <c r="G739" s="98"/>
    </row>
    <row r="740">
      <c r="G740" s="98"/>
    </row>
    <row r="741">
      <c r="G741" s="98"/>
    </row>
    <row r="742">
      <c r="G742" s="98"/>
    </row>
    <row r="743">
      <c r="G743" s="98"/>
    </row>
    <row r="744">
      <c r="G744" s="98"/>
    </row>
    <row r="745">
      <c r="G745" s="98"/>
    </row>
    <row r="746">
      <c r="G746" s="98"/>
    </row>
    <row r="747">
      <c r="G747" s="98"/>
    </row>
    <row r="748">
      <c r="G748" s="98"/>
    </row>
    <row r="749">
      <c r="G749" s="98"/>
    </row>
    <row r="750">
      <c r="G750" s="98"/>
    </row>
    <row r="751">
      <c r="G751" s="98"/>
    </row>
    <row r="752">
      <c r="G752" s="98"/>
    </row>
    <row r="753">
      <c r="G753" s="98"/>
    </row>
    <row r="754">
      <c r="G754" s="98"/>
    </row>
    <row r="755">
      <c r="G755" s="98"/>
    </row>
    <row r="756">
      <c r="G756" s="98"/>
    </row>
    <row r="757">
      <c r="G757" s="98"/>
    </row>
    <row r="758">
      <c r="G758" s="98"/>
    </row>
    <row r="759">
      <c r="G759" s="98"/>
    </row>
    <row r="760">
      <c r="G760" s="98"/>
    </row>
    <row r="761">
      <c r="G761" s="98"/>
    </row>
    <row r="762">
      <c r="G762" s="98"/>
    </row>
    <row r="763">
      <c r="G763" s="98"/>
    </row>
    <row r="764">
      <c r="G764" s="98"/>
    </row>
    <row r="765">
      <c r="G765" s="98"/>
    </row>
    <row r="766">
      <c r="G766" s="98"/>
    </row>
    <row r="767">
      <c r="G767" s="98"/>
    </row>
    <row r="768">
      <c r="G768" s="98"/>
    </row>
    <row r="769">
      <c r="G769" s="98"/>
    </row>
    <row r="770">
      <c r="G770" s="98"/>
    </row>
    <row r="771">
      <c r="G771" s="98"/>
    </row>
    <row r="772">
      <c r="G772" s="98"/>
    </row>
    <row r="773">
      <c r="G773" s="98"/>
    </row>
    <row r="774">
      <c r="G774" s="98"/>
    </row>
    <row r="775">
      <c r="G775" s="98"/>
    </row>
    <row r="776">
      <c r="G776" s="98"/>
    </row>
    <row r="777">
      <c r="G777" s="98"/>
    </row>
    <row r="778">
      <c r="G778" s="98"/>
    </row>
    <row r="779">
      <c r="G779" s="98"/>
    </row>
    <row r="780">
      <c r="G780" s="98"/>
    </row>
    <row r="781">
      <c r="G781" s="98"/>
    </row>
    <row r="782">
      <c r="G782" s="98"/>
    </row>
    <row r="783">
      <c r="G783" s="98"/>
    </row>
    <row r="784">
      <c r="G784" s="98"/>
    </row>
    <row r="785">
      <c r="G785" s="98"/>
    </row>
    <row r="786">
      <c r="G786" s="98"/>
    </row>
    <row r="787">
      <c r="G787" s="98"/>
    </row>
    <row r="788">
      <c r="G788" s="98"/>
    </row>
    <row r="789">
      <c r="G789" s="98"/>
    </row>
    <row r="790">
      <c r="G790" s="98"/>
    </row>
    <row r="791">
      <c r="G791" s="98"/>
    </row>
    <row r="792">
      <c r="G792" s="98"/>
    </row>
    <row r="793">
      <c r="G793" s="98"/>
    </row>
    <row r="794">
      <c r="G794" s="98"/>
    </row>
    <row r="795">
      <c r="G795" s="98"/>
    </row>
    <row r="796">
      <c r="G796" s="98"/>
    </row>
    <row r="797">
      <c r="G797" s="98"/>
    </row>
    <row r="798">
      <c r="G798" s="98"/>
    </row>
    <row r="799">
      <c r="G799" s="98"/>
    </row>
    <row r="800">
      <c r="G800" s="98"/>
    </row>
    <row r="801">
      <c r="G801" s="98"/>
    </row>
    <row r="802">
      <c r="G802" s="98"/>
    </row>
    <row r="803">
      <c r="G803" s="98"/>
    </row>
    <row r="804">
      <c r="G804" s="98"/>
    </row>
    <row r="805">
      <c r="G805" s="98"/>
    </row>
    <row r="806">
      <c r="G806" s="98"/>
    </row>
    <row r="807">
      <c r="G807" s="98"/>
    </row>
    <row r="808">
      <c r="G808" s="98"/>
    </row>
    <row r="809">
      <c r="G809" s="98"/>
    </row>
    <row r="810">
      <c r="G810" s="98"/>
    </row>
    <row r="811">
      <c r="G811" s="98"/>
    </row>
    <row r="812">
      <c r="G812" s="98"/>
    </row>
    <row r="813">
      <c r="G813" s="98"/>
    </row>
    <row r="814">
      <c r="G814" s="98"/>
    </row>
    <row r="815">
      <c r="G815" s="98"/>
    </row>
    <row r="816">
      <c r="G816" s="98"/>
    </row>
    <row r="817">
      <c r="G817" s="98"/>
    </row>
    <row r="818">
      <c r="G818" s="98"/>
    </row>
    <row r="819">
      <c r="G819" s="98"/>
    </row>
    <row r="820">
      <c r="G820" s="98"/>
    </row>
    <row r="821">
      <c r="G821" s="98"/>
    </row>
    <row r="822">
      <c r="G822" s="98"/>
    </row>
    <row r="823">
      <c r="G823" s="98"/>
    </row>
    <row r="824">
      <c r="G824" s="98"/>
    </row>
    <row r="825">
      <c r="G825" s="98"/>
    </row>
    <row r="826">
      <c r="G826" s="98"/>
    </row>
    <row r="827">
      <c r="G827" s="98"/>
    </row>
    <row r="828">
      <c r="G828" s="98"/>
    </row>
    <row r="829">
      <c r="G829" s="98"/>
    </row>
    <row r="830">
      <c r="G830" s="98"/>
    </row>
    <row r="831">
      <c r="G831" s="98"/>
    </row>
    <row r="832">
      <c r="G832" s="98"/>
    </row>
    <row r="833">
      <c r="G833" s="98"/>
    </row>
    <row r="834">
      <c r="G834" s="98"/>
    </row>
    <row r="835">
      <c r="G835" s="98"/>
    </row>
    <row r="836">
      <c r="G836" s="98"/>
    </row>
    <row r="837">
      <c r="G837" s="98"/>
    </row>
    <row r="838">
      <c r="G838" s="98"/>
    </row>
    <row r="839">
      <c r="G839" s="98"/>
    </row>
    <row r="840">
      <c r="G840" s="98"/>
    </row>
    <row r="841">
      <c r="G841" s="98"/>
    </row>
    <row r="842">
      <c r="G842" s="98"/>
    </row>
    <row r="843">
      <c r="G843" s="98"/>
    </row>
    <row r="844">
      <c r="G844" s="98"/>
    </row>
    <row r="845">
      <c r="G845" s="98"/>
    </row>
    <row r="846">
      <c r="G846" s="98"/>
    </row>
    <row r="847">
      <c r="G847" s="98"/>
    </row>
    <row r="848">
      <c r="G848" s="98"/>
    </row>
    <row r="849">
      <c r="G849" s="98"/>
    </row>
    <row r="850">
      <c r="G850" s="98"/>
    </row>
    <row r="851">
      <c r="G851" s="98"/>
    </row>
    <row r="852">
      <c r="G852" s="98"/>
    </row>
    <row r="853">
      <c r="G853" s="98"/>
    </row>
    <row r="854">
      <c r="G854" s="98"/>
    </row>
    <row r="855">
      <c r="G855" s="98"/>
    </row>
    <row r="856">
      <c r="G856" s="98"/>
    </row>
    <row r="857">
      <c r="G857" s="98"/>
    </row>
    <row r="858">
      <c r="G858" s="98"/>
    </row>
    <row r="859">
      <c r="G859" s="98"/>
    </row>
    <row r="860">
      <c r="G860" s="98"/>
    </row>
    <row r="861">
      <c r="G861" s="98"/>
    </row>
    <row r="862">
      <c r="G862" s="98"/>
    </row>
    <row r="863">
      <c r="G863" s="98"/>
    </row>
    <row r="864">
      <c r="G864" s="98"/>
    </row>
    <row r="865">
      <c r="G865" s="98"/>
    </row>
    <row r="866">
      <c r="G866" s="98"/>
    </row>
    <row r="867">
      <c r="G867" s="98"/>
    </row>
    <row r="868">
      <c r="G868" s="98"/>
    </row>
    <row r="869">
      <c r="G869" s="98"/>
    </row>
    <row r="870">
      <c r="G870" s="98"/>
    </row>
    <row r="871">
      <c r="G871" s="98"/>
    </row>
    <row r="872">
      <c r="G872" s="98"/>
    </row>
    <row r="873">
      <c r="G873" s="98"/>
    </row>
    <row r="874">
      <c r="G874" s="98"/>
    </row>
    <row r="875">
      <c r="G875" s="98"/>
    </row>
    <row r="876">
      <c r="G876" s="98"/>
    </row>
    <row r="877">
      <c r="G877" s="98"/>
    </row>
    <row r="878">
      <c r="G878" s="98"/>
    </row>
    <row r="879">
      <c r="G879" s="98"/>
    </row>
    <row r="880">
      <c r="G880" s="98"/>
    </row>
    <row r="881">
      <c r="G881" s="98"/>
    </row>
    <row r="882">
      <c r="G882" s="98"/>
    </row>
    <row r="883">
      <c r="G883" s="98"/>
    </row>
    <row r="884">
      <c r="G884" s="98"/>
    </row>
    <row r="885">
      <c r="G885" s="98"/>
    </row>
    <row r="886">
      <c r="G886" s="98"/>
    </row>
    <row r="887">
      <c r="G887" s="98"/>
    </row>
    <row r="888">
      <c r="G888" s="98"/>
    </row>
    <row r="889">
      <c r="G889" s="98"/>
    </row>
    <row r="890">
      <c r="G890" s="98"/>
    </row>
    <row r="891">
      <c r="G891" s="98"/>
    </row>
    <row r="892">
      <c r="G892" s="98"/>
    </row>
    <row r="893">
      <c r="G893" s="98"/>
    </row>
    <row r="894">
      <c r="G894" s="98"/>
    </row>
    <row r="895">
      <c r="G895" s="98"/>
    </row>
    <row r="896">
      <c r="G896" s="98"/>
    </row>
    <row r="897">
      <c r="G897" s="98"/>
    </row>
    <row r="898">
      <c r="G898" s="98"/>
    </row>
    <row r="899">
      <c r="G899" s="98"/>
    </row>
    <row r="900">
      <c r="G900" s="98"/>
    </row>
    <row r="901">
      <c r="G901" s="98"/>
    </row>
    <row r="902">
      <c r="G902" s="98"/>
    </row>
    <row r="903">
      <c r="G903" s="98"/>
    </row>
    <row r="904">
      <c r="G904" s="98"/>
    </row>
    <row r="905">
      <c r="G905" s="98"/>
    </row>
    <row r="906">
      <c r="G906" s="98"/>
    </row>
    <row r="907">
      <c r="G907" s="98"/>
    </row>
    <row r="908">
      <c r="G908" s="98"/>
    </row>
    <row r="909">
      <c r="G909" s="98"/>
    </row>
    <row r="910">
      <c r="G910" s="98"/>
    </row>
    <row r="911">
      <c r="G911" s="98"/>
    </row>
    <row r="912">
      <c r="G912" s="98"/>
    </row>
    <row r="913">
      <c r="G913" s="98"/>
    </row>
    <row r="914">
      <c r="G914" s="98"/>
    </row>
    <row r="915">
      <c r="G915" s="98"/>
    </row>
    <row r="916">
      <c r="G916" s="98"/>
    </row>
    <row r="917">
      <c r="G917" s="98"/>
    </row>
    <row r="918">
      <c r="G918" s="98"/>
    </row>
    <row r="919">
      <c r="G919" s="98"/>
    </row>
    <row r="920">
      <c r="G920" s="98"/>
    </row>
    <row r="921">
      <c r="G921" s="98"/>
    </row>
    <row r="922">
      <c r="G922" s="98"/>
    </row>
    <row r="923">
      <c r="G923" s="98"/>
    </row>
    <row r="924">
      <c r="G924" s="98"/>
    </row>
    <row r="925">
      <c r="G925" s="98"/>
    </row>
    <row r="926">
      <c r="G926" s="98"/>
    </row>
    <row r="927">
      <c r="G927" s="98"/>
    </row>
    <row r="928">
      <c r="G928" s="98"/>
    </row>
    <row r="929">
      <c r="G929" s="98"/>
    </row>
    <row r="930">
      <c r="G930" s="98"/>
    </row>
    <row r="931">
      <c r="G931" s="98"/>
    </row>
    <row r="932">
      <c r="G932" s="98"/>
    </row>
    <row r="933">
      <c r="G933" s="98"/>
    </row>
    <row r="934">
      <c r="G934" s="98"/>
    </row>
    <row r="935">
      <c r="G935" s="98"/>
    </row>
    <row r="936">
      <c r="G936" s="98"/>
    </row>
    <row r="937">
      <c r="G937" s="98"/>
    </row>
    <row r="938">
      <c r="G938" s="98"/>
    </row>
    <row r="939">
      <c r="G939" s="98"/>
    </row>
    <row r="940">
      <c r="G940" s="98"/>
    </row>
    <row r="941">
      <c r="G941" s="98"/>
    </row>
    <row r="942">
      <c r="G942" s="98"/>
    </row>
    <row r="943">
      <c r="G943" s="98"/>
    </row>
    <row r="944">
      <c r="G944" s="98"/>
    </row>
    <row r="945">
      <c r="G945" s="98"/>
    </row>
    <row r="946">
      <c r="G946" s="98"/>
    </row>
    <row r="947">
      <c r="G947" s="98"/>
    </row>
    <row r="948">
      <c r="G948" s="98"/>
    </row>
    <row r="949">
      <c r="G949" s="98"/>
    </row>
    <row r="950">
      <c r="G950" s="98"/>
    </row>
    <row r="951">
      <c r="G951" s="98"/>
    </row>
    <row r="952">
      <c r="G952" s="98"/>
    </row>
    <row r="953">
      <c r="G953" s="98"/>
    </row>
    <row r="954">
      <c r="G954" s="98"/>
    </row>
    <row r="955">
      <c r="G955" s="98"/>
    </row>
    <row r="956">
      <c r="G956" s="98"/>
    </row>
    <row r="957">
      <c r="G957" s="98"/>
    </row>
    <row r="958">
      <c r="G958" s="98"/>
    </row>
    <row r="959">
      <c r="G959" s="98"/>
    </row>
    <row r="960">
      <c r="G960" s="98"/>
    </row>
    <row r="961">
      <c r="G961" s="98"/>
    </row>
    <row r="962">
      <c r="G962" s="98"/>
    </row>
    <row r="963">
      <c r="G963" s="98"/>
    </row>
    <row r="964">
      <c r="G964" s="98"/>
    </row>
    <row r="965">
      <c r="G965" s="98"/>
    </row>
    <row r="966">
      <c r="G966" s="98"/>
    </row>
    <row r="967">
      <c r="G967" s="98"/>
    </row>
    <row r="968">
      <c r="G968" s="98"/>
    </row>
    <row r="969">
      <c r="G969" s="98"/>
    </row>
    <row r="970">
      <c r="G970" s="98"/>
    </row>
    <row r="971">
      <c r="G971" s="98"/>
    </row>
    <row r="972">
      <c r="G972" s="98"/>
    </row>
    <row r="973">
      <c r="G973" s="98"/>
    </row>
    <row r="974">
      <c r="G974" s="98"/>
    </row>
    <row r="975">
      <c r="G975" s="98"/>
    </row>
    <row r="976">
      <c r="G976" s="98"/>
    </row>
    <row r="977">
      <c r="G977" s="98"/>
    </row>
    <row r="978">
      <c r="G978" s="98"/>
    </row>
    <row r="979">
      <c r="G979" s="98"/>
    </row>
    <row r="980">
      <c r="G980" s="98"/>
    </row>
    <row r="981">
      <c r="G981" s="98"/>
    </row>
    <row r="982">
      <c r="G982" s="98"/>
    </row>
    <row r="983">
      <c r="G983" s="98"/>
    </row>
    <row r="984">
      <c r="G984" s="98"/>
    </row>
    <row r="985">
      <c r="G985" s="98"/>
    </row>
    <row r="986">
      <c r="G986" s="98"/>
    </row>
    <row r="987">
      <c r="G987" s="98"/>
    </row>
    <row r="988">
      <c r="G988" s="98"/>
    </row>
    <row r="989">
      <c r="G989" s="98"/>
    </row>
    <row r="990">
      <c r="G990" s="98"/>
    </row>
    <row r="991">
      <c r="G991" s="98"/>
    </row>
    <row r="992">
      <c r="G992" s="98"/>
    </row>
    <row r="993">
      <c r="G993" s="98"/>
    </row>
    <row r="994">
      <c r="G994" s="98"/>
    </row>
    <row r="995">
      <c r="G995" s="98"/>
    </row>
    <row r="996">
      <c r="G996" s="98"/>
    </row>
    <row r="997">
      <c r="G997" s="98"/>
    </row>
    <row r="998">
      <c r="G998" s="98"/>
    </row>
    <row r="999">
      <c r="G999" s="98"/>
    </row>
    <row r="1000">
      <c r="G1000" s="98"/>
    </row>
    <row r="1001">
      <c r="G1001" s="98"/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  <hyperlink r:id="rId7" location="gid=915348345" ref="H8"/>
  </hyperlinks>
  <drawing r:id="rId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6.0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16.0</v>
      </c>
      <c r="C2" s="71">
        <v>66.81</v>
      </c>
      <c r="D2" s="71">
        <v>100.0</v>
      </c>
      <c r="E2" s="93">
        <f t="shared" ref="E2:E8" si="1">C2/D2</f>
        <v>0.6681</v>
      </c>
      <c r="F2" s="72">
        <v>4.0</v>
      </c>
      <c r="G2" s="94">
        <v>67.5</v>
      </c>
      <c r="H2" s="95" t="s">
        <v>304</v>
      </c>
    </row>
    <row r="3">
      <c r="A3" s="38" t="s">
        <v>86</v>
      </c>
      <c r="B3" s="71">
        <v>8.0</v>
      </c>
      <c r="C3" s="96">
        <f>41.076+34.56</f>
        <v>75.636</v>
      </c>
      <c r="D3" s="71">
        <v>75.0</v>
      </c>
      <c r="E3" s="93">
        <f t="shared" si="1"/>
        <v>1.00848</v>
      </c>
      <c r="F3" s="72">
        <v>1.0</v>
      </c>
      <c r="G3" s="97">
        <v>73.0</v>
      </c>
      <c r="H3" s="95" t="s">
        <v>305</v>
      </c>
    </row>
    <row r="4">
      <c r="A4" s="38" t="s">
        <v>88</v>
      </c>
      <c r="B4" s="71">
        <v>13.0</v>
      </c>
      <c r="C4" s="71">
        <v>83.625</v>
      </c>
      <c r="D4" s="71">
        <v>100.0</v>
      </c>
      <c r="E4" s="93">
        <f t="shared" si="1"/>
        <v>0.83625</v>
      </c>
      <c r="F4" s="72">
        <v>2.0</v>
      </c>
      <c r="G4" s="97">
        <v>63.08</v>
      </c>
      <c r="H4" s="95" t="s">
        <v>306</v>
      </c>
    </row>
    <row r="5">
      <c r="A5" s="38" t="s">
        <v>90</v>
      </c>
      <c r="B5" s="71">
        <v>9.0</v>
      </c>
      <c r="C5" s="71">
        <v>33.574</v>
      </c>
      <c r="D5" s="71">
        <v>75.0</v>
      </c>
      <c r="E5" s="93">
        <f t="shared" si="1"/>
        <v>0.4476533333</v>
      </c>
      <c r="F5" s="72">
        <v>0.0</v>
      </c>
      <c r="G5" s="94">
        <v>12.98</v>
      </c>
      <c r="H5" s="95" t="s">
        <v>307</v>
      </c>
    </row>
    <row r="6">
      <c r="A6" s="38" t="s">
        <v>94</v>
      </c>
      <c r="B6" s="71">
        <v>9.0</v>
      </c>
      <c r="C6" s="71">
        <v>94.18</v>
      </c>
      <c r="D6" s="71">
        <v>100.0</v>
      </c>
      <c r="E6" s="93">
        <f t="shared" si="1"/>
        <v>0.9418</v>
      </c>
      <c r="F6" s="72">
        <v>1.0</v>
      </c>
      <c r="G6" s="94">
        <v>49.52</v>
      </c>
      <c r="H6" s="95" t="s">
        <v>308</v>
      </c>
    </row>
    <row r="7">
      <c r="A7" s="7" t="s">
        <v>96</v>
      </c>
      <c r="B7" s="71">
        <v>7.0</v>
      </c>
      <c r="C7" s="79">
        <v>67.462</v>
      </c>
      <c r="D7" s="71">
        <v>64.0</v>
      </c>
      <c r="E7" s="93">
        <f t="shared" si="1"/>
        <v>1.05409375</v>
      </c>
      <c r="F7" s="72">
        <v>0.0</v>
      </c>
      <c r="G7" s="94">
        <v>42.23</v>
      </c>
      <c r="H7" s="95" t="s">
        <v>309</v>
      </c>
    </row>
    <row r="8">
      <c r="C8" s="42">
        <f t="shared" ref="C8:D8" si="2">SUM(C2:C7)</f>
        <v>421.287</v>
      </c>
      <c r="D8" s="39">
        <f t="shared" si="2"/>
        <v>514</v>
      </c>
      <c r="E8" s="93">
        <f t="shared" si="1"/>
        <v>0.8196245136</v>
      </c>
      <c r="H8" s="56"/>
    </row>
    <row r="9">
      <c r="C9" s="56"/>
      <c r="E9" s="56"/>
    </row>
    <row r="10">
      <c r="C10" s="56"/>
      <c r="E10" s="94" t="s">
        <v>193</v>
      </c>
      <c r="F10" s="94" t="s">
        <v>194</v>
      </c>
      <c r="G10" s="94" t="s">
        <v>217</v>
      </c>
    </row>
    <row r="11">
      <c r="C11" s="56"/>
      <c r="E11" s="94">
        <v>1.0</v>
      </c>
      <c r="F11" s="100" t="s">
        <v>96</v>
      </c>
      <c r="G11" s="94">
        <v>5.08</v>
      </c>
    </row>
    <row r="12">
      <c r="C12" s="56"/>
      <c r="E12" s="97">
        <v>2.0</v>
      </c>
      <c r="F12" s="100" t="s">
        <v>108</v>
      </c>
      <c r="G12" s="100">
        <v>4.8</v>
      </c>
    </row>
    <row r="13">
      <c r="C13" s="56"/>
      <c r="E13" s="97">
        <v>3.0</v>
      </c>
      <c r="F13" s="100" t="s">
        <v>94</v>
      </c>
      <c r="G13" s="100">
        <v>3.85</v>
      </c>
    </row>
    <row r="14">
      <c r="C14" s="56"/>
      <c r="E14" s="94">
        <v>4.0</v>
      </c>
      <c r="F14" s="100" t="s">
        <v>88</v>
      </c>
      <c r="G14" s="100">
        <v>3.55</v>
      </c>
    </row>
    <row r="15">
      <c r="C15" s="56"/>
      <c r="E15" s="94">
        <v>5.0</v>
      </c>
      <c r="F15" s="100" t="s">
        <v>90</v>
      </c>
      <c r="G15" s="100">
        <v>3.5</v>
      </c>
    </row>
    <row r="16">
      <c r="C16" s="56"/>
      <c r="E16" s="94">
        <v>6.0</v>
      </c>
      <c r="F16" s="100" t="s">
        <v>85</v>
      </c>
      <c r="G16" s="100">
        <v>2.84</v>
      </c>
    </row>
  </sheetData>
  <hyperlinks>
    <hyperlink r:id="rId1" location="gid=1678709265" ref="H2"/>
    <hyperlink r:id="rId2" location="gid=1309167043" ref="H3"/>
    <hyperlink r:id="rId3" location="gid=744277439" ref="H4"/>
    <hyperlink r:id="rId4" location="gid=1469583701" ref="H5"/>
    <hyperlink r:id="rId5" location="gid=1508604409" ref="H6"/>
    <hyperlink r:id="rId6" location="gid=1114084665" ref="H7"/>
  </hyperlinks>
  <drawing r:id="rId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5.3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15.0</v>
      </c>
      <c r="C2" s="71">
        <v>57.14</v>
      </c>
      <c r="D2" s="71">
        <v>90.0</v>
      </c>
      <c r="E2" s="93">
        <f t="shared" ref="E2:E8" si="1">C2/D2</f>
        <v>0.6348888889</v>
      </c>
      <c r="F2" s="72">
        <v>1.0</v>
      </c>
      <c r="G2" s="94">
        <v>43.5</v>
      </c>
      <c r="H2" s="95" t="s">
        <v>310</v>
      </c>
    </row>
    <row r="3">
      <c r="A3" s="38" t="s">
        <v>86</v>
      </c>
      <c r="B3" s="71">
        <v>4.0</v>
      </c>
      <c r="C3" s="96">
        <v>68.808</v>
      </c>
      <c r="D3" s="71">
        <v>67.5</v>
      </c>
      <c r="E3" s="93">
        <f t="shared" si="1"/>
        <v>1.019377778</v>
      </c>
      <c r="F3" s="72">
        <v>1.0</v>
      </c>
      <c r="G3" s="97">
        <v>43.0</v>
      </c>
      <c r="H3" s="95" t="s">
        <v>311</v>
      </c>
    </row>
    <row r="4">
      <c r="A4" s="38" t="s">
        <v>88</v>
      </c>
      <c r="B4" s="71">
        <v>10.0</v>
      </c>
      <c r="C4" s="71">
        <v>54.7</v>
      </c>
      <c r="D4" s="71">
        <v>70.0</v>
      </c>
      <c r="E4" s="93">
        <f t="shared" si="1"/>
        <v>0.7814285714</v>
      </c>
      <c r="F4" s="72">
        <v>0.0</v>
      </c>
      <c r="G4" s="97">
        <v>45.62</v>
      </c>
      <c r="H4" s="95" t="s">
        <v>312</v>
      </c>
    </row>
    <row r="5">
      <c r="A5" s="38" t="s">
        <v>90</v>
      </c>
      <c r="B5" s="71">
        <v>16.0</v>
      </c>
      <c r="C5" s="71">
        <v>82.238</v>
      </c>
      <c r="D5" s="71">
        <v>67.5</v>
      </c>
      <c r="E5" s="93">
        <f t="shared" si="1"/>
        <v>1.218340741</v>
      </c>
      <c r="F5" s="72">
        <v>1.0</v>
      </c>
      <c r="G5" s="94">
        <v>34.25</v>
      </c>
      <c r="H5" s="95" t="s">
        <v>313</v>
      </c>
    </row>
    <row r="6">
      <c r="A6" s="38" t="s">
        <v>94</v>
      </c>
      <c r="B6" s="71">
        <v>8.0</v>
      </c>
      <c r="C6" s="71">
        <v>112.69</v>
      </c>
      <c r="D6" s="71">
        <v>90.0</v>
      </c>
      <c r="E6" s="93">
        <f t="shared" si="1"/>
        <v>1.252111111</v>
      </c>
      <c r="F6" s="72">
        <v>1.0</v>
      </c>
      <c r="G6" s="94">
        <v>87.68</v>
      </c>
      <c r="H6" s="95" t="s">
        <v>314</v>
      </c>
    </row>
    <row r="7">
      <c r="A7" s="7" t="s">
        <v>96</v>
      </c>
      <c r="B7" s="71">
        <v>9.0</v>
      </c>
      <c r="C7" s="79">
        <v>97.71</v>
      </c>
      <c r="D7" s="71">
        <v>72.0</v>
      </c>
      <c r="E7" s="93">
        <f t="shared" si="1"/>
        <v>1.357083333</v>
      </c>
      <c r="F7" s="72">
        <v>1.0</v>
      </c>
      <c r="G7" s="94">
        <v>63.3</v>
      </c>
      <c r="H7" s="95" t="s">
        <v>315</v>
      </c>
    </row>
    <row r="8">
      <c r="C8" s="42">
        <f t="shared" ref="C8:D8" si="2">SUM(C2:C7)</f>
        <v>473.286</v>
      </c>
      <c r="D8" s="39">
        <f t="shared" si="2"/>
        <v>457</v>
      </c>
      <c r="E8" s="93">
        <f t="shared" si="1"/>
        <v>1.035636761</v>
      </c>
      <c r="H8" s="56"/>
    </row>
    <row r="9">
      <c r="C9" s="56"/>
      <c r="E9" s="56"/>
    </row>
    <row r="10">
      <c r="C10" s="56"/>
      <c r="E10" s="94" t="s">
        <v>193</v>
      </c>
      <c r="F10" s="94" t="s">
        <v>194</v>
      </c>
      <c r="G10" s="94" t="s">
        <v>217</v>
      </c>
    </row>
    <row r="11">
      <c r="C11" s="56"/>
      <c r="E11" s="94">
        <v>1.0</v>
      </c>
      <c r="F11" s="100" t="s">
        <v>96</v>
      </c>
      <c r="G11" s="94">
        <v>5.27</v>
      </c>
    </row>
    <row r="12">
      <c r="C12" s="56"/>
      <c r="E12" s="97">
        <v>2.0</v>
      </c>
      <c r="F12" s="100" t="s">
        <v>90</v>
      </c>
      <c r="G12" s="100">
        <v>4.99</v>
      </c>
    </row>
    <row r="13">
      <c r="C13" s="56"/>
      <c r="E13" s="97">
        <v>3.0</v>
      </c>
      <c r="F13" s="100" t="s">
        <v>94</v>
      </c>
      <c r="G13" s="100">
        <v>4.57</v>
      </c>
    </row>
    <row r="14">
      <c r="C14" s="56"/>
      <c r="E14" s="94">
        <v>4.0</v>
      </c>
      <c r="F14" s="100" t="s">
        <v>108</v>
      </c>
      <c r="G14" s="100">
        <v>4.34</v>
      </c>
    </row>
    <row r="15">
      <c r="C15" s="56"/>
      <c r="E15" s="94">
        <v>5.0</v>
      </c>
      <c r="F15" s="100" t="s">
        <v>88</v>
      </c>
      <c r="G15" s="100">
        <v>3.57</v>
      </c>
    </row>
    <row r="16">
      <c r="C16" s="56"/>
      <c r="E16" s="94">
        <v>6.0</v>
      </c>
      <c r="F16" s="100" t="s">
        <v>85</v>
      </c>
      <c r="G16" s="100">
        <v>2.97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1355829565" ref="H6"/>
    <hyperlink r:id="rId6" location="gid=1503107642" ref="H7"/>
  </hyperlinks>
  <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6.6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7.0</v>
      </c>
      <c r="C2" s="71">
        <v>65.695</v>
      </c>
      <c r="D2" s="71">
        <v>100.0</v>
      </c>
      <c r="E2" s="93">
        <f t="shared" ref="E2:E9" si="1">C2/D2</f>
        <v>0.65695</v>
      </c>
      <c r="F2" s="72">
        <v>2.0</v>
      </c>
      <c r="G2" s="94">
        <v>72.0</v>
      </c>
      <c r="H2" s="95" t="s">
        <v>316</v>
      </c>
    </row>
    <row r="3">
      <c r="A3" s="38" t="s">
        <v>86</v>
      </c>
      <c r="B3" s="71">
        <v>4.0</v>
      </c>
      <c r="C3" s="96">
        <v>68.98</v>
      </c>
      <c r="D3" s="71">
        <v>75.0</v>
      </c>
      <c r="E3" s="93">
        <f t="shared" si="1"/>
        <v>0.9197333333</v>
      </c>
      <c r="F3" s="72">
        <v>1.0</v>
      </c>
      <c r="G3" s="97">
        <v>62.0</v>
      </c>
      <c r="H3" s="95" t="s">
        <v>317</v>
      </c>
    </row>
    <row r="4">
      <c r="A4" s="38" t="s">
        <v>88</v>
      </c>
      <c r="B4" s="71">
        <v>6.0</v>
      </c>
      <c r="C4" s="71">
        <v>39.531</v>
      </c>
      <c r="D4" s="71">
        <v>70.0</v>
      </c>
      <c r="E4" s="93">
        <f t="shared" si="1"/>
        <v>0.5647285714</v>
      </c>
      <c r="F4" s="72">
        <v>1.0</v>
      </c>
      <c r="G4" s="97">
        <v>38.65</v>
      </c>
      <c r="H4" s="95" t="s">
        <v>318</v>
      </c>
    </row>
    <row r="5">
      <c r="A5" s="38" t="s">
        <v>90</v>
      </c>
      <c r="B5" s="71">
        <v>12.0</v>
      </c>
      <c r="C5" s="71">
        <v>80.792</v>
      </c>
      <c r="D5" s="71">
        <v>75.0</v>
      </c>
      <c r="E5" s="93">
        <f t="shared" si="1"/>
        <v>1.077226667</v>
      </c>
      <c r="F5" s="72">
        <v>1.0</v>
      </c>
      <c r="G5" s="94">
        <v>66.15</v>
      </c>
      <c r="H5" s="95" t="s">
        <v>319</v>
      </c>
    </row>
    <row r="6">
      <c r="A6" s="38" t="s">
        <v>91</v>
      </c>
      <c r="B6" s="71">
        <v>13.0</v>
      </c>
      <c r="C6" s="71">
        <v>45.74</v>
      </c>
      <c r="D6" s="71">
        <v>100.0</v>
      </c>
      <c r="E6" s="93">
        <f t="shared" si="1"/>
        <v>0.4574</v>
      </c>
      <c r="F6" s="72">
        <v>3.0</v>
      </c>
      <c r="G6" s="102">
        <v>44.52</v>
      </c>
      <c r="H6" s="95" t="s">
        <v>320</v>
      </c>
    </row>
    <row r="7">
      <c r="A7" s="38" t="s">
        <v>94</v>
      </c>
      <c r="B7" s="71">
        <v>5.0</v>
      </c>
      <c r="C7" s="71">
        <f>42.644+31.68</f>
        <v>74.324</v>
      </c>
      <c r="D7" s="71">
        <v>75.0</v>
      </c>
      <c r="E7" s="93">
        <f t="shared" si="1"/>
        <v>0.9909866667</v>
      </c>
      <c r="F7" s="72">
        <v>0.0</v>
      </c>
      <c r="G7" s="94">
        <v>52.5</v>
      </c>
      <c r="H7" s="95" t="s">
        <v>321</v>
      </c>
    </row>
    <row r="8">
      <c r="A8" s="7" t="s">
        <v>96</v>
      </c>
      <c r="B8" s="71">
        <v>7.0</v>
      </c>
      <c r="C8" s="79">
        <v>66.882</v>
      </c>
      <c r="D8" s="71">
        <v>80.0</v>
      </c>
      <c r="E8" s="93">
        <f t="shared" si="1"/>
        <v>0.836025</v>
      </c>
      <c r="F8" s="72">
        <v>2.0</v>
      </c>
      <c r="G8" s="94">
        <v>49.13</v>
      </c>
      <c r="H8" s="95" t="s">
        <v>322</v>
      </c>
    </row>
    <row r="9">
      <c r="C9" s="42">
        <f t="shared" ref="C9:D9" si="2">SUM(C2:C8)</f>
        <v>441.944</v>
      </c>
      <c r="D9" s="39">
        <f t="shared" si="2"/>
        <v>575</v>
      </c>
      <c r="E9" s="93">
        <f t="shared" si="1"/>
        <v>0.7685982609</v>
      </c>
      <c r="H9" s="56"/>
    </row>
    <row r="10">
      <c r="C10" s="56"/>
      <c r="E10" s="56"/>
    </row>
    <row r="11">
      <c r="C11" s="56"/>
      <c r="E11" s="94" t="s">
        <v>193</v>
      </c>
      <c r="F11" s="94" t="s">
        <v>194</v>
      </c>
      <c r="G11" s="94" t="s">
        <v>217</v>
      </c>
    </row>
    <row r="12">
      <c r="C12" s="56"/>
      <c r="E12" s="94">
        <v>1.0</v>
      </c>
      <c r="F12" s="100" t="s">
        <v>90</v>
      </c>
      <c r="G12" s="94">
        <v>5.05</v>
      </c>
    </row>
    <row r="13">
      <c r="C13" s="56"/>
      <c r="E13" s="97">
        <v>2.0</v>
      </c>
      <c r="F13" s="100" t="s">
        <v>108</v>
      </c>
      <c r="G13" s="100">
        <v>4.63</v>
      </c>
    </row>
    <row r="14">
      <c r="C14" s="56"/>
      <c r="E14" s="97">
        <v>3.0</v>
      </c>
      <c r="F14" s="100" t="s">
        <v>94</v>
      </c>
      <c r="G14" s="100">
        <v>4.2</v>
      </c>
    </row>
    <row r="15">
      <c r="C15" s="56"/>
      <c r="E15" s="94">
        <v>4.0</v>
      </c>
      <c r="F15" s="100" t="s">
        <v>96</v>
      </c>
      <c r="G15" s="100">
        <v>3.77</v>
      </c>
    </row>
    <row r="16">
      <c r="C16" s="56"/>
      <c r="E16" s="94">
        <v>5.0</v>
      </c>
      <c r="F16" s="100" t="s">
        <v>85</v>
      </c>
      <c r="G16" s="100">
        <v>2.95</v>
      </c>
    </row>
    <row r="17">
      <c r="C17" s="56"/>
      <c r="E17" s="94">
        <v>6.0</v>
      </c>
      <c r="F17" s="100" t="s">
        <v>88</v>
      </c>
      <c r="G17" s="100">
        <v>2.74</v>
      </c>
    </row>
    <row r="18">
      <c r="C18" s="56"/>
      <c r="E18" s="94">
        <v>7.0</v>
      </c>
      <c r="F18" s="101" t="s">
        <v>91</v>
      </c>
      <c r="G18" s="101">
        <v>2.61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6.6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10.0</v>
      </c>
      <c r="C2" s="71">
        <f>67.329+7.26</f>
        <v>74.589</v>
      </c>
      <c r="D2" s="71">
        <v>100.0</v>
      </c>
      <c r="E2" s="93">
        <f t="shared" ref="E2:E9" si="1">C2/D2</f>
        <v>0.74589</v>
      </c>
      <c r="F2" s="72">
        <v>1.0</v>
      </c>
      <c r="G2" s="94">
        <v>64.33</v>
      </c>
      <c r="H2" s="95" t="s">
        <v>323</v>
      </c>
    </row>
    <row r="3">
      <c r="A3" s="38" t="s">
        <v>86</v>
      </c>
      <c r="B3" s="71">
        <v>3.0</v>
      </c>
      <c r="C3" s="96">
        <v>70.0</v>
      </c>
      <c r="D3" s="71">
        <v>60.0</v>
      </c>
      <c r="E3" s="93">
        <f t="shared" si="1"/>
        <v>1.166666667</v>
      </c>
      <c r="F3" s="72">
        <v>0.0</v>
      </c>
      <c r="G3" s="97">
        <v>56.0</v>
      </c>
      <c r="H3" s="95" t="s">
        <v>324</v>
      </c>
    </row>
    <row r="4">
      <c r="A4" s="38" t="s">
        <v>88</v>
      </c>
      <c r="B4" s="71">
        <v>18.0</v>
      </c>
      <c r="C4" s="71">
        <v>72.036</v>
      </c>
      <c r="D4" s="71">
        <v>95.0</v>
      </c>
      <c r="E4" s="93">
        <f t="shared" si="1"/>
        <v>0.7582736842</v>
      </c>
      <c r="F4" s="72">
        <v>0.0</v>
      </c>
      <c r="G4" s="97">
        <v>51.63</v>
      </c>
      <c r="H4" s="95" t="s">
        <v>325</v>
      </c>
    </row>
    <row r="5">
      <c r="A5" s="38" t="s">
        <v>90</v>
      </c>
      <c r="B5" s="71">
        <v>11.0</v>
      </c>
      <c r="C5" s="71">
        <v>64.05</v>
      </c>
      <c r="D5" s="71">
        <v>75.0</v>
      </c>
      <c r="E5" s="93">
        <f t="shared" si="1"/>
        <v>0.854</v>
      </c>
      <c r="F5" s="72">
        <v>0.0</v>
      </c>
      <c r="G5" s="94">
        <v>49.37</v>
      </c>
      <c r="H5" s="95" t="s">
        <v>326</v>
      </c>
    </row>
    <row r="6">
      <c r="A6" s="38" t="s">
        <v>91</v>
      </c>
      <c r="B6" s="71">
        <v>10.0</v>
      </c>
      <c r="C6" s="71">
        <v>35.08</v>
      </c>
      <c r="D6" s="71">
        <v>70.0</v>
      </c>
      <c r="E6" s="93">
        <f t="shared" si="1"/>
        <v>0.5011428571</v>
      </c>
      <c r="F6" s="72">
        <v>0.0</v>
      </c>
      <c r="G6" s="102">
        <v>44.77</v>
      </c>
      <c r="H6" s="95" t="s">
        <v>327</v>
      </c>
    </row>
    <row r="7">
      <c r="A7" s="38" t="s">
        <v>94</v>
      </c>
      <c r="B7" s="71">
        <v>6.0</v>
      </c>
      <c r="C7" s="71">
        <v>85.716</v>
      </c>
      <c r="D7" s="71">
        <v>100.0</v>
      </c>
      <c r="E7" s="93">
        <f t="shared" si="1"/>
        <v>0.85716</v>
      </c>
      <c r="F7" s="72">
        <v>0.0</v>
      </c>
      <c r="G7" s="94">
        <v>48.8</v>
      </c>
      <c r="H7" s="95" t="s">
        <v>328</v>
      </c>
    </row>
    <row r="8">
      <c r="A8" s="7" t="s">
        <v>96</v>
      </c>
      <c r="B8" s="71">
        <v>8.0</v>
      </c>
      <c r="C8" s="79">
        <v>59.814</v>
      </c>
      <c r="D8" s="71">
        <v>80.0</v>
      </c>
      <c r="E8" s="93">
        <f t="shared" si="1"/>
        <v>0.747675</v>
      </c>
      <c r="F8" s="72">
        <v>1.0</v>
      </c>
      <c r="G8" s="94">
        <v>28.48</v>
      </c>
      <c r="H8" s="95" t="s">
        <v>329</v>
      </c>
    </row>
    <row r="9">
      <c r="C9" s="42">
        <f t="shared" ref="C9:D9" si="2">SUM(C2:C8)</f>
        <v>461.285</v>
      </c>
      <c r="D9" s="39">
        <f t="shared" si="2"/>
        <v>580</v>
      </c>
      <c r="E9" s="93">
        <f t="shared" si="1"/>
        <v>0.7953189655</v>
      </c>
      <c r="H9" s="56"/>
    </row>
    <row r="10">
      <c r="C10" s="56"/>
      <c r="E10" s="56"/>
    </row>
    <row r="11">
      <c r="C11" s="56"/>
      <c r="E11" s="94" t="s">
        <v>193</v>
      </c>
      <c r="F11" s="94" t="s">
        <v>194</v>
      </c>
      <c r="G11" s="94" t="s">
        <v>217</v>
      </c>
    </row>
    <row r="12">
      <c r="C12" s="56"/>
      <c r="E12" s="94">
        <v>1.0</v>
      </c>
      <c r="F12" s="100" t="s">
        <v>108</v>
      </c>
      <c r="G12" s="94">
        <v>5.34</v>
      </c>
    </row>
    <row r="13">
      <c r="C13" s="56"/>
      <c r="E13" s="97">
        <v>2.0</v>
      </c>
      <c r="F13" s="100" t="s">
        <v>90</v>
      </c>
      <c r="G13" s="100">
        <v>4.34</v>
      </c>
    </row>
    <row r="14">
      <c r="C14" s="56"/>
      <c r="E14" s="97">
        <v>3.0</v>
      </c>
      <c r="F14" s="100" t="s">
        <v>94</v>
      </c>
      <c r="G14" s="100">
        <v>3.85</v>
      </c>
    </row>
    <row r="15">
      <c r="C15" s="56"/>
      <c r="E15" s="94">
        <v>4.0</v>
      </c>
      <c r="F15" s="100" t="s">
        <v>88</v>
      </c>
      <c r="G15" s="100">
        <v>3.84</v>
      </c>
    </row>
    <row r="16">
      <c r="C16" s="56"/>
      <c r="E16" s="94">
        <v>5.0</v>
      </c>
      <c r="F16" s="100" t="s">
        <v>96</v>
      </c>
      <c r="G16" s="100">
        <v>3.77</v>
      </c>
    </row>
    <row r="17">
      <c r="C17" s="56"/>
      <c r="E17" s="94">
        <v>6.0</v>
      </c>
      <c r="F17" s="100" t="s">
        <v>85</v>
      </c>
      <c r="G17" s="100">
        <v>3.4</v>
      </c>
    </row>
    <row r="18">
      <c r="C18" s="56"/>
      <c r="E18" s="94">
        <v>7.0</v>
      </c>
      <c r="F18" s="101" t="s">
        <v>91</v>
      </c>
      <c r="G18" s="101">
        <v>2.92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10.1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6.0</v>
      </c>
      <c r="C2" s="71">
        <v>33.66</v>
      </c>
      <c r="D2" s="71">
        <v>70.0</v>
      </c>
      <c r="E2" s="93">
        <f t="shared" ref="E2:E9" si="1">C2/D2</f>
        <v>0.4808571429</v>
      </c>
      <c r="F2" s="72">
        <v>0.0</v>
      </c>
      <c r="G2" s="94">
        <v>37.0</v>
      </c>
      <c r="H2" s="95" t="s">
        <v>330</v>
      </c>
    </row>
    <row r="3">
      <c r="A3" s="38" t="s">
        <v>86</v>
      </c>
      <c r="B3" s="71">
        <v>5.0</v>
      </c>
      <c r="C3" s="96">
        <v>28.091</v>
      </c>
      <c r="D3" s="71">
        <v>45.0</v>
      </c>
      <c r="E3" s="93">
        <f t="shared" si="1"/>
        <v>0.6242444444</v>
      </c>
      <c r="F3" s="72">
        <v>0.0</v>
      </c>
      <c r="G3" s="97">
        <v>12.0</v>
      </c>
      <c r="H3" s="95" t="s">
        <v>331</v>
      </c>
    </row>
    <row r="4">
      <c r="A4" s="38" t="s">
        <v>88</v>
      </c>
      <c r="B4" s="71">
        <v>9.0</v>
      </c>
      <c r="C4" s="71">
        <v>59.896</v>
      </c>
      <c r="D4" s="71">
        <v>70.0</v>
      </c>
      <c r="E4" s="93">
        <f t="shared" si="1"/>
        <v>0.8556571429</v>
      </c>
      <c r="F4" s="72">
        <v>1.0</v>
      </c>
      <c r="G4" s="97">
        <v>39.23</v>
      </c>
      <c r="H4" s="95" t="s">
        <v>332</v>
      </c>
    </row>
    <row r="5">
      <c r="A5" s="38" t="s">
        <v>90</v>
      </c>
      <c r="B5" s="104"/>
      <c r="C5" s="104"/>
      <c r="D5" s="71">
        <v>0.0</v>
      </c>
      <c r="E5" s="93" t="str">
        <f t="shared" si="1"/>
        <v>#DIV/0!</v>
      </c>
      <c r="F5" s="72">
        <v>0.0</v>
      </c>
      <c r="G5" s="105"/>
      <c r="H5" s="95" t="s">
        <v>333</v>
      </c>
    </row>
    <row r="6">
      <c r="A6" s="38" t="s">
        <v>91</v>
      </c>
      <c r="B6" s="71">
        <v>13.0</v>
      </c>
      <c r="C6" s="71">
        <v>31.75</v>
      </c>
      <c r="D6" s="71">
        <v>70.0</v>
      </c>
      <c r="E6" s="93">
        <f t="shared" si="1"/>
        <v>0.4535714286</v>
      </c>
      <c r="F6" s="72">
        <v>1.0</v>
      </c>
      <c r="G6" s="102">
        <v>36.8</v>
      </c>
      <c r="H6" s="95" t="s">
        <v>334</v>
      </c>
    </row>
    <row r="7">
      <c r="A7" s="38" t="s">
        <v>94</v>
      </c>
      <c r="B7" s="71">
        <v>5.0</v>
      </c>
      <c r="C7" s="71">
        <v>56.706</v>
      </c>
      <c r="D7" s="71">
        <v>70.0</v>
      </c>
      <c r="E7" s="93">
        <f t="shared" si="1"/>
        <v>0.8100857143</v>
      </c>
      <c r="F7" s="72">
        <v>1.0</v>
      </c>
      <c r="G7" s="94">
        <v>44.03</v>
      </c>
      <c r="H7" s="95" t="s">
        <v>335</v>
      </c>
    </row>
    <row r="8">
      <c r="A8" s="7" t="s">
        <v>96</v>
      </c>
      <c r="B8" s="71">
        <v>4.0</v>
      </c>
      <c r="C8" s="79">
        <v>25.735</v>
      </c>
      <c r="D8" s="71">
        <v>56.0</v>
      </c>
      <c r="E8" s="93">
        <f t="shared" si="1"/>
        <v>0.4595535714</v>
      </c>
      <c r="F8" s="72">
        <v>0.0</v>
      </c>
      <c r="G8" s="94">
        <v>17.3</v>
      </c>
      <c r="H8" s="95" t="s">
        <v>336</v>
      </c>
    </row>
    <row r="9">
      <c r="C9" s="42">
        <f t="shared" ref="C9:D9" si="2">SUM(C2:C8)</f>
        <v>235.838</v>
      </c>
      <c r="D9" s="39">
        <f t="shared" si="2"/>
        <v>381</v>
      </c>
      <c r="E9" s="93">
        <f t="shared" si="1"/>
        <v>0.6189973753</v>
      </c>
      <c r="H9" s="56"/>
    </row>
    <row r="10">
      <c r="C10" s="56"/>
      <c r="E10" s="56"/>
    </row>
    <row r="11">
      <c r="C11" s="56"/>
      <c r="E11" s="94" t="s">
        <v>193</v>
      </c>
      <c r="F11" s="94" t="s">
        <v>194</v>
      </c>
      <c r="G11" s="94" t="s">
        <v>217</v>
      </c>
    </row>
    <row r="12">
      <c r="C12" s="56"/>
      <c r="E12" s="94">
        <v>1.0</v>
      </c>
      <c r="F12" s="100" t="s">
        <v>88</v>
      </c>
      <c r="G12" s="94">
        <v>3.74</v>
      </c>
    </row>
    <row r="13">
      <c r="C13" s="56"/>
      <c r="E13" s="97">
        <v>2.0</v>
      </c>
      <c r="F13" s="100" t="s">
        <v>108</v>
      </c>
      <c r="G13" s="100">
        <v>3.54</v>
      </c>
    </row>
    <row r="14">
      <c r="C14" s="56"/>
      <c r="E14" s="97">
        <v>3.0</v>
      </c>
      <c r="F14" s="100" t="s">
        <v>94</v>
      </c>
      <c r="G14" s="100">
        <v>3.17</v>
      </c>
    </row>
    <row r="15">
      <c r="C15" s="56"/>
      <c r="E15" s="94">
        <v>4.0</v>
      </c>
      <c r="F15" s="100" t="s">
        <v>96</v>
      </c>
      <c r="G15" s="100">
        <v>2.78</v>
      </c>
    </row>
    <row r="16">
      <c r="C16" s="56"/>
      <c r="E16" s="94">
        <v>5.0</v>
      </c>
      <c r="F16" s="100" t="s">
        <v>85</v>
      </c>
      <c r="G16" s="100">
        <v>2.69</v>
      </c>
    </row>
    <row r="17">
      <c r="C17" s="56"/>
      <c r="E17" s="94">
        <v>6.0</v>
      </c>
      <c r="F17" s="100" t="s">
        <v>91</v>
      </c>
      <c r="G17" s="100">
        <v>2.42</v>
      </c>
    </row>
    <row r="18">
      <c r="C18" s="56"/>
      <c r="E18" s="94">
        <v>7.0</v>
      </c>
      <c r="F18" s="103" t="s">
        <v>105</v>
      </c>
      <c r="G18" s="103" t="s">
        <v>337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10.13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7.0</v>
      </c>
      <c r="C2" s="71">
        <v>103.26</v>
      </c>
      <c r="D2" s="71">
        <v>90.0</v>
      </c>
      <c r="E2" s="93">
        <f t="shared" ref="E2:E9" si="1">C2/D2</f>
        <v>1.147333333</v>
      </c>
      <c r="F2" s="72">
        <v>3.0</v>
      </c>
      <c r="G2" s="94">
        <v>59.0</v>
      </c>
      <c r="H2" s="95" t="s">
        <v>338</v>
      </c>
    </row>
    <row r="3">
      <c r="A3" s="38" t="s">
        <v>86</v>
      </c>
      <c r="B3" s="71">
        <v>5.0</v>
      </c>
      <c r="C3" s="96">
        <v>81.0</v>
      </c>
      <c r="D3" s="71">
        <v>67.5</v>
      </c>
      <c r="E3" s="93">
        <f t="shared" si="1"/>
        <v>1.2</v>
      </c>
      <c r="F3" s="72">
        <v>0.0</v>
      </c>
      <c r="G3" s="97">
        <v>64.0</v>
      </c>
      <c r="H3" s="95" t="s">
        <v>339</v>
      </c>
    </row>
    <row r="4">
      <c r="A4" s="38" t="s">
        <v>88</v>
      </c>
      <c r="B4" s="71">
        <v>12.0</v>
      </c>
      <c r="C4" s="71">
        <v>69.0</v>
      </c>
      <c r="D4" s="71">
        <v>90.0</v>
      </c>
      <c r="E4" s="93">
        <f t="shared" si="1"/>
        <v>0.7666666667</v>
      </c>
      <c r="F4" s="72">
        <v>1.0</v>
      </c>
      <c r="G4" s="97">
        <v>60.42</v>
      </c>
      <c r="H4" s="95" t="s">
        <v>340</v>
      </c>
    </row>
    <row r="5">
      <c r="A5" s="38" t="s">
        <v>90</v>
      </c>
      <c r="B5" s="71">
        <v>9.0</v>
      </c>
      <c r="C5" s="71">
        <v>49.106</v>
      </c>
      <c r="D5" s="71">
        <v>52.5</v>
      </c>
      <c r="E5" s="93">
        <f t="shared" si="1"/>
        <v>0.935352381</v>
      </c>
      <c r="F5" s="72">
        <v>0.0</v>
      </c>
      <c r="G5" s="94">
        <v>61.18</v>
      </c>
      <c r="H5" s="95" t="s">
        <v>341</v>
      </c>
    </row>
    <row r="6">
      <c r="A6" s="38" t="s">
        <v>91</v>
      </c>
      <c r="B6" s="71">
        <v>8.0</v>
      </c>
      <c r="C6" s="71">
        <v>59.45</v>
      </c>
      <c r="D6" s="71">
        <v>90.0</v>
      </c>
      <c r="E6" s="93">
        <f t="shared" si="1"/>
        <v>0.6605555556</v>
      </c>
      <c r="F6" s="72">
        <v>3.0</v>
      </c>
      <c r="G6" s="102">
        <v>64.08</v>
      </c>
      <c r="H6" s="95" t="s">
        <v>342</v>
      </c>
    </row>
    <row r="7">
      <c r="A7" s="38" t="s">
        <v>94</v>
      </c>
      <c r="B7" s="71">
        <v>7.0</v>
      </c>
      <c r="C7" s="71">
        <v>98.65</v>
      </c>
      <c r="D7" s="71">
        <v>90.0</v>
      </c>
      <c r="E7" s="93">
        <f t="shared" si="1"/>
        <v>1.096111111</v>
      </c>
      <c r="F7" s="72">
        <v>0.0</v>
      </c>
      <c r="G7" s="94">
        <v>60.2</v>
      </c>
      <c r="H7" s="95" t="s">
        <v>343</v>
      </c>
    </row>
    <row r="8">
      <c r="A8" s="7" t="s">
        <v>96</v>
      </c>
      <c r="B8" s="71">
        <v>6.0</v>
      </c>
      <c r="C8" s="79">
        <v>36.28</v>
      </c>
      <c r="D8" s="71">
        <v>72.0</v>
      </c>
      <c r="E8" s="93">
        <f t="shared" si="1"/>
        <v>0.5038888889</v>
      </c>
      <c r="F8" s="72">
        <v>0.0</v>
      </c>
      <c r="G8" s="94">
        <v>33.63</v>
      </c>
      <c r="H8" s="95" t="s">
        <v>344</v>
      </c>
    </row>
    <row r="9">
      <c r="C9" s="42">
        <f t="shared" ref="C9:D9" si="2">SUM(C2:C8)</f>
        <v>496.746</v>
      </c>
      <c r="D9" s="39">
        <f t="shared" si="2"/>
        <v>552</v>
      </c>
      <c r="E9" s="93">
        <f t="shared" si="1"/>
        <v>0.8999021739</v>
      </c>
      <c r="H9" s="56"/>
    </row>
    <row r="10">
      <c r="C10" s="56"/>
      <c r="E10" s="56"/>
    </row>
    <row r="11">
      <c r="C11" s="56"/>
      <c r="E11" s="94" t="s">
        <v>193</v>
      </c>
      <c r="F11" s="94" t="s">
        <v>194</v>
      </c>
      <c r="G11" s="94" t="s">
        <v>217</v>
      </c>
    </row>
    <row r="12">
      <c r="C12" s="56"/>
      <c r="E12" s="94">
        <v>1.0</v>
      </c>
      <c r="F12" s="100" t="s">
        <v>108</v>
      </c>
      <c r="G12" s="94">
        <v>5.4</v>
      </c>
    </row>
    <row r="13">
      <c r="C13" s="56"/>
      <c r="E13" s="97">
        <v>2.0</v>
      </c>
      <c r="F13" s="100" t="s">
        <v>94</v>
      </c>
      <c r="G13" s="100">
        <v>4.79</v>
      </c>
    </row>
    <row r="14">
      <c r="C14" s="56"/>
      <c r="E14" s="97">
        <v>3.0</v>
      </c>
      <c r="F14" s="100" t="s">
        <v>90</v>
      </c>
      <c r="G14" s="100">
        <v>4.66</v>
      </c>
    </row>
    <row r="15">
      <c r="C15" s="56"/>
      <c r="E15" s="94">
        <v>4.0</v>
      </c>
      <c r="F15" s="100" t="s">
        <v>85</v>
      </c>
      <c r="G15" s="100">
        <v>4.24</v>
      </c>
    </row>
    <row r="16">
      <c r="C16" s="56"/>
      <c r="E16" s="94">
        <v>5.0</v>
      </c>
      <c r="F16" s="100" t="s">
        <v>88</v>
      </c>
      <c r="G16" s="100">
        <v>3.74</v>
      </c>
    </row>
    <row r="17">
      <c r="C17" s="56"/>
      <c r="E17" s="94">
        <v>6.0</v>
      </c>
      <c r="F17" s="100" t="s">
        <v>96</v>
      </c>
      <c r="G17" s="100">
        <v>3.31</v>
      </c>
    </row>
    <row r="18">
      <c r="C18" s="56"/>
      <c r="E18" s="94">
        <v>7.0</v>
      </c>
      <c r="F18" s="100" t="s">
        <v>91</v>
      </c>
      <c r="G18" s="100">
        <v>3.23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3.3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8.0</v>
      </c>
      <c r="C2" s="71">
        <v>41.28</v>
      </c>
      <c r="D2" s="71">
        <v>90.0</v>
      </c>
      <c r="E2" s="93">
        <f t="shared" ref="E2:E9" si="1">C2/D2</f>
        <v>0.4586666667</v>
      </c>
      <c r="F2" s="72">
        <v>3.0</v>
      </c>
      <c r="G2" s="94">
        <v>38.63</v>
      </c>
      <c r="H2" s="95" t="s">
        <v>345</v>
      </c>
    </row>
    <row r="3">
      <c r="A3" s="38" t="s">
        <v>86</v>
      </c>
      <c r="B3" s="71">
        <v>5.0</v>
      </c>
      <c r="C3" s="96">
        <v>60.38</v>
      </c>
      <c r="D3" s="71">
        <v>67.5</v>
      </c>
      <c r="E3" s="93">
        <f t="shared" si="1"/>
        <v>0.8945185185</v>
      </c>
      <c r="F3" s="72">
        <v>1.0</v>
      </c>
      <c r="G3" s="97">
        <v>41.0</v>
      </c>
      <c r="H3" s="95" t="s">
        <v>346</v>
      </c>
    </row>
    <row r="4">
      <c r="A4" s="38" t="s">
        <v>88</v>
      </c>
      <c r="B4" s="71">
        <v>12.0</v>
      </c>
      <c r="C4" s="71">
        <v>75.086</v>
      </c>
      <c r="D4" s="71">
        <v>90.0</v>
      </c>
      <c r="E4" s="93">
        <f t="shared" si="1"/>
        <v>0.8342888889</v>
      </c>
      <c r="F4" s="72">
        <v>0.0</v>
      </c>
      <c r="G4" s="97">
        <v>54.67</v>
      </c>
      <c r="H4" s="95" t="s">
        <v>347</v>
      </c>
    </row>
    <row r="5">
      <c r="A5" s="38" t="s">
        <v>90</v>
      </c>
      <c r="B5" s="71">
        <v>12.0</v>
      </c>
      <c r="C5" s="71">
        <v>54.5</v>
      </c>
      <c r="D5" s="71">
        <v>67.5</v>
      </c>
      <c r="E5" s="93">
        <f t="shared" si="1"/>
        <v>0.8074074074</v>
      </c>
      <c r="F5" s="72">
        <v>0.0</v>
      </c>
      <c r="G5" s="94">
        <v>36.8</v>
      </c>
      <c r="H5" s="95" t="s">
        <v>348</v>
      </c>
    </row>
    <row r="6">
      <c r="A6" s="38" t="s">
        <v>91</v>
      </c>
      <c r="B6" s="71">
        <v>7.0</v>
      </c>
      <c r="C6" s="71">
        <v>58.613</v>
      </c>
      <c r="D6" s="71">
        <v>80.0</v>
      </c>
      <c r="E6" s="93">
        <f t="shared" si="1"/>
        <v>0.7326625</v>
      </c>
      <c r="F6" s="72">
        <v>2.0</v>
      </c>
      <c r="G6" s="102">
        <v>59.35</v>
      </c>
      <c r="H6" s="95" t="s">
        <v>349</v>
      </c>
    </row>
    <row r="7">
      <c r="A7" s="38" t="s">
        <v>94</v>
      </c>
      <c r="B7" s="71">
        <v>9.0</v>
      </c>
      <c r="C7" s="71">
        <v>124.14</v>
      </c>
      <c r="D7" s="71">
        <v>90.0</v>
      </c>
      <c r="E7" s="93">
        <f t="shared" si="1"/>
        <v>1.379333333</v>
      </c>
      <c r="F7" s="72">
        <v>1.0</v>
      </c>
      <c r="G7" s="94">
        <v>75.78</v>
      </c>
      <c r="H7" s="95" t="s">
        <v>350</v>
      </c>
    </row>
    <row r="8">
      <c r="A8" s="7" t="s">
        <v>96</v>
      </c>
      <c r="B8" s="71">
        <v>6.0</v>
      </c>
      <c r="C8" s="79">
        <v>63.625</v>
      </c>
      <c r="D8" s="71">
        <v>72.0</v>
      </c>
      <c r="E8" s="93">
        <f t="shared" si="1"/>
        <v>0.8836805556</v>
      </c>
      <c r="F8" s="72">
        <v>0.0</v>
      </c>
      <c r="G8" s="94">
        <v>29.6</v>
      </c>
      <c r="H8" s="95" t="s">
        <v>351</v>
      </c>
    </row>
    <row r="9">
      <c r="C9" s="42">
        <f t="shared" ref="C9:D9" si="2">SUM(C2:C8)</f>
        <v>477.624</v>
      </c>
      <c r="D9" s="39">
        <f t="shared" si="2"/>
        <v>557</v>
      </c>
      <c r="E9" s="93">
        <f t="shared" si="1"/>
        <v>0.8574937163</v>
      </c>
      <c r="H9" s="56"/>
    </row>
    <row r="10">
      <c r="C10" s="56"/>
      <c r="E10" s="56"/>
    </row>
    <row r="11">
      <c r="C11" s="56"/>
      <c r="E11" s="94" t="s">
        <v>193</v>
      </c>
      <c r="F11" s="94" t="s">
        <v>194</v>
      </c>
      <c r="G11" s="94" t="s">
        <v>217</v>
      </c>
    </row>
    <row r="12">
      <c r="C12" s="56"/>
      <c r="E12" s="94">
        <v>1.0</v>
      </c>
      <c r="F12" s="100" t="s">
        <v>94</v>
      </c>
      <c r="G12" s="94">
        <v>4.97</v>
      </c>
    </row>
    <row r="13">
      <c r="C13" s="56"/>
      <c r="E13" s="97">
        <v>2.0</v>
      </c>
      <c r="F13" s="100" t="s">
        <v>96</v>
      </c>
      <c r="G13" s="100">
        <v>4.42</v>
      </c>
    </row>
    <row r="14">
      <c r="C14" s="56"/>
      <c r="E14" s="97">
        <v>3.0</v>
      </c>
      <c r="F14" s="100" t="s">
        <v>90</v>
      </c>
      <c r="G14" s="100">
        <v>4.24</v>
      </c>
    </row>
    <row r="15">
      <c r="C15" s="56"/>
      <c r="E15" s="94">
        <v>4.0</v>
      </c>
      <c r="F15" s="100" t="s">
        <v>108</v>
      </c>
      <c r="G15" s="100">
        <v>4.21</v>
      </c>
    </row>
    <row r="16">
      <c r="C16" s="56"/>
      <c r="E16" s="94">
        <v>5.0</v>
      </c>
      <c r="F16" s="100" t="s">
        <v>88</v>
      </c>
      <c r="G16" s="100">
        <v>3.88</v>
      </c>
    </row>
    <row r="17">
      <c r="C17" s="56"/>
      <c r="E17" s="94">
        <v>6.0</v>
      </c>
      <c r="F17" s="100" t="s">
        <v>91</v>
      </c>
      <c r="G17" s="100">
        <v>3.14</v>
      </c>
    </row>
    <row r="18">
      <c r="C18" s="56"/>
      <c r="E18" s="94">
        <v>7.0</v>
      </c>
      <c r="F18" s="100" t="s">
        <v>85</v>
      </c>
      <c r="G18" s="100">
        <v>2.19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3" width="6.5"/>
    <col customWidth="1" min="4" max="4" width="8.0"/>
    <col customWidth="1" min="5" max="5" width="11.5"/>
    <col customWidth="1" min="6" max="6" width="11.75"/>
    <col customWidth="1" min="7" max="7" width="9.0"/>
    <col customWidth="1" min="8" max="8" width="104.88"/>
  </cols>
  <sheetData>
    <row r="1">
      <c r="A1" s="38"/>
      <c r="B1" s="69" t="s">
        <v>180</v>
      </c>
      <c r="C1" s="69" t="s">
        <v>181</v>
      </c>
      <c r="D1" s="69" t="s">
        <v>182</v>
      </c>
      <c r="E1" s="69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9.0</v>
      </c>
      <c r="C2" s="71">
        <v>70.105</v>
      </c>
      <c r="D2" s="71">
        <v>90.0</v>
      </c>
      <c r="E2" s="93">
        <f t="shared" ref="E2:E9" si="1">C2/D2</f>
        <v>0.7789444444</v>
      </c>
      <c r="F2" s="72">
        <v>2.0</v>
      </c>
      <c r="G2" s="94">
        <v>82.5</v>
      </c>
      <c r="H2" s="95" t="s">
        <v>352</v>
      </c>
    </row>
    <row r="3">
      <c r="A3" s="38" t="s">
        <v>86</v>
      </c>
      <c r="B3" s="71">
        <v>6.0</v>
      </c>
      <c r="C3" s="106">
        <v>64.808</v>
      </c>
      <c r="D3" s="71">
        <v>67.5</v>
      </c>
      <c r="E3" s="93">
        <f t="shared" si="1"/>
        <v>0.9601185185</v>
      </c>
      <c r="F3" s="72">
        <v>0.0</v>
      </c>
      <c r="G3" s="97">
        <v>57.5</v>
      </c>
      <c r="H3" s="95" t="s">
        <v>353</v>
      </c>
    </row>
    <row r="4">
      <c r="A4" s="38" t="s">
        <v>88</v>
      </c>
      <c r="B4" s="71">
        <v>14.0</v>
      </c>
      <c r="C4" s="71">
        <v>68.47</v>
      </c>
      <c r="D4" s="71">
        <v>90.0</v>
      </c>
      <c r="E4" s="93">
        <f t="shared" si="1"/>
        <v>0.7607777778</v>
      </c>
      <c r="F4" s="72">
        <v>0.0</v>
      </c>
      <c r="G4" s="97">
        <v>54.42</v>
      </c>
      <c r="H4" s="95" t="s">
        <v>354</v>
      </c>
    </row>
    <row r="5">
      <c r="A5" s="38" t="s">
        <v>90</v>
      </c>
      <c r="B5" s="71">
        <v>17.0</v>
      </c>
      <c r="C5" s="71">
        <v>91.04</v>
      </c>
      <c r="D5" s="71">
        <v>67.5</v>
      </c>
      <c r="E5" s="93">
        <f t="shared" si="1"/>
        <v>1.348740741</v>
      </c>
      <c r="F5" s="72">
        <v>0.0</v>
      </c>
      <c r="G5" s="94">
        <v>67.67</v>
      </c>
      <c r="H5" s="95" t="s">
        <v>355</v>
      </c>
    </row>
    <row r="6">
      <c r="A6" s="38" t="s">
        <v>91</v>
      </c>
      <c r="B6" s="71">
        <v>9.0</v>
      </c>
      <c r="C6" s="71">
        <v>68.408</v>
      </c>
      <c r="D6" s="71">
        <v>90.0</v>
      </c>
      <c r="E6" s="93">
        <f t="shared" si="1"/>
        <v>0.7600888889</v>
      </c>
      <c r="F6" s="72">
        <v>4.0</v>
      </c>
      <c r="G6" s="102">
        <v>64.68</v>
      </c>
      <c r="H6" s="95" t="s">
        <v>356</v>
      </c>
    </row>
    <row r="7">
      <c r="A7" s="38" t="s">
        <v>94</v>
      </c>
      <c r="B7" s="71">
        <v>4.0</v>
      </c>
      <c r="C7" s="71">
        <v>47.18</v>
      </c>
      <c r="D7" s="71">
        <v>90.0</v>
      </c>
      <c r="E7" s="93">
        <f t="shared" si="1"/>
        <v>0.5242222222</v>
      </c>
      <c r="F7" s="72">
        <v>0.0</v>
      </c>
      <c r="G7" s="94">
        <v>39.75</v>
      </c>
      <c r="H7" s="95" t="s">
        <v>357</v>
      </c>
    </row>
    <row r="8">
      <c r="A8" s="7" t="s">
        <v>96</v>
      </c>
      <c r="B8" s="71">
        <v>4.0</v>
      </c>
      <c r="C8" s="79">
        <v>66.078</v>
      </c>
      <c r="D8" s="71">
        <v>72.0</v>
      </c>
      <c r="E8" s="93">
        <f t="shared" si="1"/>
        <v>0.91775</v>
      </c>
      <c r="F8" s="72">
        <v>0.0</v>
      </c>
      <c r="G8" s="94">
        <v>48.52</v>
      </c>
      <c r="H8" s="95" t="s">
        <v>358</v>
      </c>
    </row>
    <row r="9">
      <c r="C9" s="42">
        <f t="shared" ref="C9:D9" si="2">SUM(C2:C8)</f>
        <v>476.089</v>
      </c>
      <c r="D9" s="39">
        <f t="shared" si="2"/>
        <v>567</v>
      </c>
      <c r="E9" s="93">
        <f t="shared" si="1"/>
        <v>0.8396631393</v>
      </c>
      <c r="H9" s="56"/>
    </row>
    <row r="10">
      <c r="C10" s="56"/>
      <c r="E10" s="56"/>
    </row>
    <row r="11">
      <c r="C11" s="56"/>
      <c r="E11" s="94" t="s">
        <v>193</v>
      </c>
      <c r="F11" s="94" t="s">
        <v>194</v>
      </c>
      <c r="G11" s="94" t="s">
        <v>217</v>
      </c>
    </row>
    <row r="12">
      <c r="C12" s="56"/>
      <c r="E12" s="94">
        <v>1.0</v>
      </c>
      <c r="F12" s="100" t="s">
        <v>90</v>
      </c>
      <c r="G12" s="94">
        <v>5.43</v>
      </c>
    </row>
    <row r="13">
      <c r="C13" s="56"/>
      <c r="E13" s="97">
        <v>2.0</v>
      </c>
      <c r="F13" s="100" t="s">
        <v>108</v>
      </c>
      <c r="G13" s="100">
        <v>4.8</v>
      </c>
    </row>
    <row r="14">
      <c r="C14" s="56"/>
      <c r="E14" s="97">
        <v>3.0</v>
      </c>
      <c r="F14" s="100" t="s">
        <v>96</v>
      </c>
      <c r="G14" s="100">
        <v>4.59</v>
      </c>
    </row>
    <row r="15">
      <c r="C15" s="56"/>
      <c r="E15" s="94">
        <v>4.0</v>
      </c>
      <c r="F15" s="100" t="s">
        <v>88</v>
      </c>
      <c r="G15" s="100">
        <v>3.68</v>
      </c>
    </row>
    <row r="16">
      <c r="C16" s="56"/>
      <c r="E16" s="94">
        <v>5.0</v>
      </c>
      <c r="F16" s="100" t="s">
        <v>85</v>
      </c>
      <c r="G16" s="100">
        <v>3.38</v>
      </c>
    </row>
    <row r="17">
      <c r="C17" s="56"/>
      <c r="E17" s="94">
        <v>6.0</v>
      </c>
      <c r="F17" s="100" t="s">
        <v>94</v>
      </c>
      <c r="G17" s="100">
        <v>3.07</v>
      </c>
    </row>
    <row r="18">
      <c r="C18" s="56"/>
      <c r="E18" s="94">
        <v>7.0</v>
      </c>
      <c r="F18" s="100" t="s">
        <v>91</v>
      </c>
      <c r="G18" s="100">
        <v>2.97</v>
      </c>
    </row>
    <row r="19">
      <c r="C19" s="56"/>
      <c r="E19" s="56"/>
    </row>
    <row r="20">
      <c r="C20" s="56"/>
      <c r="E20" s="56"/>
    </row>
    <row r="21">
      <c r="C21" s="56"/>
      <c r="E21" s="56"/>
    </row>
    <row r="22">
      <c r="C22" s="56"/>
      <c r="E22" s="56"/>
    </row>
    <row r="23">
      <c r="C23" s="56"/>
      <c r="E23" s="56"/>
    </row>
    <row r="24">
      <c r="C24" s="56"/>
      <c r="E24" s="56"/>
    </row>
    <row r="25">
      <c r="C25" s="56"/>
      <c r="E25" s="56"/>
    </row>
    <row r="26">
      <c r="C26" s="56"/>
      <c r="E26" s="56"/>
    </row>
    <row r="27">
      <c r="C27" s="56"/>
      <c r="E27" s="56"/>
    </row>
    <row r="28">
      <c r="C28" s="56"/>
      <c r="E28" s="56"/>
    </row>
    <row r="29">
      <c r="C29" s="56"/>
      <c r="E29" s="56"/>
    </row>
    <row r="30">
      <c r="C30" s="56"/>
      <c r="E30" s="56"/>
    </row>
    <row r="31">
      <c r="C31" s="56"/>
      <c r="E31" s="56"/>
    </row>
    <row r="32">
      <c r="C32" s="56"/>
      <c r="E32" s="56"/>
    </row>
    <row r="33">
      <c r="C33" s="56"/>
      <c r="E33" s="56"/>
    </row>
    <row r="34">
      <c r="C34" s="56"/>
      <c r="E34" s="56"/>
    </row>
    <row r="35">
      <c r="C35" s="56"/>
      <c r="E35" s="56"/>
    </row>
    <row r="36">
      <c r="C36" s="56"/>
      <c r="E36" s="56"/>
    </row>
    <row r="37">
      <c r="C37" s="56"/>
      <c r="E37" s="56"/>
    </row>
    <row r="38">
      <c r="C38" s="56"/>
      <c r="E38" s="56"/>
    </row>
    <row r="39">
      <c r="C39" s="56"/>
      <c r="E39" s="56"/>
    </row>
    <row r="40">
      <c r="C40" s="56"/>
      <c r="E40" s="56"/>
    </row>
    <row r="41">
      <c r="C41" s="56"/>
      <c r="E41" s="56"/>
    </row>
    <row r="42">
      <c r="C42" s="56"/>
      <c r="E42" s="56"/>
    </row>
    <row r="43">
      <c r="C43" s="56"/>
      <c r="E43" s="56"/>
    </row>
    <row r="44">
      <c r="C44" s="56"/>
      <c r="E44" s="56"/>
    </row>
    <row r="45">
      <c r="C45" s="56"/>
      <c r="E45" s="56"/>
    </row>
    <row r="46">
      <c r="C46" s="56"/>
      <c r="E46" s="56"/>
    </row>
    <row r="47">
      <c r="C47" s="56"/>
      <c r="E47" s="56"/>
    </row>
    <row r="48">
      <c r="C48" s="56"/>
      <c r="E48" s="56"/>
    </row>
    <row r="49">
      <c r="C49" s="56"/>
      <c r="E49" s="56"/>
    </row>
    <row r="50">
      <c r="C50" s="56"/>
      <c r="E50" s="56"/>
    </row>
    <row r="51">
      <c r="C51" s="56"/>
      <c r="E51" s="56"/>
    </row>
    <row r="52">
      <c r="C52" s="56"/>
      <c r="E52" s="56"/>
    </row>
    <row r="53">
      <c r="C53" s="56"/>
      <c r="E53" s="56"/>
    </row>
    <row r="54">
      <c r="C54" s="56"/>
      <c r="E54" s="56"/>
    </row>
    <row r="55">
      <c r="C55" s="56"/>
      <c r="E55" s="56"/>
    </row>
    <row r="56">
      <c r="C56" s="56"/>
      <c r="E56" s="56"/>
    </row>
    <row r="57">
      <c r="C57" s="56"/>
      <c r="E57" s="56"/>
    </row>
    <row r="58">
      <c r="C58" s="56"/>
      <c r="E58" s="56"/>
    </row>
    <row r="59">
      <c r="C59" s="56"/>
      <c r="E59" s="56"/>
    </row>
    <row r="60">
      <c r="C60" s="56"/>
      <c r="E60" s="56"/>
    </row>
    <row r="61">
      <c r="C61" s="56"/>
      <c r="E61" s="56"/>
    </row>
    <row r="62">
      <c r="C62" s="56"/>
      <c r="E62" s="56"/>
    </row>
    <row r="63">
      <c r="C63" s="56"/>
      <c r="E63" s="56"/>
    </row>
    <row r="64">
      <c r="C64" s="56"/>
      <c r="E64" s="56"/>
    </row>
    <row r="65">
      <c r="C65" s="56"/>
      <c r="E65" s="56"/>
    </row>
    <row r="66">
      <c r="C66" s="56"/>
      <c r="E66" s="56"/>
    </row>
    <row r="67">
      <c r="C67" s="56"/>
      <c r="E67" s="56"/>
    </row>
    <row r="68">
      <c r="C68" s="56"/>
      <c r="E68" s="56"/>
    </row>
    <row r="69">
      <c r="C69" s="56"/>
      <c r="E69" s="56"/>
    </row>
    <row r="70">
      <c r="C70" s="56"/>
      <c r="E70" s="56"/>
    </row>
    <row r="71">
      <c r="C71" s="56"/>
      <c r="E71" s="56"/>
    </row>
    <row r="72">
      <c r="C72" s="56"/>
      <c r="E72" s="56"/>
    </row>
    <row r="73">
      <c r="C73" s="56"/>
      <c r="E73" s="56"/>
    </row>
    <row r="74">
      <c r="C74" s="56"/>
      <c r="E74" s="56"/>
    </row>
    <row r="75">
      <c r="C75" s="56"/>
      <c r="E75" s="56"/>
    </row>
    <row r="76">
      <c r="C76" s="56"/>
      <c r="E76" s="56"/>
    </row>
    <row r="77">
      <c r="C77" s="56"/>
      <c r="E77" s="56"/>
    </row>
    <row r="78">
      <c r="C78" s="56"/>
      <c r="E78" s="56"/>
    </row>
    <row r="79">
      <c r="C79" s="56"/>
      <c r="E79" s="56"/>
    </row>
    <row r="80">
      <c r="C80" s="56"/>
      <c r="E80" s="56"/>
    </row>
    <row r="81">
      <c r="C81" s="56"/>
      <c r="E81" s="56"/>
    </row>
    <row r="82">
      <c r="C82" s="56"/>
      <c r="E82" s="56"/>
    </row>
    <row r="83">
      <c r="C83" s="56"/>
      <c r="E83" s="56"/>
    </row>
    <row r="84">
      <c r="C84" s="56"/>
      <c r="E84" s="56"/>
    </row>
    <row r="85">
      <c r="C85" s="56"/>
      <c r="E85" s="56"/>
    </row>
    <row r="86">
      <c r="C86" s="56"/>
      <c r="E86" s="56"/>
    </row>
    <row r="87">
      <c r="C87" s="56"/>
      <c r="E87" s="56"/>
    </row>
    <row r="88">
      <c r="C88" s="56"/>
      <c r="E88" s="56"/>
    </row>
    <row r="89">
      <c r="C89" s="56"/>
      <c r="E89" s="56"/>
    </row>
    <row r="90">
      <c r="C90" s="56"/>
      <c r="E90" s="56"/>
    </row>
    <row r="91">
      <c r="C91" s="56"/>
      <c r="E91" s="56"/>
    </row>
    <row r="92">
      <c r="C92" s="56"/>
      <c r="E92" s="56"/>
    </row>
    <row r="93">
      <c r="C93" s="56"/>
      <c r="E93" s="56"/>
    </row>
    <row r="94">
      <c r="C94" s="56"/>
      <c r="E94" s="56"/>
    </row>
    <row r="95">
      <c r="C95" s="56"/>
      <c r="E95" s="56"/>
    </row>
    <row r="96">
      <c r="C96" s="56"/>
      <c r="E96" s="56"/>
    </row>
    <row r="97">
      <c r="C97" s="56"/>
      <c r="E97" s="56"/>
    </row>
    <row r="98">
      <c r="C98" s="56"/>
      <c r="E98" s="56"/>
    </row>
    <row r="99">
      <c r="C99" s="56"/>
      <c r="E99" s="56"/>
    </row>
    <row r="100">
      <c r="C100" s="56"/>
      <c r="E100" s="56"/>
    </row>
    <row r="101">
      <c r="C101" s="56"/>
      <c r="E101" s="56"/>
    </row>
    <row r="102">
      <c r="C102" s="56"/>
      <c r="E102" s="56"/>
    </row>
    <row r="103">
      <c r="C103" s="56"/>
      <c r="E103" s="56"/>
    </row>
    <row r="104">
      <c r="C104" s="56"/>
      <c r="E104" s="56"/>
    </row>
    <row r="105">
      <c r="C105" s="56"/>
      <c r="E105" s="56"/>
    </row>
    <row r="106">
      <c r="C106" s="56"/>
      <c r="E106" s="56"/>
    </row>
    <row r="107">
      <c r="C107" s="56"/>
      <c r="E107" s="56"/>
    </row>
    <row r="108">
      <c r="C108" s="56"/>
      <c r="E108" s="56"/>
    </row>
    <row r="109">
      <c r="C109" s="56"/>
      <c r="E109" s="56"/>
    </row>
    <row r="110">
      <c r="C110" s="56"/>
      <c r="E110" s="56"/>
    </row>
    <row r="111">
      <c r="C111" s="56"/>
      <c r="E111" s="56"/>
    </row>
    <row r="112">
      <c r="C112" s="56"/>
      <c r="E112" s="56"/>
    </row>
    <row r="113">
      <c r="C113" s="56"/>
      <c r="E113" s="56"/>
    </row>
    <row r="114">
      <c r="C114" s="56"/>
      <c r="E114" s="56"/>
    </row>
    <row r="115">
      <c r="C115" s="56"/>
      <c r="E115" s="56"/>
    </row>
    <row r="116">
      <c r="C116" s="56"/>
      <c r="E116" s="56"/>
    </row>
    <row r="117">
      <c r="C117" s="56"/>
      <c r="E117" s="56"/>
    </row>
    <row r="118">
      <c r="C118" s="56"/>
      <c r="E118" s="56"/>
    </row>
    <row r="119">
      <c r="C119" s="56"/>
      <c r="E119" s="56"/>
    </row>
    <row r="120">
      <c r="C120" s="56"/>
      <c r="E120" s="56"/>
    </row>
    <row r="121">
      <c r="C121" s="56"/>
      <c r="E121" s="56"/>
    </row>
    <row r="122">
      <c r="C122" s="56"/>
      <c r="E122" s="56"/>
    </row>
    <row r="123">
      <c r="C123" s="56"/>
      <c r="E123" s="56"/>
    </row>
    <row r="124">
      <c r="C124" s="56"/>
      <c r="E124" s="56"/>
    </row>
    <row r="125">
      <c r="C125" s="56"/>
      <c r="E125" s="56"/>
    </row>
    <row r="126">
      <c r="C126" s="56"/>
      <c r="E126" s="56"/>
    </row>
    <row r="127">
      <c r="C127" s="56"/>
      <c r="E127" s="56"/>
    </row>
    <row r="128">
      <c r="C128" s="56"/>
      <c r="E128" s="56"/>
    </row>
    <row r="129">
      <c r="C129" s="56"/>
      <c r="E129" s="56"/>
    </row>
    <row r="130">
      <c r="C130" s="56"/>
      <c r="E130" s="56"/>
    </row>
    <row r="131">
      <c r="C131" s="56"/>
      <c r="E131" s="56"/>
    </row>
    <row r="132">
      <c r="C132" s="56"/>
      <c r="E132" s="56"/>
    </row>
    <row r="133">
      <c r="C133" s="56"/>
      <c r="E133" s="56"/>
    </row>
    <row r="134">
      <c r="C134" s="56"/>
      <c r="E134" s="56"/>
    </row>
    <row r="135">
      <c r="C135" s="56"/>
      <c r="E135" s="56"/>
    </row>
    <row r="136">
      <c r="C136" s="56"/>
      <c r="E136" s="56"/>
    </row>
    <row r="137">
      <c r="C137" s="56"/>
      <c r="E137" s="56"/>
    </row>
    <row r="138">
      <c r="C138" s="56"/>
      <c r="E138" s="56"/>
    </row>
    <row r="139">
      <c r="C139" s="56"/>
      <c r="E139" s="56"/>
    </row>
    <row r="140">
      <c r="C140" s="56"/>
      <c r="E140" s="56"/>
    </row>
    <row r="141">
      <c r="C141" s="56"/>
      <c r="E141" s="56"/>
    </row>
    <row r="142">
      <c r="C142" s="56"/>
      <c r="E142" s="56"/>
    </row>
    <row r="143">
      <c r="C143" s="56"/>
      <c r="E143" s="56"/>
    </row>
    <row r="144">
      <c r="C144" s="56"/>
      <c r="E144" s="56"/>
    </row>
    <row r="145">
      <c r="C145" s="56"/>
      <c r="E145" s="56"/>
    </row>
    <row r="146">
      <c r="C146" s="56"/>
      <c r="E146" s="56"/>
    </row>
    <row r="147">
      <c r="C147" s="56"/>
      <c r="E147" s="56"/>
    </row>
    <row r="148">
      <c r="C148" s="56"/>
      <c r="E148" s="56"/>
    </row>
    <row r="149">
      <c r="C149" s="56"/>
      <c r="E149" s="56"/>
    </row>
    <row r="150">
      <c r="C150" s="56"/>
      <c r="E150" s="56"/>
    </row>
    <row r="151">
      <c r="C151" s="56"/>
      <c r="E151" s="56"/>
    </row>
    <row r="152">
      <c r="C152" s="56"/>
      <c r="E152" s="56"/>
    </row>
    <row r="153">
      <c r="C153" s="56"/>
      <c r="E153" s="56"/>
    </row>
    <row r="154">
      <c r="C154" s="56"/>
      <c r="E154" s="56"/>
    </row>
    <row r="155">
      <c r="C155" s="56"/>
      <c r="E155" s="56"/>
    </row>
    <row r="156">
      <c r="C156" s="56"/>
      <c r="E156" s="56"/>
    </row>
    <row r="157">
      <c r="C157" s="56"/>
      <c r="E157" s="56"/>
    </row>
    <row r="158">
      <c r="C158" s="56"/>
      <c r="E158" s="56"/>
    </row>
    <row r="159">
      <c r="C159" s="56"/>
      <c r="E159" s="56"/>
    </row>
    <row r="160">
      <c r="C160" s="56"/>
      <c r="E160" s="56"/>
    </row>
    <row r="161">
      <c r="C161" s="56"/>
      <c r="E161" s="56"/>
    </row>
    <row r="162">
      <c r="C162" s="56"/>
      <c r="E162" s="56"/>
    </row>
    <row r="163">
      <c r="C163" s="56"/>
      <c r="E163" s="56"/>
    </row>
    <row r="164">
      <c r="C164" s="56"/>
      <c r="E164" s="56"/>
    </row>
    <row r="165">
      <c r="C165" s="56"/>
      <c r="E165" s="56"/>
    </row>
    <row r="166">
      <c r="C166" s="56"/>
      <c r="E166" s="56"/>
    </row>
    <row r="167">
      <c r="C167" s="56"/>
      <c r="E167" s="56"/>
    </row>
    <row r="168">
      <c r="C168" s="56"/>
      <c r="E168" s="56"/>
    </row>
    <row r="169">
      <c r="C169" s="56"/>
      <c r="E169" s="56"/>
    </row>
    <row r="170">
      <c r="C170" s="56"/>
      <c r="E170" s="56"/>
    </row>
    <row r="171">
      <c r="C171" s="56"/>
      <c r="E171" s="56"/>
    </row>
    <row r="172">
      <c r="C172" s="56"/>
      <c r="E172" s="56"/>
    </row>
    <row r="173">
      <c r="C173" s="56"/>
      <c r="E173" s="56"/>
    </row>
    <row r="174">
      <c r="C174" s="56"/>
      <c r="E174" s="56"/>
    </row>
    <row r="175">
      <c r="C175" s="56"/>
      <c r="E175" s="56"/>
    </row>
    <row r="176">
      <c r="C176" s="56"/>
      <c r="E176" s="56"/>
    </row>
    <row r="177">
      <c r="C177" s="56"/>
      <c r="E177" s="56"/>
    </row>
    <row r="178">
      <c r="C178" s="56"/>
      <c r="E178" s="56"/>
    </row>
    <row r="179">
      <c r="C179" s="56"/>
      <c r="E179" s="56"/>
    </row>
    <row r="180">
      <c r="C180" s="56"/>
      <c r="E180" s="56"/>
    </row>
    <row r="181">
      <c r="C181" s="56"/>
      <c r="E181" s="56"/>
    </row>
    <row r="182">
      <c r="C182" s="56"/>
      <c r="E182" s="56"/>
    </row>
    <row r="183">
      <c r="C183" s="56"/>
      <c r="E183" s="56"/>
    </row>
    <row r="184">
      <c r="C184" s="56"/>
      <c r="E184" s="56"/>
    </row>
    <row r="185">
      <c r="C185" s="56"/>
      <c r="E185" s="56"/>
    </row>
    <row r="186">
      <c r="C186" s="56"/>
      <c r="E186" s="56"/>
    </row>
    <row r="187">
      <c r="C187" s="56"/>
      <c r="E187" s="56"/>
    </row>
    <row r="188">
      <c r="C188" s="56"/>
      <c r="E188" s="56"/>
    </row>
    <row r="189">
      <c r="C189" s="56"/>
      <c r="E189" s="56"/>
    </row>
    <row r="190">
      <c r="C190" s="56"/>
      <c r="E190" s="56"/>
    </row>
    <row r="191">
      <c r="C191" s="56"/>
      <c r="E191" s="56"/>
    </row>
    <row r="192">
      <c r="C192" s="56"/>
      <c r="E192" s="56"/>
    </row>
    <row r="193">
      <c r="C193" s="56"/>
      <c r="E193" s="56"/>
    </row>
    <row r="194">
      <c r="C194" s="56"/>
      <c r="E194" s="56"/>
    </row>
    <row r="195">
      <c r="C195" s="56"/>
      <c r="E195" s="56"/>
    </row>
    <row r="196">
      <c r="C196" s="56"/>
      <c r="E196" s="56"/>
    </row>
    <row r="197">
      <c r="C197" s="56"/>
      <c r="E197" s="56"/>
    </row>
    <row r="198">
      <c r="C198" s="56"/>
      <c r="E198" s="56"/>
    </row>
    <row r="199">
      <c r="C199" s="56"/>
      <c r="E199" s="56"/>
    </row>
    <row r="200">
      <c r="C200" s="56"/>
      <c r="E200" s="56"/>
    </row>
    <row r="201">
      <c r="C201" s="56"/>
      <c r="E201" s="56"/>
    </row>
    <row r="202">
      <c r="C202" s="56"/>
      <c r="E202" s="56"/>
    </row>
    <row r="203">
      <c r="C203" s="56"/>
      <c r="E203" s="56"/>
    </row>
    <row r="204">
      <c r="C204" s="56"/>
      <c r="E204" s="56"/>
    </row>
    <row r="205">
      <c r="C205" s="56"/>
      <c r="E205" s="56"/>
    </row>
    <row r="206">
      <c r="C206" s="56"/>
      <c r="E206" s="56"/>
    </row>
    <row r="207">
      <c r="C207" s="56"/>
      <c r="E207" s="56"/>
    </row>
    <row r="208">
      <c r="C208" s="56"/>
      <c r="E208" s="56"/>
    </row>
    <row r="209">
      <c r="C209" s="56"/>
      <c r="E209" s="56"/>
    </row>
    <row r="210">
      <c r="C210" s="56"/>
      <c r="E210" s="56"/>
    </row>
    <row r="211">
      <c r="C211" s="56"/>
      <c r="E211" s="56"/>
    </row>
    <row r="212">
      <c r="C212" s="56"/>
      <c r="E212" s="56"/>
    </row>
    <row r="213">
      <c r="C213" s="56"/>
      <c r="E213" s="56"/>
    </row>
    <row r="214">
      <c r="C214" s="56"/>
      <c r="E214" s="56"/>
    </row>
    <row r="215">
      <c r="C215" s="56"/>
      <c r="E215" s="56"/>
    </row>
    <row r="216">
      <c r="C216" s="56"/>
      <c r="E216" s="56"/>
    </row>
    <row r="217">
      <c r="C217" s="56"/>
      <c r="E217" s="56"/>
    </row>
    <row r="218">
      <c r="C218" s="56"/>
      <c r="E218" s="56"/>
    </row>
    <row r="219">
      <c r="C219" s="56"/>
      <c r="E219" s="56"/>
    </row>
    <row r="220">
      <c r="C220" s="56"/>
      <c r="E220" s="56"/>
    </row>
    <row r="221">
      <c r="C221" s="56"/>
      <c r="E221" s="56"/>
    </row>
    <row r="222">
      <c r="C222" s="56"/>
      <c r="E222" s="56"/>
    </row>
    <row r="223">
      <c r="C223" s="56"/>
      <c r="E223" s="56"/>
    </row>
    <row r="224">
      <c r="C224" s="56"/>
      <c r="E224" s="56"/>
    </row>
    <row r="225">
      <c r="C225" s="56"/>
      <c r="E225" s="56"/>
    </row>
    <row r="226">
      <c r="C226" s="56"/>
      <c r="E226" s="56"/>
    </row>
    <row r="227">
      <c r="C227" s="56"/>
      <c r="E227" s="56"/>
    </row>
    <row r="228">
      <c r="C228" s="56"/>
      <c r="E228" s="56"/>
    </row>
    <row r="229">
      <c r="C229" s="56"/>
      <c r="E229" s="56"/>
    </row>
    <row r="230">
      <c r="C230" s="56"/>
      <c r="E230" s="56"/>
    </row>
    <row r="231">
      <c r="C231" s="56"/>
      <c r="E231" s="56"/>
    </row>
    <row r="232">
      <c r="C232" s="56"/>
      <c r="E232" s="56"/>
    </row>
    <row r="233">
      <c r="C233" s="56"/>
      <c r="E233" s="56"/>
    </row>
    <row r="234">
      <c r="C234" s="56"/>
      <c r="E234" s="56"/>
    </row>
    <row r="235">
      <c r="C235" s="56"/>
      <c r="E235" s="56"/>
    </row>
    <row r="236">
      <c r="C236" s="56"/>
      <c r="E236" s="56"/>
    </row>
    <row r="237">
      <c r="C237" s="56"/>
      <c r="E237" s="56"/>
    </row>
    <row r="238">
      <c r="C238" s="56"/>
      <c r="E238" s="56"/>
    </row>
    <row r="239">
      <c r="C239" s="56"/>
      <c r="E239" s="56"/>
    </row>
    <row r="240">
      <c r="C240" s="56"/>
      <c r="E240" s="56"/>
    </row>
    <row r="241">
      <c r="C241" s="56"/>
      <c r="E241" s="56"/>
    </row>
    <row r="242">
      <c r="C242" s="56"/>
      <c r="E242" s="56"/>
    </row>
    <row r="243">
      <c r="C243" s="56"/>
      <c r="E243" s="56"/>
    </row>
    <row r="244">
      <c r="C244" s="56"/>
      <c r="E244" s="56"/>
    </row>
    <row r="245">
      <c r="C245" s="56"/>
      <c r="E245" s="56"/>
    </row>
    <row r="246">
      <c r="C246" s="56"/>
      <c r="E246" s="56"/>
    </row>
    <row r="247">
      <c r="C247" s="56"/>
      <c r="E247" s="56"/>
    </row>
    <row r="248">
      <c r="C248" s="56"/>
      <c r="E248" s="56"/>
    </row>
    <row r="249">
      <c r="C249" s="56"/>
      <c r="E249" s="56"/>
    </row>
    <row r="250">
      <c r="C250" s="56"/>
      <c r="E250" s="56"/>
    </row>
    <row r="251">
      <c r="C251" s="56"/>
      <c r="E251" s="56"/>
    </row>
    <row r="252">
      <c r="C252" s="56"/>
      <c r="E252" s="56"/>
    </row>
    <row r="253">
      <c r="C253" s="56"/>
      <c r="E253" s="56"/>
    </row>
    <row r="254">
      <c r="C254" s="56"/>
      <c r="E254" s="56"/>
    </row>
    <row r="255">
      <c r="C255" s="56"/>
      <c r="E255" s="56"/>
    </row>
    <row r="256">
      <c r="C256" s="56"/>
      <c r="E256" s="56"/>
    </row>
    <row r="257">
      <c r="C257" s="56"/>
      <c r="E257" s="56"/>
    </row>
    <row r="258">
      <c r="C258" s="56"/>
      <c r="E258" s="56"/>
    </row>
    <row r="259">
      <c r="C259" s="56"/>
      <c r="E259" s="56"/>
    </row>
    <row r="260">
      <c r="C260" s="56"/>
      <c r="E260" s="56"/>
    </row>
    <row r="261">
      <c r="C261" s="56"/>
      <c r="E261" s="56"/>
    </row>
    <row r="262">
      <c r="C262" s="56"/>
      <c r="E262" s="56"/>
    </row>
    <row r="263">
      <c r="C263" s="56"/>
      <c r="E263" s="56"/>
    </row>
    <row r="264">
      <c r="C264" s="56"/>
      <c r="E264" s="56"/>
    </row>
    <row r="265">
      <c r="C265" s="56"/>
      <c r="E265" s="56"/>
    </row>
    <row r="266">
      <c r="C266" s="56"/>
      <c r="E266" s="56"/>
    </row>
    <row r="267">
      <c r="C267" s="56"/>
      <c r="E267" s="56"/>
    </row>
    <row r="268">
      <c r="C268" s="56"/>
      <c r="E268" s="56"/>
    </row>
    <row r="269">
      <c r="C269" s="56"/>
      <c r="E269" s="56"/>
    </row>
    <row r="270">
      <c r="C270" s="56"/>
      <c r="E270" s="56"/>
    </row>
    <row r="271">
      <c r="C271" s="56"/>
      <c r="E271" s="56"/>
    </row>
    <row r="272">
      <c r="C272" s="56"/>
      <c r="E272" s="56"/>
    </row>
    <row r="273">
      <c r="C273" s="56"/>
      <c r="E273" s="56"/>
    </row>
    <row r="274">
      <c r="C274" s="56"/>
      <c r="E274" s="56"/>
    </row>
    <row r="275">
      <c r="C275" s="56"/>
      <c r="E275" s="56"/>
    </row>
    <row r="276">
      <c r="C276" s="56"/>
      <c r="E276" s="56"/>
    </row>
    <row r="277">
      <c r="C277" s="56"/>
      <c r="E277" s="56"/>
    </row>
    <row r="278">
      <c r="C278" s="56"/>
      <c r="E278" s="56"/>
    </row>
    <row r="279">
      <c r="C279" s="56"/>
      <c r="E279" s="56"/>
    </row>
    <row r="280">
      <c r="C280" s="56"/>
      <c r="E280" s="56"/>
    </row>
    <row r="281">
      <c r="C281" s="56"/>
      <c r="E281" s="56"/>
    </row>
    <row r="282">
      <c r="C282" s="56"/>
      <c r="E282" s="56"/>
    </row>
    <row r="283">
      <c r="C283" s="56"/>
      <c r="E283" s="56"/>
    </row>
    <row r="284">
      <c r="C284" s="56"/>
      <c r="E284" s="56"/>
    </row>
    <row r="285">
      <c r="C285" s="56"/>
      <c r="E285" s="56"/>
    </row>
    <row r="286">
      <c r="C286" s="56"/>
      <c r="E286" s="56"/>
    </row>
    <row r="287">
      <c r="C287" s="56"/>
      <c r="E287" s="56"/>
    </row>
    <row r="288">
      <c r="C288" s="56"/>
      <c r="E288" s="56"/>
    </row>
    <row r="289">
      <c r="C289" s="56"/>
      <c r="E289" s="56"/>
    </row>
    <row r="290">
      <c r="C290" s="56"/>
      <c r="E290" s="56"/>
    </row>
    <row r="291">
      <c r="C291" s="56"/>
      <c r="E291" s="56"/>
    </row>
    <row r="292">
      <c r="C292" s="56"/>
      <c r="E292" s="56"/>
    </row>
    <row r="293">
      <c r="C293" s="56"/>
      <c r="E293" s="56"/>
    </row>
    <row r="294">
      <c r="C294" s="56"/>
      <c r="E294" s="56"/>
    </row>
    <row r="295">
      <c r="C295" s="56"/>
      <c r="E295" s="56"/>
    </row>
    <row r="296">
      <c r="C296" s="56"/>
      <c r="E296" s="56"/>
    </row>
    <row r="297">
      <c r="C297" s="56"/>
      <c r="E297" s="56"/>
    </row>
    <row r="298">
      <c r="C298" s="56"/>
      <c r="E298" s="56"/>
    </row>
    <row r="299">
      <c r="C299" s="56"/>
      <c r="E299" s="56"/>
    </row>
    <row r="300">
      <c r="C300" s="56"/>
      <c r="E300" s="56"/>
    </row>
    <row r="301">
      <c r="C301" s="56"/>
      <c r="E301" s="56"/>
    </row>
    <row r="302">
      <c r="C302" s="56"/>
      <c r="E302" s="56"/>
    </row>
    <row r="303">
      <c r="C303" s="56"/>
      <c r="E303" s="56"/>
    </row>
    <row r="304">
      <c r="C304" s="56"/>
      <c r="E304" s="56"/>
    </row>
    <row r="305">
      <c r="C305" s="56"/>
      <c r="E305" s="56"/>
    </row>
    <row r="306">
      <c r="C306" s="56"/>
      <c r="E306" s="56"/>
    </row>
    <row r="307">
      <c r="C307" s="56"/>
      <c r="E307" s="56"/>
    </row>
    <row r="308">
      <c r="C308" s="56"/>
      <c r="E308" s="56"/>
    </row>
    <row r="309">
      <c r="C309" s="56"/>
      <c r="E309" s="56"/>
    </row>
    <row r="310">
      <c r="C310" s="56"/>
      <c r="E310" s="56"/>
    </row>
    <row r="311">
      <c r="C311" s="56"/>
      <c r="E311" s="56"/>
    </row>
    <row r="312">
      <c r="C312" s="56"/>
      <c r="E312" s="56"/>
    </row>
    <row r="313">
      <c r="C313" s="56"/>
      <c r="E313" s="56"/>
    </row>
    <row r="314">
      <c r="C314" s="56"/>
      <c r="E314" s="56"/>
    </row>
    <row r="315">
      <c r="C315" s="56"/>
      <c r="E315" s="56"/>
    </row>
    <row r="316">
      <c r="C316" s="56"/>
      <c r="E316" s="56"/>
    </row>
    <row r="317">
      <c r="C317" s="56"/>
      <c r="E317" s="56"/>
    </row>
    <row r="318">
      <c r="C318" s="56"/>
      <c r="E318" s="56"/>
    </row>
    <row r="319">
      <c r="C319" s="56"/>
      <c r="E319" s="56"/>
    </row>
    <row r="320">
      <c r="C320" s="56"/>
      <c r="E320" s="56"/>
    </row>
    <row r="321">
      <c r="C321" s="56"/>
      <c r="E321" s="56"/>
    </row>
    <row r="322">
      <c r="C322" s="56"/>
      <c r="E322" s="56"/>
    </row>
    <row r="323">
      <c r="C323" s="56"/>
      <c r="E323" s="56"/>
    </row>
    <row r="324">
      <c r="C324" s="56"/>
      <c r="E324" s="56"/>
    </row>
    <row r="325">
      <c r="C325" s="56"/>
      <c r="E325" s="56"/>
    </row>
    <row r="326">
      <c r="C326" s="56"/>
      <c r="E326" s="56"/>
    </row>
    <row r="327">
      <c r="C327" s="56"/>
      <c r="E327" s="56"/>
    </row>
    <row r="328">
      <c r="C328" s="56"/>
      <c r="E328" s="56"/>
    </row>
    <row r="329">
      <c r="C329" s="56"/>
      <c r="E329" s="56"/>
    </row>
    <row r="330">
      <c r="C330" s="56"/>
      <c r="E330" s="56"/>
    </row>
    <row r="331">
      <c r="C331" s="56"/>
      <c r="E331" s="56"/>
    </row>
    <row r="332">
      <c r="C332" s="56"/>
      <c r="E332" s="56"/>
    </row>
    <row r="333">
      <c r="C333" s="56"/>
      <c r="E333" s="56"/>
    </row>
    <row r="334">
      <c r="C334" s="56"/>
      <c r="E334" s="56"/>
    </row>
    <row r="335">
      <c r="C335" s="56"/>
      <c r="E335" s="56"/>
    </row>
    <row r="336">
      <c r="C336" s="56"/>
      <c r="E336" s="56"/>
    </row>
    <row r="337">
      <c r="C337" s="56"/>
      <c r="E337" s="56"/>
    </row>
    <row r="338">
      <c r="C338" s="56"/>
      <c r="E338" s="56"/>
    </row>
    <row r="339">
      <c r="C339" s="56"/>
      <c r="E339" s="56"/>
    </row>
    <row r="340">
      <c r="C340" s="56"/>
      <c r="E340" s="56"/>
    </row>
    <row r="341">
      <c r="C341" s="56"/>
      <c r="E341" s="56"/>
    </row>
    <row r="342">
      <c r="C342" s="56"/>
      <c r="E342" s="56"/>
    </row>
    <row r="343">
      <c r="C343" s="56"/>
      <c r="E343" s="56"/>
    </row>
    <row r="344">
      <c r="C344" s="56"/>
      <c r="E344" s="56"/>
    </row>
    <row r="345">
      <c r="C345" s="56"/>
      <c r="E345" s="56"/>
    </row>
    <row r="346">
      <c r="C346" s="56"/>
      <c r="E346" s="56"/>
    </row>
    <row r="347">
      <c r="C347" s="56"/>
      <c r="E347" s="56"/>
    </row>
    <row r="348">
      <c r="C348" s="56"/>
      <c r="E348" s="56"/>
    </row>
    <row r="349">
      <c r="C349" s="56"/>
      <c r="E349" s="56"/>
    </row>
    <row r="350">
      <c r="C350" s="56"/>
      <c r="E350" s="56"/>
    </row>
    <row r="351">
      <c r="C351" s="56"/>
      <c r="E351" s="56"/>
    </row>
    <row r="352">
      <c r="C352" s="56"/>
      <c r="E352" s="56"/>
    </row>
    <row r="353">
      <c r="C353" s="56"/>
      <c r="E353" s="56"/>
    </row>
    <row r="354">
      <c r="C354" s="56"/>
      <c r="E354" s="56"/>
    </row>
    <row r="355">
      <c r="C355" s="56"/>
      <c r="E355" s="56"/>
    </row>
    <row r="356">
      <c r="C356" s="56"/>
      <c r="E356" s="56"/>
    </row>
    <row r="357">
      <c r="C357" s="56"/>
      <c r="E357" s="56"/>
    </row>
    <row r="358">
      <c r="C358" s="56"/>
      <c r="E358" s="56"/>
    </row>
    <row r="359">
      <c r="C359" s="56"/>
      <c r="E359" s="56"/>
    </row>
    <row r="360">
      <c r="C360" s="56"/>
      <c r="E360" s="56"/>
    </row>
    <row r="361">
      <c r="C361" s="56"/>
      <c r="E361" s="56"/>
    </row>
    <row r="362">
      <c r="C362" s="56"/>
      <c r="E362" s="56"/>
    </row>
    <row r="363">
      <c r="C363" s="56"/>
      <c r="E363" s="56"/>
    </row>
    <row r="364">
      <c r="C364" s="56"/>
      <c r="E364" s="56"/>
    </row>
    <row r="365">
      <c r="C365" s="56"/>
      <c r="E365" s="56"/>
    </row>
    <row r="366">
      <c r="C366" s="56"/>
      <c r="E366" s="56"/>
    </row>
    <row r="367">
      <c r="C367" s="56"/>
      <c r="E367" s="56"/>
    </row>
    <row r="368">
      <c r="C368" s="56"/>
      <c r="E368" s="56"/>
    </row>
    <row r="369">
      <c r="C369" s="56"/>
      <c r="E369" s="56"/>
    </row>
    <row r="370">
      <c r="C370" s="56"/>
      <c r="E370" s="56"/>
    </row>
    <row r="371">
      <c r="C371" s="56"/>
      <c r="E371" s="56"/>
    </row>
    <row r="372">
      <c r="C372" s="56"/>
      <c r="E372" s="56"/>
    </row>
    <row r="373">
      <c r="C373" s="56"/>
      <c r="E373" s="56"/>
    </row>
    <row r="374">
      <c r="C374" s="56"/>
      <c r="E374" s="56"/>
    </row>
    <row r="375">
      <c r="C375" s="56"/>
      <c r="E375" s="56"/>
    </row>
    <row r="376">
      <c r="C376" s="56"/>
      <c r="E376" s="56"/>
    </row>
    <row r="377">
      <c r="C377" s="56"/>
      <c r="E377" s="56"/>
    </row>
    <row r="378">
      <c r="C378" s="56"/>
      <c r="E378" s="56"/>
    </row>
    <row r="379">
      <c r="C379" s="56"/>
      <c r="E379" s="56"/>
    </row>
    <row r="380">
      <c r="C380" s="56"/>
      <c r="E380" s="56"/>
    </row>
    <row r="381">
      <c r="C381" s="56"/>
      <c r="E381" s="56"/>
    </row>
    <row r="382">
      <c r="C382" s="56"/>
      <c r="E382" s="56"/>
    </row>
    <row r="383">
      <c r="C383" s="56"/>
      <c r="E383" s="56"/>
    </row>
    <row r="384">
      <c r="C384" s="56"/>
      <c r="E384" s="56"/>
    </row>
    <row r="385">
      <c r="C385" s="56"/>
      <c r="E385" s="56"/>
    </row>
    <row r="386">
      <c r="C386" s="56"/>
      <c r="E386" s="56"/>
    </row>
    <row r="387">
      <c r="C387" s="56"/>
      <c r="E387" s="56"/>
    </row>
    <row r="388">
      <c r="C388" s="56"/>
      <c r="E388" s="56"/>
    </row>
    <row r="389">
      <c r="C389" s="56"/>
      <c r="E389" s="56"/>
    </row>
    <row r="390">
      <c r="C390" s="56"/>
      <c r="E390" s="56"/>
    </row>
    <row r="391">
      <c r="C391" s="56"/>
      <c r="E391" s="56"/>
    </row>
    <row r="392">
      <c r="C392" s="56"/>
      <c r="E392" s="56"/>
    </row>
    <row r="393">
      <c r="C393" s="56"/>
      <c r="E393" s="56"/>
    </row>
    <row r="394">
      <c r="C394" s="56"/>
      <c r="E394" s="56"/>
    </row>
    <row r="395">
      <c r="C395" s="56"/>
      <c r="E395" s="56"/>
    </row>
    <row r="396">
      <c r="C396" s="56"/>
      <c r="E396" s="56"/>
    </row>
    <row r="397">
      <c r="C397" s="56"/>
      <c r="E397" s="56"/>
    </row>
    <row r="398">
      <c r="C398" s="56"/>
      <c r="E398" s="56"/>
    </row>
    <row r="399">
      <c r="C399" s="56"/>
      <c r="E399" s="56"/>
    </row>
    <row r="400">
      <c r="C400" s="56"/>
      <c r="E400" s="56"/>
    </row>
    <row r="401">
      <c r="C401" s="56"/>
      <c r="E401" s="56"/>
    </row>
    <row r="402">
      <c r="C402" s="56"/>
      <c r="E402" s="56"/>
    </row>
    <row r="403">
      <c r="C403" s="56"/>
      <c r="E403" s="56"/>
    </row>
    <row r="404">
      <c r="C404" s="56"/>
      <c r="E404" s="56"/>
    </row>
    <row r="405">
      <c r="C405" s="56"/>
      <c r="E405" s="56"/>
    </row>
    <row r="406">
      <c r="C406" s="56"/>
      <c r="E406" s="56"/>
    </row>
    <row r="407">
      <c r="C407" s="56"/>
      <c r="E407" s="56"/>
    </row>
    <row r="408">
      <c r="C408" s="56"/>
      <c r="E408" s="56"/>
    </row>
    <row r="409">
      <c r="C409" s="56"/>
      <c r="E409" s="56"/>
    </row>
    <row r="410">
      <c r="C410" s="56"/>
      <c r="E410" s="56"/>
    </row>
    <row r="411">
      <c r="C411" s="56"/>
      <c r="E411" s="56"/>
    </row>
    <row r="412">
      <c r="C412" s="56"/>
      <c r="E412" s="56"/>
    </row>
    <row r="413">
      <c r="C413" s="56"/>
      <c r="E413" s="56"/>
    </row>
    <row r="414">
      <c r="C414" s="56"/>
      <c r="E414" s="56"/>
    </row>
    <row r="415">
      <c r="C415" s="56"/>
      <c r="E415" s="56"/>
    </row>
    <row r="416">
      <c r="C416" s="56"/>
      <c r="E416" s="56"/>
    </row>
    <row r="417">
      <c r="C417" s="56"/>
      <c r="E417" s="56"/>
    </row>
    <row r="418">
      <c r="C418" s="56"/>
      <c r="E418" s="56"/>
    </row>
    <row r="419">
      <c r="C419" s="56"/>
      <c r="E419" s="56"/>
    </row>
    <row r="420">
      <c r="C420" s="56"/>
      <c r="E420" s="56"/>
    </row>
    <row r="421">
      <c r="C421" s="56"/>
      <c r="E421" s="56"/>
    </row>
    <row r="422">
      <c r="C422" s="56"/>
      <c r="E422" s="56"/>
    </row>
    <row r="423">
      <c r="C423" s="56"/>
      <c r="E423" s="56"/>
    </row>
    <row r="424">
      <c r="C424" s="56"/>
      <c r="E424" s="56"/>
    </row>
    <row r="425">
      <c r="C425" s="56"/>
      <c r="E425" s="56"/>
    </row>
    <row r="426">
      <c r="C426" s="56"/>
      <c r="E426" s="56"/>
    </row>
    <row r="427">
      <c r="C427" s="56"/>
      <c r="E427" s="56"/>
    </row>
    <row r="428">
      <c r="C428" s="56"/>
      <c r="E428" s="56"/>
    </row>
    <row r="429">
      <c r="C429" s="56"/>
      <c r="E429" s="56"/>
    </row>
    <row r="430">
      <c r="C430" s="56"/>
      <c r="E430" s="56"/>
    </row>
    <row r="431">
      <c r="C431" s="56"/>
      <c r="E431" s="56"/>
    </row>
    <row r="432">
      <c r="C432" s="56"/>
      <c r="E432" s="56"/>
    </row>
    <row r="433">
      <c r="C433" s="56"/>
      <c r="E433" s="56"/>
    </row>
    <row r="434">
      <c r="C434" s="56"/>
      <c r="E434" s="56"/>
    </row>
    <row r="435">
      <c r="C435" s="56"/>
      <c r="E435" s="56"/>
    </row>
    <row r="436">
      <c r="C436" s="56"/>
      <c r="E436" s="56"/>
    </row>
    <row r="437">
      <c r="C437" s="56"/>
      <c r="E437" s="56"/>
    </row>
    <row r="438">
      <c r="C438" s="56"/>
      <c r="E438" s="56"/>
    </row>
    <row r="439">
      <c r="C439" s="56"/>
      <c r="E439" s="56"/>
    </row>
    <row r="440">
      <c r="C440" s="56"/>
      <c r="E440" s="56"/>
    </row>
    <row r="441">
      <c r="C441" s="56"/>
      <c r="E441" s="56"/>
    </row>
    <row r="442">
      <c r="C442" s="56"/>
      <c r="E442" s="56"/>
    </row>
    <row r="443">
      <c r="C443" s="56"/>
      <c r="E443" s="56"/>
    </row>
    <row r="444">
      <c r="C444" s="56"/>
      <c r="E444" s="56"/>
    </row>
    <row r="445">
      <c r="C445" s="56"/>
      <c r="E445" s="56"/>
    </row>
    <row r="446">
      <c r="C446" s="56"/>
      <c r="E446" s="56"/>
    </row>
    <row r="447">
      <c r="C447" s="56"/>
      <c r="E447" s="56"/>
    </row>
    <row r="448">
      <c r="C448" s="56"/>
      <c r="E448" s="56"/>
    </row>
    <row r="449">
      <c r="C449" s="56"/>
      <c r="E449" s="56"/>
    </row>
    <row r="450">
      <c r="C450" s="56"/>
      <c r="E450" s="56"/>
    </row>
    <row r="451">
      <c r="C451" s="56"/>
      <c r="E451" s="56"/>
    </row>
    <row r="452">
      <c r="C452" s="56"/>
      <c r="E452" s="56"/>
    </row>
    <row r="453">
      <c r="C453" s="56"/>
      <c r="E453" s="56"/>
    </row>
    <row r="454">
      <c r="C454" s="56"/>
      <c r="E454" s="56"/>
    </row>
    <row r="455">
      <c r="C455" s="56"/>
      <c r="E455" s="56"/>
    </row>
    <row r="456">
      <c r="C456" s="56"/>
      <c r="E456" s="56"/>
    </row>
    <row r="457">
      <c r="C457" s="56"/>
      <c r="E457" s="56"/>
    </row>
    <row r="458">
      <c r="C458" s="56"/>
      <c r="E458" s="56"/>
    </row>
    <row r="459">
      <c r="C459" s="56"/>
      <c r="E459" s="56"/>
    </row>
    <row r="460">
      <c r="C460" s="56"/>
      <c r="E460" s="56"/>
    </row>
    <row r="461">
      <c r="C461" s="56"/>
      <c r="E461" s="56"/>
    </row>
    <row r="462">
      <c r="C462" s="56"/>
      <c r="E462" s="56"/>
    </row>
    <row r="463">
      <c r="C463" s="56"/>
      <c r="E463" s="56"/>
    </row>
    <row r="464">
      <c r="C464" s="56"/>
      <c r="E464" s="56"/>
    </row>
    <row r="465">
      <c r="C465" s="56"/>
      <c r="E465" s="56"/>
    </row>
    <row r="466">
      <c r="C466" s="56"/>
      <c r="E466" s="56"/>
    </row>
    <row r="467">
      <c r="C467" s="56"/>
      <c r="E467" s="56"/>
    </row>
    <row r="468">
      <c r="C468" s="56"/>
      <c r="E468" s="56"/>
    </row>
    <row r="469">
      <c r="C469" s="56"/>
      <c r="E469" s="56"/>
    </row>
    <row r="470">
      <c r="C470" s="56"/>
      <c r="E470" s="56"/>
    </row>
    <row r="471">
      <c r="C471" s="56"/>
      <c r="E471" s="56"/>
    </row>
    <row r="472">
      <c r="C472" s="56"/>
      <c r="E472" s="56"/>
    </row>
    <row r="473">
      <c r="C473" s="56"/>
      <c r="E473" s="56"/>
    </row>
    <row r="474">
      <c r="C474" s="56"/>
      <c r="E474" s="56"/>
    </row>
    <row r="475">
      <c r="C475" s="56"/>
      <c r="E475" s="56"/>
    </row>
    <row r="476">
      <c r="C476" s="56"/>
      <c r="E476" s="56"/>
    </row>
    <row r="477">
      <c r="C477" s="56"/>
      <c r="E477" s="56"/>
    </row>
    <row r="478">
      <c r="C478" s="56"/>
      <c r="E478" s="56"/>
    </row>
    <row r="479">
      <c r="C479" s="56"/>
      <c r="E479" s="56"/>
    </row>
    <row r="480">
      <c r="C480" s="56"/>
      <c r="E480" s="56"/>
    </row>
    <row r="481">
      <c r="C481" s="56"/>
      <c r="E481" s="56"/>
    </row>
    <row r="482">
      <c r="C482" s="56"/>
      <c r="E482" s="56"/>
    </row>
    <row r="483">
      <c r="C483" s="56"/>
      <c r="E483" s="56"/>
    </row>
    <row r="484">
      <c r="C484" s="56"/>
      <c r="E484" s="56"/>
    </row>
    <row r="485">
      <c r="C485" s="56"/>
      <c r="E485" s="56"/>
    </row>
    <row r="486">
      <c r="C486" s="56"/>
      <c r="E486" s="56"/>
    </row>
    <row r="487">
      <c r="C487" s="56"/>
      <c r="E487" s="56"/>
    </row>
    <row r="488">
      <c r="C488" s="56"/>
      <c r="E488" s="56"/>
    </row>
    <row r="489">
      <c r="C489" s="56"/>
      <c r="E489" s="56"/>
    </row>
    <row r="490">
      <c r="C490" s="56"/>
      <c r="E490" s="56"/>
    </row>
    <row r="491">
      <c r="C491" s="56"/>
      <c r="E491" s="56"/>
    </row>
    <row r="492">
      <c r="C492" s="56"/>
      <c r="E492" s="56"/>
    </row>
    <row r="493">
      <c r="C493" s="56"/>
      <c r="E493" s="56"/>
    </row>
    <row r="494">
      <c r="C494" s="56"/>
      <c r="E494" s="56"/>
    </row>
    <row r="495">
      <c r="C495" s="56"/>
      <c r="E495" s="56"/>
    </row>
    <row r="496">
      <c r="C496" s="56"/>
      <c r="E496" s="56"/>
    </row>
    <row r="497">
      <c r="C497" s="56"/>
      <c r="E497" s="56"/>
    </row>
    <row r="498">
      <c r="C498" s="56"/>
      <c r="E498" s="56"/>
    </row>
    <row r="499">
      <c r="C499" s="56"/>
      <c r="E499" s="56"/>
    </row>
    <row r="500">
      <c r="C500" s="56"/>
      <c r="E500" s="56"/>
    </row>
    <row r="501">
      <c r="C501" s="56"/>
      <c r="E501" s="56"/>
    </row>
    <row r="502">
      <c r="C502" s="56"/>
      <c r="E502" s="56"/>
    </row>
    <row r="503">
      <c r="C503" s="56"/>
      <c r="E503" s="56"/>
    </row>
    <row r="504">
      <c r="C504" s="56"/>
      <c r="E504" s="56"/>
    </row>
    <row r="505">
      <c r="C505" s="56"/>
      <c r="E505" s="56"/>
    </row>
    <row r="506">
      <c r="C506" s="56"/>
      <c r="E506" s="56"/>
    </row>
    <row r="507">
      <c r="C507" s="56"/>
      <c r="E507" s="56"/>
    </row>
    <row r="508">
      <c r="C508" s="56"/>
      <c r="E508" s="56"/>
    </row>
    <row r="509">
      <c r="C509" s="56"/>
      <c r="E509" s="56"/>
    </row>
    <row r="510">
      <c r="C510" s="56"/>
      <c r="E510" s="56"/>
    </row>
    <row r="511">
      <c r="C511" s="56"/>
      <c r="E511" s="56"/>
    </row>
    <row r="512">
      <c r="C512" s="56"/>
      <c r="E512" s="56"/>
    </row>
    <row r="513">
      <c r="C513" s="56"/>
      <c r="E513" s="56"/>
    </row>
    <row r="514">
      <c r="C514" s="56"/>
      <c r="E514" s="56"/>
    </row>
    <row r="515">
      <c r="C515" s="56"/>
      <c r="E515" s="56"/>
    </row>
    <row r="516">
      <c r="C516" s="56"/>
      <c r="E516" s="56"/>
    </row>
    <row r="517">
      <c r="C517" s="56"/>
      <c r="E517" s="56"/>
    </row>
    <row r="518">
      <c r="C518" s="56"/>
      <c r="E518" s="56"/>
    </row>
    <row r="519">
      <c r="C519" s="56"/>
      <c r="E519" s="56"/>
    </row>
    <row r="520">
      <c r="C520" s="56"/>
      <c r="E520" s="56"/>
    </row>
    <row r="521">
      <c r="C521" s="56"/>
      <c r="E521" s="56"/>
    </row>
    <row r="522">
      <c r="C522" s="56"/>
      <c r="E522" s="56"/>
    </row>
    <row r="523">
      <c r="C523" s="56"/>
      <c r="E523" s="56"/>
    </row>
    <row r="524">
      <c r="C524" s="56"/>
      <c r="E524" s="56"/>
    </row>
    <row r="525">
      <c r="C525" s="56"/>
      <c r="E525" s="56"/>
    </row>
    <row r="526">
      <c r="C526" s="56"/>
      <c r="E526" s="56"/>
    </row>
    <row r="527">
      <c r="C527" s="56"/>
      <c r="E527" s="56"/>
    </row>
    <row r="528">
      <c r="C528" s="56"/>
      <c r="E528" s="56"/>
    </row>
    <row r="529">
      <c r="C529" s="56"/>
      <c r="E529" s="56"/>
    </row>
    <row r="530">
      <c r="C530" s="56"/>
      <c r="E530" s="56"/>
    </row>
    <row r="531">
      <c r="C531" s="56"/>
      <c r="E531" s="56"/>
    </row>
    <row r="532">
      <c r="C532" s="56"/>
      <c r="E532" s="56"/>
    </row>
    <row r="533">
      <c r="C533" s="56"/>
      <c r="E533" s="56"/>
    </row>
    <row r="534">
      <c r="C534" s="56"/>
      <c r="E534" s="56"/>
    </row>
    <row r="535">
      <c r="C535" s="56"/>
      <c r="E535" s="56"/>
    </row>
    <row r="536">
      <c r="C536" s="56"/>
      <c r="E536" s="56"/>
    </row>
    <row r="537">
      <c r="C537" s="56"/>
      <c r="E537" s="56"/>
    </row>
    <row r="538">
      <c r="C538" s="56"/>
      <c r="E538" s="56"/>
    </row>
    <row r="539">
      <c r="C539" s="56"/>
      <c r="E539" s="56"/>
    </row>
    <row r="540">
      <c r="C540" s="56"/>
      <c r="E540" s="56"/>
    </row>
    <row r="541">
      <c r="C541" s="56"/>
      <c r="E541" s="56"/>
    </row>
    <row r="542">
      <c r="C542" s="56"/>
      <c r="E542" s="56"/>
    </row>
    <row r="543">
      <c r="C543" s="56"/>
      <c r="E543" s="56"/>
    </row>
    <row r="544">
      <c r="C544" s="56"/>
      <c r="E544" s="56"/>
    </row>
    <row r="545">
      <c r="C545" s="56"/>
      <c r="E545" s="56"/>
    </row>
    <row r="546">
      <c r="C546" s="56"/>
      <c r="E546" s="56"/>
    </row>
    <row r="547">
      <c r="C547" s="56"/>
      <c r="E547" s="56"/>
    </row>
    <row r="548">
      <c r="C548" s="56"/>
      <c r="E548" s="56"/>
    </row>
    <row r="549">
      <c r="C549" s="56"/>
      <c r="E549" s="56"/>
    </row>
    <row r="550">
      <c r="C550" s="56"/>
      <c r="E550" s="56"/>
    </row>
    <row r="551">
      <c r="C551" s="56"/>
      <c r="E551" s="56"/>
    </row>
    <row r="552">
      <c r="C552" s="56"/>
      <c r="E552" s="56"/>
    </row>
    <row r="553">
      <c r="C553" s="56"/>
      <c r="E553" s="56"/>
    </row>
    <row r="554">
      <c r="C554" s="56"/>
      <c r="E554" s="56"/>
    </row>
    <row r="555">
      <c r="C555" s="56"/>
      <c r="E555" s="56"/>
    </row>
    <row r="556">
      <c r="C556" s="56"/>
      <c r="E556" s="56"/>
    </row>
    <row r="557">
      <c r="C557" s="56"/>
      <c r="E557" s="56"/>
    </row>
    <row r="558">
      <c r="C558" s="56"/>
      <c r="E558" s="56"/>
    </row>
    <row r="559">
      <c r="C559" s="56"/>
      <c r="E559" s="56"/>
    </row>
    <row r="560">
      <c r="C560" s="56"/>
      <c r="E560" s="56"/>
    </row>
    <row r="561">
      <c r="C561" s="56"/>
      <c r="E561" s="56"/>
    </row>
    <row r="562">
      <c r="C562" s="56"/>
      <c r="E562" s="56"/>
    </row>
    <row r="563">
      <c r="C563" s="56"/>
      <c r="E563" s="56"/>
    </row>
    <row r="564">
      <c r="C564" s="56"/>
      <c r="E564" s="56"/>
    </row>
    <row r="565">
      <c r="C565" s="56"/>
      <c r="E565" s="56"/>
    </row>
    <row r="566">
      <c r="C566" s="56"/>
      <c r="E566" s="56"/>
    </row>
    <row r="567">
      <c r="C567" s="56"/>
      <c r="E567" s="56"/>
    </row>
    <row r="568">
      <c r="C568" s="56"/>
      <c r="E568" s="56"/>
    </row>
    <row r="569">
      <c r="C569" s="56"/>
      <c r="E569" s="56"/>
    </row>
    <row r="570">
      <c r="C570" s="56"/>
      <c r="E570" s="56"/>
    </row>
    <row r="571">
      <c r="C571" s="56"/>
      <c r="E571" s="56"/>
    </row>
    <row r="572">
      <c r="C572" s="56"/>
      <c r="E572" s="56"/>
    </row>
    <row r="573">
      <c r="C573" s="56"/>
      <c r="E573" s="56"/>
    </row>
    <row r="574">
      <c r="C574" s="56"/>
      <c r="E574" s="56"/>
    </row>
    <row r="575">
      <c r="C575" s="56"/>
      <c r="E575" s="56"/>
    </row>
    <row r="576">
      <c r="C576" s="56"/>
      <c r="E576" s="56"/>
    </row>
    <row r="577">
      <c r="C577" s="56"/>
      <c r="E577" s="56"/>
    </row>
    <row r="578">
      <c r="C578" s="56"/>
      <c r="E578" s="56"/>
    </row>
    <row r="579">
      <c r="C579" s="56"/>
      <c r="E579" s="56"/>
    </row>
    <row r="580">
      <c r="C580" s="56"/>
      <c r="E580" s="56"/>
    </row>
    <row r="581">
      <c r="C581" s="56"/>
      <c r="E581" s="56"/>
    </row>
    <row r="582">
      <c r="C582" s="56"/>
      <c r="E582" s="56"/>
    </row>
    <row r="583">
      <c r="C583" s="56"/>
      <c r="E583" s="56"/>
    </row>
    <row r="584">
      <c r="C584" s="56"/>
      <c r="E584" s="56"/>
    </row>
    <row r="585">
      <c r="C585" s="56"/>
      <c r="E585" s="56"/>
    </row>
    <row r="586">
      <c r="C586" s="56"/>
      <c r="E586" s="56"/>
    </row>
    <row r="587">
      <c r="C587" s="56"/>
      <c r="E587" s="56"/>
    </row>
    <row r="588">
      <c r="C588" s="56"/>
      <c r="E588" s="56"/>
    </row>
    <row r="589">
      <c r="C589" s="56"/>
      <c r="E589" s="56"/>
    </row>
    <row r="590">
      <c r="C590" s="56"/>
      <c r="E590" s="56"/>
    </row>
    <row r="591">
      <c r="C591" s="56"/>
      <c r="E591" s="56"/>
    </row>
    <row r="592">
      <c r="C592" s="56"/>
      <c r="E592" s="56"/>
    </row>
    <row r="593">
      <c r="C593" s="56"/>
      <c r="E593" s="56"/>
    </row>
    <row r="594">
      <c r="C594" s="56"/>
      <c r="E594" s="56"/>
    </row>
    <row r="595">
      <c r="C595" s="56"/>
      <c r="E595" s="56"/>
    </row>
    <row r="596">
      <c r="C596" s="56"/>
      <c r="E596" s="56"/>
    </row>
    <row r="597">
      <c r="C597" s="56"/>
      <c r="E597" s="56"/>
    </row>
    <row r="598">
      <c r="C598" s="56"/>
      <c r="E598" s="56"/>
    </row>
    <row r="599">
      <c r="C599" s="56"/>
      <c r="E599" s="56"/>
    </row>
    <row r="600">
      <c r="C600" s="56"/>
      <c r="E600" s="56"/>
    </row>
    <row r="601">
      <c r="C601" s="56"/>
      <c r="E601" s="56"/>
    </row>
    <row r="602">
      <c r="C602" s="56"/>
      <c r="E602" s="56"/>
    </row>
    <row r="603">
      <c r="C603" s="56"/>
      <c r="E603" s="56"/>
    </row>
    <row r="604">
      <c r="C604" s="56"/>
      <c r="E604" s="56"/>
    </row>
    <row r="605">
      <c r="C605" s="56"/>
      <c r="E605" s="56"/>
    </row>
    <row r="606">
      <c r="C606" s="56"/>
      <c r="E606" s="56"/>
    </row>
    <row r="607">
      <c r="C607" s="56"/>
      <c r="E607" s="56"/>
    </row>
    <row r="608">
      <c r="C608" s="56"/>
      <c r="E608" s="56"/>
    </row>
    <row r="609">
      <c r="C609" s="56"/>
      <c r="E609" s="56"/>
    </row>
    <row r="610">
      <c r="C610" s="56"/>
      <c r="E610" s="56"/>
    </row>
    <row r="611">
      <c r="C611" s="56"/>
      <c r="E611" s="56"/>
    </row>
    <row r="612">
      <c r="C612" s="56"/>
      <c r="E612" s="56"/>
    </row>
    <row r="613">
      <c r="C613" s="56"/>
      <c r="E613" s="56"/>
    </row>
    <row r="614">
      <c r="C614" s="56"/>
      <c r="E614" s="56"/>
    </row>
    <row r="615">
      <c r="C615" s="56"/>
      <c r="E615" s="56"/>
    </row>
    <row r="616">
      <c r="C616" s="56"/>
      <c r="E616" s="56"/>
    </row>
    <row r="617">
      <c r="C617" s="56"/>
      <c r="E617" s="56"/>
    </row>
    <row r="618">
      <c r="C618" s="56"/>
      <c r="E618" s="56"/>
    </row>
    <row r="619">
      <c r="C619" s="56"/>
      <c r="E619" s="56"/>
    </row>
    <row r="620">
      <c r="C620" s="56"/>
      <c r="E620" s="56"/>
    </row>
    <row r="621">
      <c r="C621" s="56"/>
      <c r="E621" s="56"/>
    </row>
    <row r="622">
      <c r="C622" s="56"/>
      <c r="E622" s="56"/>
    </row>
    <row r="623">
      <c r="C623" s="56"/>
      <c r="E623" s="56"/>
    </row>
    <row r="624">
      <c r="C624" s="56"/>
      <c r="E624" s="56"/>
    </row>
    <row r="625">
      <c r="C625" s="56"/>
      <c r="E625" s="56"/>
    </row>
    <row r="626">
      <c r="C626" s="56"/>
      <c r="E626" s="56"/>
    </row>
    <row r="627">
      <c r="C627" s="56"/>
      <c r="E627" s="56"/>
    </row>
    <row r="628">
      <c r="C628" s="56"/>
      <c r="E628" s="56"/>
    </row>
    <row r="629">
      <c r="C629" s="56"/>
      <c r="E629" s="56"/>
    </row>
    <row r="630">
      <c r="C630" s="56"/>
      <c r="E630" s="56"/>
    </row>
    <row r="631">
      <c r="C631" s="56"/>
      <c r="E631" s="56"/>
    </row>
    <row r="632">
      <c r="C632" s="56"/>
      <c r="E632" s="56"/>
    </row>
    <row r="633">
      <c r="C633" s="56"/>
      <c r="E633" s="56"/>
    </row>
    <row r="634">
      <c r="C634" s="56"/>
      <c r="E634" s="56"/>
    </row>
    <row r="635">
      <c r="C635" s="56"/>
      <c r="E635" s="56"/>
    </row>
    <row r="636">
      <c r="C636" s="56"/>
      <c r="E636" s="56"/>
    </row>
    <row r="637">
      <c r="C637" s="56"/>
      <c r="E637" s="56"/>
    </row>
    <row r="638">
      <c r="C638" s="56"/>
      <c r="E638" s="56"/>
    </row>
    <row r="639">
      <c r="C639" s="56"/>
      <c r="E639" s="56"/>
    </row>
    <row r="640">
      <c r="C640" s="56"/>
      <c r="E640" s="56"/>
    </row>
    <row r="641">
      <c r="C641" s="56"/>
      <c r="E641" s="56"/>
    </row>
    <row r="642">
      <c r="C642" s="56"/>
      <c r="E642" s="56"/>
    </row>
    <row r="643">
      <c r="C643" s="56"/>
      <c r="E643" s="56"/>
    </row>
    <row r="644">
      <c r="C644" s="56"/>
      <c r="E644" s="56"/>
    </row>
    <row r="645">
      <c r="C645" s="56"/>
      <c r="E645" s="56"/>
    </row>
    <row r="646">
      <c r="C646" s="56"/>
      <c r="E646" s="56"/>
    </row>
    <row r="647">
      <c r="C647" s="56"/>
      <c r="E647" s="56"/>
    </row>
    <row r="648">
      <c r="C648" s="56"/>
      <c r="E648" s="56"/>
    </row>
    <row r="649">
      <c r="C649" s="56"/>
      <c r="E649" s="56"/>
    </row>
    <row r="650">
      <c r="C650" s="56"/>
      <c r="E650" s="56"/>
    </row>
    <row r="651">
      <c r="C651" s="56"/>
      <c r="E651" s="56"/>
    </row>
    <row r="652">
      <c r="C652" s="56"/>
      <c r="E652" s="56"/>
    </row>
    <row r="653">
      <c r="C653" s="56"/>
      <c r="E653" s="56"/>
    </row>
    <row r="654">
      <c r="C654" s="56"/>
      <c r="E654" s="56"/>
    </row>
    <row r="655">
      <c r="C655" s="56"/>
      <c r="E655" s="56"/>
    </row>
    <row r="656">
      <c r="C656" s="56"/>
      <c r="E656" s="56"/>
    </row>
    <row r="657">
      <c r="C657" s="56"/>
      <c r="E657" s="56"/>
    </row>
    <row r="658">
      <c r="C658" s="56"/>
      <c r="E658" s="56"/>
    </row>
    <row r="659">
      <c r="C659" s="56"/>
      <c r="E659" s="56"/>
    </row>
    <row r="660">
      <c r="C660" s="56"/>
      <c r="E660" s="56"/>
    </row>
    <row r="661">
      <c r="C661" s="56"/>
      <c r="E661" s="56"/>
    </row>
    <row r="662">
      <c r="C662" s="56"/>
      <c r="E662" s="56"/>
    </row>
    <row r="663">
      <c r="C663" s="56"/>
      <c r="E663" s="56"/>
    </row>
    <row r="664">
      <c r="C664" s="56"/>
      <c r="E664" s="56"/>
    </row>
    <row r="665">
      <c r="C665" s="56"/>
      <c r="E665" s="56"/>
    </row>
    <row r="666">
      <c r="C666" s="56"/>
      <c r="E666" s="56"/>
    </row>
    <row r="667">
      <c r="C667" s="56"/>
      <c r="E667" s="56"/>
    </row>
    <row r="668">
      <c r="C668" s="56"/>
      <c r="E668" s="56"/>
    </row>
    <row r="669">
      <c r="C669" s="56"/>
      <c r="E669" s="56"/>
    </row>
    <row r="670">
      <c r="C670" s="56"/>
      <c r="E670" s="56"/>
    </row>
    <row r="671">
      <c r="C671" s="56"/>
      <c r="E671" s="56"/>
    </row>
    <row r="672">
      <c r="C672" s="56"/>
      <c r="E672" s="56"/>
    </row>
    <row r="673">
      <c r="C673" s="56"/>
      <c r="E673" s="56"/>
    </row>
    <row r="674">
      <c r="C674" s="56"/>
      <c r="E674" s="56"/>
    </row>
    <row r="675">
      <c r="C675" s="56"/>
      <c r="E675" s="56"/>
    </row>
    <row r="676">
      <c r="C676" s="56"/>
      <c r="E676" s="56"/>
    </row>
    <row r="677">
      <c r="C677" s="56"/>
      <c r="E677" s="56"/>
    </row>
    <row r="678">
      <c r="C678" s="56"/>
      <c r="E678" s="56"/>
    </row>
    <row r="679">
      <c r="C679" s="56"/>
      <c r="E679" s="56"/>
    </row>
    <row r="680">
      <c r="C680" s="56"/>
      <c r="E680" s="56"/>
    </row>
    <row r="681">
      <c r="C681" s="56"/>
      <c r="E681" s="56"/>
    </row>
    <row r="682">
      <c r="C682" s="56"/>
      <c r="E682" s="56"/>
    </row>
    <row r="683">
      <c r="C683" s="56"/>
      <c r="E683" s="56"/>
    </row>
    <row r="684">
      <c r="C684" s="56"/>
      <c r="E684" s="56"/>
    </row>
    <row r="685">
      <c r="C685" s="56"/>
      <c r="E685" s="56"/>
    </row>
    <row r="686">
      <c r="C686" s="56"/>
      <c r="E686" s="56"/>
    </row>
    <row r="687">
      <c r="C687" s="56"/>
      <c r="E687" s="56"/>
    </row>
    <row r="688">
      <c r="C688" s="56"/>
      <c r="E688" s="56"/>
    </row>
    <row r="689">
      <c r="C689" s="56"/>
      <c r="E689" s="56"/>
    </row>
    <row r="690">
      <c r="C690" s="56"/>
      <c r="E690" s="56"/>
    </row>
    <row r="691">
      <c r="C691" s="56"/>
      <c r="E691" s="56"/>
    </row>
    <row r="692">
      <c r="C692" s="56"/>
      <c r="E692" s="56"/>
    </row>
    <row r="693">
      <c r="C693" s="56"/>
      <c r="E693" s="56"/>
    </row>
    <row r="694">
      <c r="C694" s="56"/>
      <c r="E694" s="56"/>
    </row>
    <row r="695">
      <c r="C695" s="56"/>
      <c r="E695" s="56"/>
    </row>
    <row r="696">
      <c r="C696" s="56"/>
      <c r="E696" s="56"/>
    </row>
    <row r="697">
      <c r="C697" s="56"/>
      <c r="E697" s="56"/>
    </row>
    <row r="698">
      <c r="C698" s="56"/>
      <c r="E698" s="56"/>
    </row>
    <row r="699">
      <c r="C699" s="56"/>
      <c r="E699" s="56"/>
    </row>
    <row r="700">
      <c r="C700" s="56"/>
      <c r="E700" s="56"/>
    </row>
    <row r="701">
      <c r="C701" s="56"/>
      <c r="E701" s="56"/>
    </row>
    <row r="702">
      <c r="C702" s="56"/>
      <c r="E702" s="56"/>
    </row>
    <row r="703">
      <c r="C703" s="56"/>
      <c r="E703" s="56"/>
    </row>
    <row r="704">
      <c r="C704" s="56"/>
      <c r="E704" s="56"/>
    </row>
    <row r="705">
      <c r="C705" s="56"/>
      <c r="E705" s="56"/>
    </row>
    <row r="706">
      <c r="C706" s="56"/>
      <c r="E706" s="56"/>
    </row>
    <row r="707">
      <c r="C707" s="56"/>
      <c r="E707" s="56"/>
    </row>
    <row r="708">
      <c r="C708" s="56"/>
      <c r="E708" s="56"/>
    </row>
    <row r="709">
      <c r="C709" s="56"/>
      <c r="E709" s="56"/>
    </row>
    <row r="710">
      <c r="C710" s="56"/>
      <c r="E710" s="56"/>
    </row>
    <row r="711">
      <c r="C711" s="56"/>
      <c r="E711" s="56"/>
    </row>
    <row r="712">
      <c r="C712" s="56"/>
      <c r="E712" s="56"/>
    </row>
    <row r="713">
      <c r="C713" s="56"/>
      <c r="E713" s="56"/>
    </row>
    <row r="714">
      <c r="C714" s="56"/>
      <c r="E714" s="56"/>
    </row>
    <row r="715">
      <c r="C715" s="56"/>
      <c r="E715" s="56"/>
    </row>
    <row r="716">
      <c r="C716" s="56"/>
      <c r="E716" s="56"/>
    </row>
    <row r="717">
      <c r="C717" s="56"/>
      <c r="E717" s="56"/>
    </row>
    <row r="718">
      <c r="C718" s="56"/>
      <c r="E718" s="56"/>
    </row>
    <row r="719">
      <c r="C719" s="56"/>
      <c r="E719" s="56"/>
    </row>
    <row r="720">
      <c r="C720" s="56"/>
      <c r="E720" s="56"/>
    </row>
    <row r="721">
      <c r="C721" s="56"/>
      <c r="E721" s="56"/>
    </row>
    <row r="722">
      <c r="C722" s="56"/>
      <c r="E722" s="56"/>
    </row>
    <row r="723">
      <c r="C723" s="56"/>
      <c r="E723" s="56"/>
    </row>
    <row r="724">
      <c r="C724" s="56"/>
      <c r="E724" s="56"/>
    </row>
    <row r="725">
      <c r="C725" s="56"/>
      <c r="E725" s="56"/>
    </row>
    <row r="726">
      <c r="C726" s="56"/>
      <c r="E726" s="56"/>
    </row>
    <row r="727">
      <c r="C727" s="56"/>
      <c r="E727" s="56"/>
    </row>
    <row r="728">
      <c r="C728" s="56"/>
      <c r="E728" s="56"/>
    </row>
    <row r="729">
      <c r="C729" s="56"/>
      <c r="E729" s="56"/>
    </row>
    <row r="730">
      <c r="C730" s="56"/>
      <c r="E730" s="56"/>
    </row>
    <row r="731">
      <c r="C731" s="56"/>
      <c r="E731" s="56"/>
    </row>
    <row r="732">
      <c r="C732" s="56"/>
      <c r="E732" s="56"/>
    </row>
    <row r="733">
      <c r="C733" s="56"/>
      <c r="E733" s="56"/>
    </row>
    <row r="734">
      <c r="C734" s="56"/>
      <c r="E734" s="56"/>
    </row>
    <row r="735">
      <c r="C735" s="56"/>
      <c r="E735" s="56"/>
    </row>
    <row r="736">
      <c r="C736" s="56"/>
      <c r="E736" s="56"/>
    </row>
    <row r="737">
      <c r="C737" s="56"/>
      <c r="E737" s="56"/>
    </row>
    <row r="738">
      <c r="C738" s="56"/>
      <c r="E738" s="56"/>
    </row>
    <row r="739">
      <c r="C739" s="56"/>
      <c r="E739" s="56"/>
    </row>
    <row r="740">
      <c r="C740" s="56"/>
      <c r="E740" s="56"/>
    </row>
    <row r="741">
      <c r="C741" s="56"/>
      <c r="E741" s="56"/>
    </row>
    <row r="742">
      <c r="C742" s="56"/>
      <c r="E742" s="56"/>
    </row>
    <row r="743">
      <c r="C743" s="56"/>
      <c r="E743" s="56"/>
    </row>
    <row r="744">
      <c r="C744" s="56"/>
      <c r="E744" s="56"/>
    </row>
    <row r="745">
      <c r="C745" s="56"/>
      <c r="E745" s="56"/>
    </row>
    <row r="746">
      <c r="C746" s="56"/>
      <c r="E746" s="56"/>
    </row>
    <row r="747">
      <c r="C747" s="56"/>
      <c r="E747" s="56"/>
    </row>
    <row r="748">
      <c r="C748" s="56"/>
      <c r="E748" s="56"/>
    </row>
    <row r="749">
      <c r="C749" s="56"/>
      <c r="E749" s="56"/>
    </row>
    <row r="750">
      <c r="C750" s="56"/>
      <c r="E750" s="56"/>
    </row>
    <row r="751">
      <c r="C751" s="56"/>
      <c r="E751" s="56"/>
    </row>
    <row r="752">
      <c r="C752" s="56"/>
      <c r="E752" s="56"/>
    </row>
    <row r="753">
      <c r="C753" s="56"/>
      <c r="E753" s="56"/>
    </row>
    <row r="754">
      <c r="C754" s="56"/>
      <c r="E754" s="56"/>
    </row>
    <row r="755">
      <c r="C755" s="56"/>
      <c r="E755" s="56"/>
    </row>
    <row r="756">
      <c r="C756" s="56"/>
      <c r="E756" s="56"/>
    </row>
    <row r="757">
      <c r="C757" s="56"/>
      <c r="E757" s="56"/>
    </row>
    <row r="758">
      <c r="C758" s="56"/>
      <c r="E758" s="56"/>
    </row>
    <row r="759">
      <c r="C759" s="56"/>
      <c r="E759" s="56"/>
    </row>
    <row r="760">
      <c r="C760" s="56"/>
      <c r="E760" s="56"/>
    </row>
    <row r="761">
      <c r="C761" s="56"/>
      <c r="E761" s="56"/>
    </row>
    <row r="762">
      <c r="C762" s="56"/>
      <c r="E762" s="56"/>
    </row>
    <row r="763">
      <c r="C763" s="56"/>
      <c r="E763" s="56"/>
    </row>
    <row r="764">
      <c r="C764" s="56"/>
      <c r="E764" s="56"/>
    </row>
    <row r="765">
      <c r="C765" s="56"/>
      <c r="E765" s="56"/>
    </row>
    <row r="766">
      <c r="C766" s="56"/>
      <c r="E766" s="56"/>
    </row>
    <row r="767">
      <c r="C767" s="56"/>
      <c r="E767" s="56"/>
    </row>
    <row r="768">
      <c r="C768" s="56"/>
      <c r="E768" s="56"/>
    </row>
    <row r="769">
      <c r="C769" s="56"/>
      <c r="E769" s="56"/>
    </row>
    <row r="770">
      <c r="C770" s="56"/>
      <c r="E770" s="56"/>
    </row>
    <row r="771">
      <c r="C771" s="56"/>
      <c r="E771" s="56"/>
    </row>
    <row r="772">
      <c r="C772" s="56"/>
      <c r="E772" s="56"/>
    </row>
    <row r="773">
      <c r="C773" s="56"/>
      <c r="E773" s="56"/>
    </row>
    <row r="774">
      <c r="C774" s="56"/>
      <c r="E774" s="56"/>
    </row>
    <row r="775">
      <c r="C775" s="56"/>
      <c r="E775" s="56"/>
    </row>
    <row r="776">
      <c r="C776" s="56"/>
      <c r="E776" s="56"/>
    </row>
    <row r="777">
      <c r="C777" s="56"/>
      <c r="E777" s="56"/>
    </row>
    <row r="778">
      <c r="C778" s="56"/>
      <c r="E778" s="56"/>
    </row>
    <row r="779">
      <c r="C779" s="56"/>
      <c r="E779" s="56"/>
    </row>
    <row r="780">
      <c r="C780" s="56"/>
      <c r="E780" s="56"/>
    </row>
    <row r="781">
      <c r="C781" s="56"/>
      <c r="E781" s="56"/>
    </row>
    <row r="782">
      <c r="C782" s="56"/>
      <c r="E782" s="56"/>
    </row>
    <row r="783">
      <c r="C783" s="56"/>
      <c r="E783" s="56"/>
    </row>
    <row r="784">
      <c r="C784" s="56"/>
      <c r="E784" s="56"/>
    </row>
    <row r="785">
      <c r="C785" s="56"/>
      <c r="E785" s="56"/>
    </row>
    <row r="786">
      <c r="C786" s="56"/>
      <c r="E786" s="56"/>
    </row>
    <row r="787">
      <c r="C787" s="56"/>
      <c r="E787" s="56"/>
    </row>
    <row r="788">
      <c r="C788" s="56"/>
      <c r="E788" s="56"/>
    </row>
    <row r="789">
      <c r="C789" s="56"/>
      <c r="E789" s="56"/>
    </row>
    <row r="790">
      <c r="C790" s="56"/>
      <c r="E790" s="56"/>
    </row>
    <row r="791">
      <c r="C791" s="56"/>
      <c r="E791" s="56"/>
    </row>
    <row r="792">
      <c r="C792" s="56"/>
      <c r="E792" s="56"/>
    </row>
    <row r="793">
      <c r="C793" s="56"/>
      <c r="E793" s="56"/>
    </row>
    <row r="794">
      <c r="C794" s="56"/>
      <c r="E794" s="56"/>
    </row>
    <row r="795">
      <c r="C795" s="56"/>
      <c r="E795" s="56"/>
    </row>
    <row r="796">
      <c r="C796" s="56"/>
      <c r="E796" s="56"/>
    </row>
    <row r="797">
      <c r="C797" s="56"/>
      <c r="E797" s="56"/>
    </row>
    <row r="798">
      <c r="C798" s="56"/>
      <c r="E798" s="56"/>
    </row>
    <row r="799">
      <c r="C799" s="56"/>
      <c r="E799" s="56"/>
    </row>
    <row r="800">
      <c r="C800" s="56"/>
      <c r="E800" s="56"/>
    </row>
    <row r="801">
      <c r="C801" s="56"/>
      <c r="E801" s="56"/>
    </row>
    <row r="802">
      <c r="C802" s="56"/>
      <c r="E802" s="56"/>
    </row>
    <row r="803">
      <c r="C803" s="56"/>
      <c r="E803" s="56"/>
    </row>
    <row r="804">
      <c r="C804" s="56"/>
      <c r="E804" s="56"/>
    </row>
    <row r="805">
      <c r="C805" s="56"/>
      <c r="E805" s="56"/>
    </row>
    <row r="806">
      <c r="C806" s="56"/>
      <c r="E806" s="56"/>
    </row>
    <row r="807">
      <c r="C807" s="56"/>
      <c r="E807" s="56"/>
    </row>
    <row r="808">
      <c r="C808" s="56"/>
      <c r="E808" s="56"/>
    </row>
    <row r="809">
      <c r="C809" s="56"/>
      <c r="E809" s="56"/>
    </row>
    <row r="810">
      <c r="C810" s="56"/>
      <c r="E810" s="56"/>
    </row>
    <row r="811">
      <c r="C811" s="56"/>
      <c r="E811" s="56"/>
    </row>
    <row r="812">
      <c r="C812" s="56"/>
      <c r="E812" s="56"/>
    </row>
    <row r="813">
      <c r="C813" s="56"/>
      <c r="E813" s="56"/>
    </row>
    <row r="814">
      <c r="C814" s="56"/>
      <c r="E814" s="56"/>
    </row>
    <row r="815">
      <c r="C815" s="56"/>
      <c r="E815" s="56"/>
    </row>
    <row r="816">
      <c r="C816" s="56"/>
      <c r="E816" s="56"/>
    </row>
    <row r="817">
      <c r="C817" s="56"/>
      <c r="E817" s="56"/>
    </row>
    <row r="818">
      <c r="C818" s="56"/>
      <c r="E818" s="56"/>
    </row>
    <row r="819">
      <c r="C819" s="56"/>
      <c r="E819" s="56"/>
    </row>
    <row r="820">
      <c r="C820" s="56"/>
      <c r="E820" s="56"/>
    </row>
    <row r="821">
      <c r="C821" s="56"/>
      <c r="E821" s="56"/>
    </row>
    <row r="822">
      <c r="C822" s="56"/>
      <c r="E822" s="56"/>
    </row>
    <row r="823">
      <c r="C823" s="56"/>
      <c r="E823" s="56"/>
    </row>
    <row r="824">
      <c r="C824" s="56"/>
      <c r="E824" s="56"/>
    </row>
    <row r="825">
      <c r="C825" s="56"/>
      <c r="E825" s="56"/>
    </row>
    <row r="826">
      <c r="C826" s="56"/>
      <c r="E826" s="56"/>
    </row>
    <row r="827">
      <c r="C827" s="56"/>
      <c r="E827" s="56"/>
    </row>
    <row r="828">
      <c r="C828" s="56"/>
      <c r="E828" s="56"/>
    </row>
    <row r="829">
      <c r="C829" s="56"/>
      <c r="E829" s="56"/>
    </row>
    <row r="830">
      <c r="C830" s="56"/>
      <c r="E830" s="56"/>
    </row>
    <row r="831">
      <c r="C831" s="56"/>
      <c r="E831" s="56"/>
    </row>
    <row r="832">
      <c r="C832" s="56"/>
      <c r="E832" s="56"/>
    </row>
    <row r="833">
      <c r="C833" s="56"/>
      <c r="E833" s="56"/>
    </row>
    <row r="834">
      <c r="C834" s="56"/>
      <c r="E834" s="56"/>
    </row>
    <row r="835">
      <c r="C835" s="56"/>
      <c r="E835" s="56"/>
    </row>
    <row r="836">
      <c r="C836" s="56"/>
      <c r="E836" s="56"/>
    </row>
    <row r="837">
      <c r="C837" s="56"/>
      <c r="E837" s="56"/>
    </row>
    <row r="838">
      <c r="C838" s="56"/>
      <c r="E838" s="56"/>
    </row>
    <row r="839">
      <c r="C839" s="56"/>
      <c r="E839" s="56"/>
    </row>
    <row r="840">
      <c r="C840" s="56"/>
      <c r="E840" s="56"/>
    </row>
    <row r="841">
      <c r="C841" s="56"/>
      <c r="E841" s="56"/>
    </row>
    <row r="842">
      <c r="C842" s="56"/>
      <c r="E842" s="56"/>
    </row>
    <row r="843">
      <c r="C843" s="56"/>
      <c r="E843" s="56"/>
    </row>
    <row r="844">
      <c r="C844" s="56"/>
      <c r="E844" s="56"/>
    </row>
    <row r="845">
      <c r="C845" s="56"/>
      <c r="E845" s="56"/>
    </row>
    <row r="846">
      <c r="C846" s="56"/>
      <c r="E846" s="56"/>
    </row>
    <row r="847">
      <c r="C847" s="56"/>
      <c r="E847" s="56"/>
    </row>
    <row r="848">
      <c r="C848" s="56"/>
      <c r="E848" s="56"/>
    </row>
    <row r="849">
      <c r="C849" s="56"/>
      <c r="E849" s="56"/>
    </row>
    <row r="850">
      <c r="C850" s="56"/>
      <c r="E850" s="56"/>
    </row>
    <row r="851">
      <c r="C851" s="56"/>
      <c r="E851" s="56"/>
    </row>
    <row r="852">
      <c r="C852" s="56"/>
      <c r="E852" s="56"/>
    </row>
    <row r="853">
      <c r="C853" s="56"/>
      <c r="E853" s="56"/>
    </row>
    <row r="854">
      <c r="C854" s="56"/>
      <c r="E854" s="56"/>
    </row>
    <row r="855">
      <c r="C855" s="56"/>
      <c r="E855" s="56"/>
    </row>
    <row r="856">
      <c r="C856" s="56"/>
      <c r="E856" s="56"/>
    </row>
    <row r="857">
      <c r="C857" s="56"/>
      <c r="E857" s="56"/>
    </row>
    <row r="858">
      <c r="C858" s="56"/>
      <c r="E858" s="56"/>
    </row>
    <row r="859">
      <c r="C859" s="56"/>
      <c r="E859" s="56"/>
    </row>
    <row r="860">
      <c r="C860" s="56"/>
      <c r="E860" s="56"/>
    </row>
    <row r="861">
      <c r="C861" s="56"/>
      <c r="E861" s="56"/>
    </row>
    <row r="862">
      <c r="C862" s="56"/>
      <c r="E862" s="56"/>
    </row>
    <row r="863">
      <c r="C863" s="56"/>
      <c r="E863" s="56"/>
    </row>
    <row r="864">
      <c r="C864" s="56"/>
      <c r="E864" s="56"/>
    </row>
    <row r="865">
      <c r="C865" s="56"/>
      <c r="E865" s="56"/>
    </row>
    <row r="866">
      <c r="C866" s="56"/>
      <c r="E866" s="56"/>
    </row>
    <row r="867">
      <c r="C867" s="56"/>
      <c r="E867" s="56"/>
    </row>
    <row r="868">
      <c r="C868" s="56"/>
      <c r="E868" s="56"/>
    </row>
    <row r="869">
      <c r="C869" s="56"/>
      <c r="E869" s="56"/>
    </row>
    <row r="870">
      <c r="C870" s="56"/>
      <c r="E870" s="56"/>
    </row>
    <row r="871">
      <c r="C871" s="56"/>
      <c r="E871" s="56"/>
    </row>
    <row r="872">
      <c r="C872" s="56"/>
      <c r="E872" s="56"/>
    </row>
    <row r="873">
      <c r="C873" s="56"/>
      <c r="E873" s="56"/>
    </row>
    <row r="874">
      <c r="C874" s="56"/>
      <c r="E874" s="56"/>
    </row>
    <row r="875">
      <c r="C875" s="56"/>
      <c r="E875" s="56"/>
    </row>
    <row r="876">
      <c r="C876" s="56"/>
      <c r="E876" s="56"/>
    </row>
    <row r="877">
      <c r="C877" s="56"/>
      <c r="E877" s="56"/>
    </row>
    <row r="878">
      <c r="C878" s="56"/>
      <c r="E878" s="56"/>
    </row>
    <row r="879">
      <c r="C879" s="56"/>
      <c r="E879" s="56"/>
    </row>
    <row r="880">
      <c r="C880" s="56"/>
      <c r="E880" s="56"/>
    </row>
    <row r="881">
      <c r="C881" s="56"/>
      <c r="E881" s="56"/>
    </row>
    <row r="882">
      <c r="C882" s="56"/>
      <c r="E882" s="56"/>
    </row>
    <row r="883">
      <c r="C883" s="56"/>
      <c r="E883" s="56"/>
    </row>
    <row r="884">
      <c r="C884" s="56"/>
      <c r="E884" s="56"/>
    </row>
    <row r="885">
      <c r="C885" s="56"/>
      <c r="E885" s="56"/>
    </row>
    <row r="886">
      <c r="C886" s="56"/>
      <c r="E886" s="56"/>
    </row>
    <row r="887">
      <c r="C887" s="56"/>
      <c r="E887" s="56"/>
    </row>
    <row r="888">
      <c r="C888" s="56"/>
      <c r="E888" s="56"/>
    </row>
    <row r="889">
      <c r="C889" s="56"/>
      <c r="E889" s="56"/>
    </row>
    <row r="890">
      <c r="C890" s="56"/>
      <c r="E890" s="56"/>
    </row>
    <row r="891">
      <c r="C891" s="56"/>
      <c r="E891" s="56"/>
    </row>
    <row r="892">
      <c r="C892" s="56"/>
      <c r="E892" s="56"/>
    </row>
    <row r="893">
      <c r="C893" s="56"/>
      <c r="E893" s="56"/>
    </row>
    <row r="894">
      <c r="C894" s="56"/>
      <c r="E894" s="56"/>
    </row>
    <row r="895">
      <c r="C895" s="56"/>
      <c r="E895" s="56"/>
    </row>
    <row r="896">
      <c r="C896" s="56"/>
      <c r="E896" s="56"/>
    </row>
    <row r="897">
      <c r="C897" s="56"/>
      <c r="E897" s="56"/>
    </row>
    <row r="898">
      <c r="C898" s="56"/>
      <c r="E898" s="56"/>
    </row>
    <row r="899">
      <c r="C899" s="56"/>
      <c r="E899" s="56"/>
    </row>
    <row r="900">
      <c r="C900" s="56"/>
      <c r="E900" s="56"/>
    </row>
    <row r="901">
      <c r="C901" s="56"/>
      <c r="E901" s="56"/>
    </row>
    <row r="902">
      <c r="C902" s="56"/>
      <c r="E902" s="56"/>
    </row>
    <row r="903">
      <c r="C903" s="56"/>
      <c r="E903" s="56"/>
    </row>
    <row r="904">
      <c r="C904" s="56"/>
      <c r="E904" s="56"/>
    </row>
    <row r="905">
      <c r="C905" s="56"/>
      <c r="E905" s="56"/>
    </row>
    <row r="906">
      <c r="C906" s="56"/>
      <c r="E906" s="56"/>
    </row>
    <row r="907">
      <c r="C907" s="56"/>
      <c r="E907" s="56"/>
    </row>
    <row r="908">
      <c r="C908" s="56"/>
      <c r="E908" s="56"/>
    </row>
    <row r="909">
      <c r="C909" s="56"/>
      <c r="E909" s="56"/>
    </row>
    <row r="910">
      <c r="C910" s="56"/>
      <c r="E910" s="56"/>
    </row>
    <row r="911">
      <c r="C911" s="56"/>
      <c r="E911" s="56"/>
    </row>
    <row r="912">
      <c r="C912" s="56"/>
      <c r="E912" s="56"/>
    </row>
    <row r="913">
      <c r="C913" s="56"/>
      <c r="E913" s="56"/>
    </row>
    <row r="914">
      <c r="C914" s="56"/>
      <c r="E914" s="56"/>
    </row>
    <row r="915">
      <c r="C915" s="56"/>
      <c r="E915" s="56"/>
    </row>
    <row r="916">
      <c r="C916" s="56"/>
      <c r="E916" s="56"/>
    </row>
    <row r="917">
      <c r="C917" s="56"/>
      <c r="E917" s="56"/>
    </row>
    <row r="918">
      <c r="C918" s="56"/>
      <c r="E918" s="56"/>
    </row>
    <row r="919">
      <c r="C919" s="56"/>
      <c r="E919" s="56"/>
    </row>
    <row r="920">
      <c r="C920" s="56"/>
      <c r="E920" s="56"/>
    </row>
    <row r="921">
      <c r="C921" s="56"/>
      <c r="E921" s="56"/>
    </row>
    <row r="922">
      <c r="C922" s="56"/>
      <c r="E922" s="56"/>
    </row>
    <row r="923">
      <c r="C923" s="56"/>
      <c r="E923" s="56"/>
    </row>
    <row r="924">
      <c r="C924" s="56"/>
      <c r="E924" s="56"/>
    </row>
    <row r="925">
      <c r="C925" s="56"/>
      <c r="E925" s="56"/>
    </row>
    <row r="926">
      <c r="C926" s="56"/>
      <c r="E926" s="56"/>
    </row>
    <row r="927">
      <c r="C927" s="56"/>
      <c r="E927" s="56"/>
    </row>
    <row r="928">
      <c r="C928" s="56"/>
      <c r="E928" s="56"/>
    </row>
    <row r="929">
      <c r="C929" s="56"/>
      <c r="E929" s="56"/>
    </row>
    <row r="930">
      <c r="C930" s="56"/>
      <c r="E930" s="56"/>
    </row>
    <row r="931">
      <c r="C931" s="56"/>
      <c r="E931" s="56"/>
    </row>
    <row r="932">
      <c r="C932" s="56"/>
      <c r="E932" s="56"/>
    </row>
    <row r="933">
      <c r="C933" s="56"/>
      <c r="E933" s="56"/>
    </row>
    <row r="934">
      <c r="C934" s="56"/>
      <c r="E934" s="56"/>
    </row>
    <row r="935">
      <c r="C935" s="56"/>
      <c r="E935" s="56"/>
    </row>
    <row r="936">
      <c r="C936" s="56"/>
      <c r="E936" s="56"/>
    </row>
    <row r="937">
      <c r="C937" s="56"/>
      <c r="E937" s="56"/>
    </row>
    <row r="938">
      <c r="C938" s="56"/>
      <c r="E938" s="56"/>
    </row>
    <row r="939">
      <c r="C939" s="56"/>
      <c r="E939" s="56"/>
    </row>
    <row r="940">
      <c r="C940" s="56"/>
      <c r="E940" s="56"/>
    </row>
    <row r="941">
      <c r="C941" s="56"/>
      <c r="E941" s="56"/>
    </row>
    <row r="942">
      <c r="C942" s="56"/>
      <c r="E942" s="56"/>
    </row>
    <row r="943">
      <c r="C943" s="56"/>
      <c r="E943" s="56"/>
    </row>
    <row r="944">
      <c r="C944" s="56"/>
      <c r="E944" s="56"/>
    </row>
    <row r="945">
      <c r="C945" s="56"/>
      <c r="E945" s="56"/>
    </row>
    <row r="946">
      <c r="C946" s="56"/>
      <c r="E946" s="56"/>
    </row>
    <row r="947">
      <c r="C947" s="56"/>
      <c r="E947" s="56"/>
    </row>
    <row r="948">
      <c r="C948" s="56"/>
      <c r="E948" s="56"/>
    </row>
    <row r="949">
      <c r="C949" s="56"/>
      <c r="E949" s="56"/>
    </row>
    <row r="950">
      <c r="C950" s="56"/>
      <c r="E950" s="56"/>
    </row>
    <row r="951">
      <c r="C951" s="56"/>
      <c r="E951" s="56"/>
    </row>
    <row r="952">
      <c r="C952" s="56"/>
      <c r="E952" s="56"/>
    </row>
    <row r="953">
      <c r="C953" s="56"/>
      <c r="E953" s="56"/>
    </row>
    <row r="954">
      <c r="C954" s="56"/>
      <c r="E954" s="56"/>
    </row>
    <row r="955">
      <c r="C955" s="56"/>
      <c r="E955" s="56"/>
    </row>
    <row r="956">
      <c r="C956" s="56"/>
      <c r="E956" s="56"/>
    </row>
    <row r="957">
      <c r="C957" s="56"/>
      <c r="E957" s="56"/>
    </row>
    <row r="958">
      <c r="C958" s="56"/>
      <c r="E958" s="56"/>
    </row>
    <row r="959">
      <c r="C959" s="56"/>
      <c r="E959" s="56"/>
    </row>
    <row r="960">
      <c r="C960" s="56"/>
      <c r="E960" s="56"/>
    </row>
    <row r="961">
      <c r="C961" s="56"/>
      <c r="E961" s="56"/>
    </row>
    <row r="962">
      <c r="C962" s="56"/>
      <c r="E962" s="56"/>
    </row>
    <row r="963">
      <c r="C963" s="56"/>
      <c r="E963" s="56"/>
    </row>
    <row r="964">
      <c r="C964" s="56"/>
      <c r="E964" s="56"/>
    </row>
    <row r="965">
      <c r="C965" s="56"/>
      <c r="E965" s="56"/>
    </row>
    <row r="966">
      <c r="C966" s="56"/>
      <c r="E966" s="56"/>
    </row>
    <row r="967">
      <c r="C967" s="56"/>
      <c r="E967" s="56"/>
    </row>
    <row r="968">
      <c r="C968" s="56"/>
      <c r="E968" s="56"/>
    </row>
    <row r="969">
      <c r="C969" s="56"/>
      <c r="E969" s="56"/>
    </row>
    <row r="970">
      <c r="C970" s="56"/>
      <c r="E970" s="56"/>
    </row>
    <row r="971">
      <c r="C971" s="56"/>
      <c r="E971" s="56"/>
    </row>
    <row r="972">
      <c r="C972" s="56"/>
      <c r="E972" s="56"/>
    </row>
    <row r="973">
      <c r="C973" s="56"/>
      <c r="E973" s="56"/>
    </row>
    <row r="974">
      <c r="C974" s="56"/>
      <c r="E974" s="56"/>
    </row>
    <row r="975">
      <c r="C975" s="56"/>
      <c r="E975" s="56"/>
    </row>
    <row r="976">
      <c r="C976" s="56"/>
      <c r="E976" s="56"/>
    </row>
    <row r="977">
      <c r="C977" s="56"/>
      <c r="E977" s="56"/>
    </row>
    <row r="978">
      <c r="C978" s="56"/>
      <c r="E978" s="56"/>
    </row>
    <row r="979">
      <c r="C979" s="56"/>
      <c r="E979" s="56"/>
    </row>
    <row r="980">
      <c r="C980" s="56"/>
      <c r="E980" s="56"/>
    </row>
    <row r="981">
      <c r="C981" s="56"/>
      <c r="E981" s="56"/>
    </row>
    <row r="982">
      <c r="C982" s="56"/>
      <c r="E982" s="56"/>
    </row>
    <row r="983">
      <c r="C983" s="56"/>
      <c r="E983" s="56"/>
    </row>
    <row r="984">
      <c r="C984" s="56"/>
      <c r="E984" s="56"/>
    </row>
    <row r="985">
      <c r="C985" s="56"/>
      <c r="E985" s="56"/>
    </row>
    <row r="986">
      <c r="C986" s="56"/>
      <c r="E986" s="56"/>
    </row>
    <row r="987">
      <c r="C987" s="56"/>
      <c r="E987" s="56"/>
    </row>
    <row r="988">
      <c r="C988" s="56"/>
      <c r="E988" s="56"/>
    </row>
    <row r="989">
      <c r="C989" s="56"/>
      <c r="E989" s="56"/>
    </row>
    <row r="990">
      <c r="C990" s="56"/>
      <c r="E990" s="56"/>
    </row>
    <row r="991">
      <c r="C991" s="56"/>
      <c r="E991" s="56"/>
    </row>
    <row r="992">
      <c r="C992" s="56"/>
      <c r="E992" s="56"/>
    </row>
    <row r="993">
      <c r="C993" s="56"/>
      <c r="E993" s="56"/>
    </row>
    <row r="994">
      <c r="C994" s="56"/>
      <c r="E994" s="56"/>
    </row>
    <row r="995">
      <c r="C995" s="56"/>
      <c r="E995" s="56"/>
    </row>
    <row r="996">
      <c r="C996" s="56"/>
      <c r="E996" s="56"/>
    </row>
    <row r="997">
      <c r="C997" s="56"/>
      <c r="E997" s="56"/>
    </row>
    <row r="998">
      <c r="C998" s="56"/>
      <c r="E998" s="56"/>
    </row>
    <row r="999">
      <c r="C999" s="56"/>
      <c r="E999" s="56"/>
    </row>
    <row r="1000">
      <c r="C1000" s="56"/>
      <c r="E1000" s="56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7.63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6.0</v>
      </c>
      <c r="C2" s="71">
        <v>65.481</v>
      </c>
      <c r="D2" s="71">
        <v>100.0</v>
      </c>
      <c r="E2" s="87">
        <f t="shared" ref="E2:E9" si="1">C2/D2</f>
        <v>0.65481</v>
      </c>
      <c r="F2" s="72">
        <v>2.0</v>
      </c>
      <c r="G2" s="94">
        <v>50.25</v>
      </c>
      <c r="H2" s="95" t="s">
        <v>359</v>
      </c>
    </row>
    <row r="3">
      <c r="A3" s="38" t="s">
        <v>86</v>
      </c>
      <c r="B3" s="71">
        <v>11.0</v>
      </c>
      <c r="C3" s="96">
        <v>44.98</v>
      </c>
      <c r="D3" s="71">
        <v>67.5</v>
      </c>
      <c r="E3" s="87">
        <f t="shared" si="1"/>
        <v>0.6663703704</v>
      </c>
      <c r="F3" s="72">
        <v>0.0</v>
      </c>
      <c r="G3" s="97">
        <v>31.0</v>
      </c>
      <c r="H3" s="95" t="s">
        <v>360</v>
      </c>
    </row>
    <row r="4">
      <c r="A4" s="38" t="s">
        <v>88</v>
      </c>
      <c r="B4" s="71">
        <v>8.0</v>
      </c>
      <c r="C4" s="71">
        <f>56.325+3.795</f>
        <v>60.12</v>
      </c>
      <c r="D4" s="71">
        <v>65.0</v>
      </c>
      <c r="E4" s="87">
        <f t="shared" si="1"/>
        <v>0.9249230769</v>
      </c>
      <c r="F4" s="72">
        <v>0.0</v>
      </c>
      <c r="G4" s="97">
        <v>47.55</v>
      </c>
      <c r="H4" s="95" t="s">
        <v>361</v>
      </c>
    </row>
    <row r="5">
      <c r="A5" s="38" t="s">
        <v>90</v>
      </c>
      <c r="B5" s="71">
        <v>11.0</v>
      </c>
      <c r="C5" s="71">
        <v>73.316</v>
      </c>
      <c r="D5" s="71">
        <v>60.0</v>
      </c>
      <c r="E5" s="87">
        <f t="shared" si="1"/>
        <v>1.221933333</v>
      </c>
      <c r="F5" s="72">
        <v>0.0</v>
      </c>
      <c r="G5" s="94">
        <v>54.92</v>
      </c>
      <c r="H5" s="95" t="s">
        <v>362</v>
      </c>
    </row>
    <row r="6">
      <c r="A6" s="38" t="s">
        <v>91</v>
      </c>
      <c r="B6" s="71">
        <v>14.0</v>
      </c>
      <c r="C6" s="71">
        <v>93.569</v>
      </c>
      <c r="D6" s="71">
        <v>100.0</v>
      </c>
      <c r="E6" s="87">
        <f t="shared" si="1"/>
        <v>0.93569</v>
      </c>
      <c r="F6" s="72">
        <v>1.0</v>
      </c>
      <c r="G6" s="102">
        <v>77.9</v>
      </c>
      <c r="H6" s="95" t="s">
        <v>363</v>
      </c>
    </row>
    <row r="7">
      <c r="A7" s="38" t="s">
        <v>94</v>
      </c>
      <c r="B7" s="71">
        <v>2.0</v>
      </c>
      <c r="C7" s="71">
        <v>144.0</v>
      </c>
      <c r="D7" s="71">
        <v>100.0</v>
      </c>
      <c r="E7" s="87">
        <f t="shared" si="1"/>
        <v>1.44</v>
      </c>
      <c r="F7" s="72">
        <v>1.0</v>
      </c>
      <c r="G7" s="94">
        <v>86.53</v>
      </c>
      <c r="H7" s="95" t="s">
        <v>364</v>
      </c>
    </row>
    <row r="8">
      <c r="A8" s="7" t="s">
        <v>96</v>
      </c>
      <c r="B8" s="71">
        <v>9.0</v>
      </c>
      <c r="C8" s="79">
        <v>72.65</v>
      </c>
      <c r="D8" s="71">
        <v>80.0</v>
      </c>
      <c r="E8" s="87">
        <f t="shared" si="1"/>
        <v>0.908125</v>
      </c>
      <c r="F8" s="72">
        <v>1.0</v>
      </c>
      <c r="G8" s="94">
        <v>67.35</v>
      </c>
      <c r="H8" s="95" t="s">
        <v>365</v>
      </c>
    </row>
    <row r="9">
      <c r="C9" s="39">
        <f t="shared" ref="C9:D9" si="2">SUM(C2:C8)</f>
        <v>554.116</v>
      </c>
      <c r="D9" s="39">
        <f t="shared" si="2"/>
        <v>572.5</v>
      </c>
      <c r="E9" s="87">
        <f t="shared" si="1"/>
        <v>0.9678882096</v>
      </c>
      <c r="H9" s="56"/>
    </row>
    <row r="10">
      <c r="H10" s="56"/>
    </row>
    <row r="11">
      <c r="H11" s="56"/>
    </row>
    <row r="12">
      <c r="D12" s="94">
        <v>1.0</v>
      </c>
      <c r="E12" s="100" t="s">
        <v>90</v>
      </c>
      <c r="F12" s="94">
        <v>5.35</v>
      </c>
      <c r="H12" s="56"/>
    </row>
    <row r="13">
      <c r="D13" s="97">
        <v>2.0</v>
      </c>
      <c r="E13" s="100" t="s">
        <v>96</v>
      </c>
      <c r="F13" s="100">
        <v>4.56</v>
      </c>
      <c r="H13" s="56"/>
    </row>
    <row r="14">
      <c r="D14" s="97">
        <v>3.0</v>
      </c>
      <c r="E14" s="100" t="s">
        <v>94</v>
      </c>
      <c r="F14" s="100">
        <v>4.43</v>
      </c>
      <c r="H14" s="56"/>
    </row>
    <row r="15">
      <c r="D15" s="94">
        <v>4.0</v>
      </c>
      <c r="E15" s="100" t="s">
        <v>91</v>
      </c>
      <c r="F15" s="100">
        <v>4.29</v>
      </c>
      <c r="H15" s="56"/>
    </row>
    <row r="16">
      <c r="D16" s="94">
        <v>5.0</v>
      </c>
      <c r="E16" s="100" t="s">
        <v>88</v>
      </c>
      <c r="F16" s="100">
        <v>4.11</v>
      </c>
      <c r="H16" s="56"/>
    </row>
    <row r="17">
      <c r="D17" s="94">
        <v>6.0</v>
      </c>
      <c r="E17" s="100" t="s">
        <v>108</v>
      </c>
      <c r="F17" s="100">
        <v>3.84</v>
      </c>
      <c r="H17" s="56"/>
    </row>
    <row r="18">
      <c r="D18" s="94">
        <v>7.0</v>
      </c>
      <c r="E18" s="100" t="s">
        <v>85</v>
      </c>
      <c r="F18" s="100">
        <v>2.77</v>
      </c>
      <c r="H18" s="56"/>
    </row>
    <row r="19">
      <c r="H19" s="56"/>
    </row>
    <row r="20">
      <c r="H20" s="56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6.7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7.0</v>
      </c>
      <c r="C2" s="71">
        <v>30.195</v>
      </c>
      <c r="D2" s="71">
        <v>80.0</v>
      </c>
      <c r="E2" s="87">
        <f t="shared" ref="E2:E9" si="1">C2/D2</f>
        <v>0.3774375</v>
      </c>
      <c r="F2" s="72">
        <v>0.0</v>
      </c>
      <c r="G2" s="94">
        <v>29.0</v>
      </c>
      <c r="H2" s="95" t="s">
        <v>366</v>
      </c>
    </row>
    <row r="3">
      <c r="A3" s="38" t="s">
        <v>86</v>
      </c>
      <c r="B3" s="71">
        <v>3.0</v>
      </c>
      <c r="C3" s="96">
        <v>37.4</v>
      </c>
      <c r="D3" s="71">
        <v>45.0</v>
      </c>
      <c r="E3" s="87">
        <f t="shared" si="1"/>
        <v>0.8311111111</v>
      </c>
      <c r="F3" s="72">
        <v>0.0</v>
      </c>
      <c r="G3" s="97">
        <v>16.0</v>
      </c>
      <c r="H3" s="95" t="s">
        <v>367</v>
      </c>
    </row>
    <row r="4">
      <c r="A4" s="38" t="s">
        <v>88</v>
      </c>
      <c r="B4" s="71">
        <v>9.0</v>
      </c>
      <c r="C4" s="71">
        <v>46.732</v>
      </c>
      <c r="D4" s="71">
        <v>70.0</v>
      </c>
      <c r="E4" s="87">
        <f t="shared" si="1"/>
        <v>0.6676</v>
      </c>
      <c r="F4" s="72">
        <v>1.0</v>
      </c>
      <c r="G4" s="97">
        <v>52.7</v>
      </c>
      <c r="H4" s="95" t="s">
        <v>368</v>
      </c>
    </row>
    <row r="5">
      <c r="A5" s="38" t="s">
        <v>90</v>
      </c>
      <c r="B5" s="71">
        <v>9.0</v>
      </c>
      <c r="C5" s="71">
        <v>30.61</v>
      </c>
      <c r="D5" s="71">
        <v>52.5</v>
      </c>
      <c r="E5" s="87">
        <f t="shared" si="1"/>
        <v>0.583047619</v>
      </c>
      <c r="F5" s="72">
        <v>0.0</v>
      </c>
      <c r="G5" s="94">
        <v>8.18</v>
      </c>
      <c r="H5" s="95" t="s">
        <v>369</v>
      </c>
    </row>
    <row r="6">
      <c r="A6" s="38" t="s">
        <v>91</v>
      </c>
      <c r="B6" s="71">
        <v>12.0</v>
      </c>
      <c r="C6" s="71">
        <v>60.749</v>
      </c>
      <c r="D6" s="71">
        <v>80.0</v>
      </c>
      <c r="E6" s="87">
        <f t="shared" si="1"/>
        <v>0.7593625</v>
      </c>
      <c r="F6" s="72">
        <v>1.0</v>
      </c>
      <c r="G6" s="102">
        <v>53.4</v>
      </c>
      <c r="H6" s="95" t="s">
        <v>370</v>
      </c>
    </row>
    <row r="7">
      <c r="A7" s="38" t="s">
        <v>94</v>
      </c>
      <c r="B7" s="71">
        <v>2.0</v>
      </c>
      <c r="C7" s="71">
        <v>158.4</v>
      </c>
      <c r="D7" s="71">
        <v>80.0</v>
      </c>
      <c r="E7" s="87">
        <f t="shared" si="1"/>
        <v>1.98</v>
      </c>
      <c r="F7" s="72">
        <v>0.0</v>
      </c>
      <c r="G7" s="94">
        <v>90.0</v>
      </c>
      <c r="H7" s="95" t="s">
        <v>371</v>
      </c>
    </row>
    <row r="8">
      <c r="A8" s="7" t="s">
        <v>96</v>
      </c>
      <c r="B8" s="71">
        <v>6.0</v>
      </c>
      <c r="C8" s="79">
        <v>60.391</v>
      </c>
      <c r="D8" s="71">
        <v>64.0</v>
      </c>
      <c r="E8" s="87">
        <f t="shared" si="1"/>
        <v>0.943609375</v>
      </c>
      <c r="F8" s="72">
        <v>0.0</v>
      </c>
      <c r="G8" s="94">
        <v>39.88</v>
      </c>
      <c r="H8" s="95" t="s">
        <v>372</v>
      </c>
    </row>
    <row r="9">
      <c r="C9" s="39">
        <f t="shared" ref="C9:D9" si="2">SUM(C2:C8)</f>
        <v>424.477</v>
      </c>
      <c r="D9" s="39">
        <f t="shared" si="2"/>
        <v>471.5</v>
      </c>
      <c r="E9" s="87">
        <f t="shared" si="1"/>
        <v>0.9002693531</v>
      </c>
      <c r="H9" s="56"/>
    </row>
    <row r="10">
      <c r="H10" s="56"/>
    </row>
    <row r="11">
      <c r="H11" s="56"/>
    </row>
    <row r="12">
      <c r="D12" s="94">
        <v>1.0</v>
      </c>
      <c r="E12" s="100" t="s">
        <v>94</v>
      </c>
      <c r="F12" s="94">
        <v>4.95</v>
      </c>
      <c r="H12" s="56"/>
    </row>
    <row r="13">
      <c r="D13" s="97">
        <v>2.0</v>
      </c>
      <c r="E13" s="100" t="s">
        <v>108</v>
      </c>
      <c r="F13" s="100">
        <v>4.28</v>
      </c>
      <c r="H13" s="56"/>
    </row>
    <row r="14">
      <c r="D14" s="97">
        <v>3.0</v>
      </c>
      <c r="E14" s="100" t="s">
        <v>96</v>
      </c>
      <c r="F14" s="100">
        <v>4.05</v>
      </c>
      <c r="H14" s="56"/>
    </row>
    <row r="15">
      <c r="D15" s="94">
        <v>4.0</v>
      </c>
      <c r="E15" s="100" t="s">
        <v>373</v>
      </c>
      <c r="F15" s="100">
        <v>3.4</v>
      </c>
      <c r="H15" s="56"/>
    </row>
    <row r="16">
      <c r="D16" s="94">
        <v>5.0</v>
      </c>
      <c r="E16" s="100" t="s">
        <v>91</v>
      </c>
      <c r="F16" s="100">
        <v>3.39</v>
      </c>
      <c r="H16" s="56"/>
    </row>
    <row r="17">
      <c r="D17" s="94">
        <v>6.0</v>
      </c>
      <c r="E17" s="100" t="s">
        <v>88</v>
      </c>
      <c r="F17" s="100">
        <v>3.28</v>
      </c>
      <c r="H17" s="56"/>
    </row>
    <row r="18">
      <c r="D18" s="94">
        <v>7.0</v>
      </c>
      <c r="E18" s="100" t="s">
        <v>374</v>
      </c>
      <c r="F18" s="100">
        <v>2.69</v>
      </c>
      <c r="H18" s="56"/>
    </row>
    <row r="19">
      <c r="H19" s="56"/>
    </row>
    <row r="20">
      <c r="H20" s="56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.0"/>
    <col customWidth="1" min="7" max="7" width="9.13"/>
    <col customWidth="1" min="8" max="8" width="94.0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9.0</v>
      </c>
      <c r="C2" s="71">
        <v>77.221</v>
      </c>
      <c r="D2" s="71">
        <v>100.0</v>
      </c>
      <c r="E2" s="87">
        <f t="shared" ref="E2:E9" si="1">C2/D2</f>
        <v>0.77221</v>
      </c>
      <c r="F2" s="72">
        <v>3.0</v>
      </c>
      <c r="G2" s="94">
        <v>74.17</v>
      </c>
      <c r="H2" s="95" t="s">
        <v>375</v>
      </c>
    </row>
    <row r="3">
      <c r="A3" s="38" t="s">
        <v>86</v>
      </c>
      <c r="B3" s="71">
        <v>6.0</v>
      </c>
      <c r="C3" s="96">
        <v>76.664</v>
      </c>
      <c r="D3" s="71">
        <v>75.0</v>
      </c>
      <c r="E3" s="87">
        <f t="shared" si="1"/>
        <v>1.022186667</v>
      </c>
      <c r="F3" s="72">
        <v>2.0</v>
      </c>
      <c r="G3" s="97">
        <v>81.0</v>
      </c>
      <c r="H3" s="95" t="s">
        <v>376</v>
      </c>
    </row>
    <row r="4">
      <c r="A4" s="38" t="s">
        <v>88</v>
      </c>
      <c r="B4" s="71">
        <v>7.0</v>
      </c>
      <c r="C4" s="71">
        <v>72.735</v>
      </c>
      <c r="D4" s="71">
        <v>95.0</v>
      </c>
      <c r="E4" s="87">
        <f t="shared" si="1"/>
        <v>0.7656315789</v>
      </c>
      <c r="F4" s="72">
        <v>2.0</v>
      </c>
      <c r="G4" s="97">
        <v>61.63</v>
      </c>
      <c r="H4" s="95" t="s">
        <v>377</v>
      </c>
    </row>
    <row r="5">
      <c r="A5" s="38" t="s">
        <v>90</v>
      </c>
      <c r="B5" s="71">
        <v>13.0</v>
      </c>
      <c r="C5" s="71">
        <v>111.917</v>
      </c>
      <c r="D5" s="71">
        <v>75.0</v>
      </c>
      <c r="E5" s="87">
        <f t="shared" si="1"/>
        <v>1.492226667</v>
      </c>
      <c r="F5" s="72">
        <v>0.0</v>
      </c>
      <c r="G5" s="94">
        <v>71.2</v>
      </c>
      <c r="H5" s="95" t="s">
        <v>378</v>
      </c>
    </row>
    <row r="6">
      <c r="A6" s="38" t="s">
        <v>91</v>
      </c>
      <c r="B6" s="71">
        <v>26.0</v>
      </c>
      <c r="C6" s="71">
        <f>91.544-14</f>
        <v>77.544</v>
      </c>
      <c r="D6" s="71">
        <v>100.0</v>
      </c>
      <c r="E6" s="87">
        <f t="shared" si="1"/>
        <v>0.77544</v>
      </c>
      <c r="F6" s="72">
        <v>4.0</v>
      </c>
      <c r="G6" s="102">
        <v>72.0</v>
      </c>
      <c r="H6" s="95" t="s">
        <v>379</v>
      </c>
    </row>
    <row r="7">
      <c r="A7" s="38" t="s">
        <v>94</v>
      </c>
      <c r="B7" s="71">
        <v>3.0</v>
      </c>
      <c r="C7" s="71">
        <v>107.4</v>
      </c>
      <c r="D7" s="71">
        <v>100.0</v>
      </c>
      <c r="E7" s="87">
        <f t="shared" si="1"/>
        <v>1.074</v>
      </c>
      <c r="F7" s="72">
        <v>2.0</v>
      </c>
      <c r="G7" s="94">
        <v>109.87</v>
      </c>
      <c r="H7" s="95" t="s">
        <v>380</v>
      </c>
    </row>
    <row r="8">
      <c r="A8" s="7" t="s">
        <v>96</v>
      </c>
      <c r="B8" s="71">
        <v>3.0</v>
      </c>
      <c r="C8" s="79">
        <v>67.66</v>
      </c>
      <c r="D8" s="71">
        <v>80.0</v>
      </c>
      <c r="E8" s="87">
        <f t="shared" si="1"/>
        <v>0.84575</v>
      </c>
      <c r="F8" s="72">
        <v>0.0</v>
      </c>
      <c r="G8" s="94">
        <f>61.03+45.7</f>
        <v>106.73</v>
      </c>
      <c r="H8" s="95" t="s">
        <v>381</v>
      </c>
    </row>
    <row r="9">
      <c r="C9" s="39">
        <f t="shared" ref="C9:D9" si="2">SUM(C2:C8)</f>
        <v>591.141</v>
      </c>
      <c r="D9" s="39">
        <f t="shared" si="2"/>
        <v>625</v>
      </c>
      <c r="E9" s="87">
        <f t="shared" si="1"/>
        <v>0.9458256</v>
      </c>
      <c r="H9" s="56"/>
    </row>
    <row r="10">
      <c r="H10" s="56"/>
    </row>
    <row r="11">
      <c r="H11" s="56"/>
    </row>
    <row r="12">
      <c r="D12" s="94">
        <v>1.0</v>
      </c>
      <c r="E12" s="100" t="s">
        <v>90</v>
      </c>
      <c r="F12" s="94">
        <v>5.52</v>
      </c>
      <c r="H12" s="56"/>
    </row>
    <row r="13">
      <c r="D13" s="97">
        <v>2.0</v>
      </c>
      <c r="E13" s="100" t="s">
        <v>96</v>
      </c>
      <c r="F13" s="100">
        <v>4.38</v>
      </c>
      <c r="H13" s="56"/>
    </row>
    <row r="14">
      <c r="D14" s="97">
        <v>3.0</v>
      </c>
      <c r="E14" s="100" t="s">
        <v>108</v>
      </c>
      <c r="F14" s="100">
        <v>4.15</v>
      </c>
      <c r="H14" s="56"/>
    </row>
    <row r="15">
      <c r="D15" s="94">
        <v>4.0</v>
      </c>
      <c r="E15" s="100" t="s">
        <v>94</v>
      </c>
      <c r="F15" s="100">
        <v>3.8</v>
      </c>
      <c r="H15" s="56"/>
    </row>
    <row r="16">
      <c r="D16" s="94">
        <v>5.0</v>
      </c>
      <c r="E16" s="100" t="s">
        <v>91</v>
      </c>
      <c r="F16" s="100">
        <v>3.2</v>
      </c>
      <c r="H16" s="56"/>
    </row>
    <row r="17">
      <c r="D17" s="94">
        <v>6.0</v>
      </c>
      <c r="E17" s="100" t="s">
        <v>88</v>
      </c>
      <c r="F17" s="100">
        <v>2.96</v>
      </c>
      <c r="H17" s="56"/>
    </row>
    <row r="18">
      <c r="D18" s="94">
        <v>7.0</v>
      </c>
      <c r="E18" s="100" t="s">
        <v>85</v>
      </c>
      <c r="F18" s="100">
        <v>2.83</v>
      </c>
      <c r="H18" s="56"/>
    </row>
    <row r="19">
      <c r="H19" s="56"/>
    </row>
    <row r="20">
      <c r="H20" s="56"/>
    </row>
    <row r="21">
      <c r="H21" s="56"/>
    </row>
    <row r="22">
      <c r="H22" s="56"/>
    </row>
    <row r="23">
      <c r="H23" s="56"/>
    </row>
    <row r="24">
      <c r="H24" s="56"/>
    </row>
    <row r="25">
      <c r="H25" s="56"/>
    </row>
    <row r="26">
      <c r="H26" s="56"/>
    </row>
    <row r="27">
      <c r="H27" s="56"/>
    </row>
    <row r="28">
      <c r="H28" s="56"/>
    </row>
    <row r="29">
      <c r="H29" s="56"/>
    </row>
    <row r="30">
      <c r="H30" s="56"/>
    </row>
    <row r="31">
      <c r="H31" s="56"/>
    </row>
    <row r="32">
      <c r="H32" s="56"/>
    </row>
    <row r="33">
      <c r="H33" s="56"/>
    </row>
    <row r="34">
      <c r="H34" s="56"/>
    </row>
    <row r="35">
      <c r="H35" s="56"/>
    </row>
    <row r="36">
      <c r="H36" s="56"/>
    </row>
    <row r="37">
      <c r="H37" s="56"/>
    </row>
    <row r="38">
      <c r="H38" s="56"/>
    </row>
    <row r="39">
      <c r="H39" s="56"/>
    </row>
    <row r="40">
      <c r="H40" s="56"/>
    </row>
    <row r="41">
      <c r="H41" s="56"/>
    </row>
    <row r="42">
      <c r="H42" s="56"/>
    </row>
    <row r="43">
      <c r="H43" s="56"/>
    </row>
    <row r="44">
      <c r="H44" s="56"/>
    </row>
    <row r="45">
      <c r="H45" s="56"/>
    </row>
    <row r="46">
      <c r="H46" s="56"/>
    </row>
    <row r="47">
      <c r="H47" s="56"/>
    </row>
    <row r="48">
      <c r="H48" s="56"/>
    </row>
    <row r="49">
      <c r="H49" s="56"/>
    </row>
    <row r="50">
      <c r="H50" s="56"/>
    </row>
    <row r="51">
      <c r="H51" s="56"/>
    </row>
    <row r="52">
      <c r="H52" s="56"/>
    </row>
    <row r="53">
      <c r="H53" s="56"/>
    </row>
    <row r="54">
      <c r="H54" s="56"/>
    </row>
    <row r="55">
      <c r="H55" s="56"/>
    </row>
    <row r="56">
      <c r="H56" s="56"/>
    </row>
    <row r="57">
      <c r="H57" s="56"/>
    </row>
    <row r="58">
      <c r="H58" s="56"/>
    </row>
    <row r="59">
      <c r="H59" s="56"/>
    </row>
    <row r="60">
      <c r="H60" s="56"/>
    </row>
    <row r="61">
      <c r="H61" s="56"/>
    </row>
    <row r="62">
      <c r="H62" s="56"/>
    </row>
    <row r="63">
      <c r="H63" s="56"/>
    </row>
    <row r="64">
      <c r="H64" s="56"/>
    </row>
    <row r="65">
      <c r="H65" s="56"/>
    </row>
    <row r="66">
      <c r="H66" s="56"/>
    </row>
    <row r="67">
      <c r="H67" s="56"/>
    </row>
    <row r="68">
      <c r="H68" s="56"/>
    </row>
    <row r="69">
      <c r="H69" s="56"/>
    </row>
    <row r="70">
      <c r="H70" s="56"/>
    </row>
    <row r="71">
      <c r="H71" s="56"/>
    </row>
    <row r="72">
      <c r="H72" s="56"/>
    </row>
    <row r="73">
      <c r="H73" s="56"/>
    </row>
    <row r="74">
      <c r="H74" s="56"/>
    </row>
    <row r="75">
      <c r="H75" s="56"/>
    </row>
    <row r="76">
      <c r="H76" s="56"/>
    </row>
    <row r="77">
      <c r="H77" s="56"/>
    </row>
    <row r="78">
      <c r="H78" s="56"/>
    </row>
    <row r="79">
      <c r="H79" s="56"/>
    </row>
    <row r="80">
      <c r="H80" s="56"/>
    </row>
    <row r="81">
      <c r="H81" s="56"/>
    </row>
    <row r="82">
      <c r="H82" s="56"/>
    </row>
    <row r="83">
      <c r="H83" s="56"/>
    </row>
    <row r="84">
      <c r="H84" s="56"/>
    </row>
    <row r="85">
      <c r="H85" s="56"/>
    </row>
    <row r="86">
      <c r="H86" s="56"/>
    </row>
    <row r="87">
      <c r="H87" s="56"/>
    </row>
    <row r="88">
      <c r="H88" s="56"/>
    </row>
    <row r="89">
      <c r="H89" s="56"/>
    </row>
    <row r="90">
      <c r="H90" s="56"/>
    </row>
    <row r="91">
      <c r="H91" s="56"/>
    </row>
    <row r="92">
      <c r="H92" s="56"/>
    </row>
    <row r="93">
      <c r="H93" s="56"/>
    </row>
    <row r="94">
      <c r="H94" s="56"/>
    </row>
    <row r="95">
      <c r="H95" s="56"/>
    </row>
    <row r="96">
      <c r="H96" s="56"/>
    </row>
    <row r="97">
      <c r="H97" s="56"/>
    </row>
    <row r="98">
      <c r="H98" s="56"/>
    </row>
    <row r="99">
      <c r="H99" s="56"/>
    </row>
    <row r="100">
      <c r="H100" s="56"/>
    </row>
    <row r="101">
      <c r="H101" s="56"/>
    </row>
    <row r="102">
      <c r="H102" s="56"/>
    </row>
    <row r="103">
      <c r="H103" s="56"/>
    </row>
    <row r="104">
      <c r="H104" s="56"/>
    </row>
    <row r="105">
      <c r="H105" s="56"/>
    </row>
    <row r="106">
      <c r="H106" s="56"/>
    </row>
    <row r="107">
      <c r="H107" s="56"/>
    </row>
    <row r="108">
      <c r="H108" s="56"/>
    </row>
    <row r="109">
      <c r="H109" s="56"/>
    </row>
    <row r="110">
      <c r="H110" s="56"/>
    </row>
    <row r="111">
      <c r="H111" s="56"/>
    </row>
    <row r="112">
      <c r="H112" s="56"/>
    </row>
    <row r="113">
      <c r="H113" s="56"/>
    </row>
    <row r="114">
      <c r="H114" s="56"/>
    </row>
    <row r="115">
      <c r="H115" s="56"/>
    </row>
    <row r="116">
      <c r="H116" s="56"/>
    </row>
    <row r="117">
      <c r="H117" s="56"/>
    </row>
    <row r="118">
      <c r="H118" s="56"/>
    </row>
    <row r="119">
      <c r="H119" s="56"/>
    </row>
    <row r="120">
      <c r="H120" s="56"/>
    </row>
    <row r="121">
      <c r="H121" s="56"/>
    </row>
    <row r="122">
      <c r="H122" s="56"/>
    </row>
    <row r="123">
      <c r="H123" s="56"/>
    </row>
    <row r="124">
      <c r="H124" s="56"/>
    </row>
    <row r="125">
      <c r="H125" s="56"/>
    </row>
    <row r="126">
      <c r="H126" s="56"/>
    </row>
    <row r="127">
      <c r="H127" s="56"/>
    </row>
    <row r="128">
      <c r="H128" s="56"/>
    </row>
    <row r="129">
      <c r="H129" s="56"/>
    </row>
    <row r="130">
      <c r="H130" s="56"/>
    </row>
    <row r="131">
      <c r="H131" s="56"/>
    </row>
    <row r="132">
      <c r="H132" s="56"/>
    </row>
    <row r="133">
      <c r="H133" s="56"/>
    </row>
    <row r="134">
      <c r="H134" s="56"/>
    </row>
    <row r="135">
      <c r="H135" s="56"/>
    </row>
    <row r="136">
      <c r="H136" s="56"/>
    </row>
    <row r="137">
      <c r="H137" s="56"/>
    </row>
    <row r="138">
      <c r="H138" s="56"/>
    </row>
    <row r="139">
      <c r="H139" s="56"/>
    </row>
    <row r="140">
      <c r="H140" s="56"/>
    </row>
    <row r="141">
      <c r="H141" s="56"/>
    </row>
    <row r="142">
      <c r="H142" s="56"/>
    </row>
    <row r="143">
      <c r="H143" s="56"/>
    </row>
    <row r="144">
      <c r="H144" s="56"/>
    </row>
    <row r="145">
      <c r="H145" s="56"/>
    </row>
    <row r="146">
      <c r="H146" s="56"/>
    </row>
    <row r="147">
      <c r="H147" s="56"/>
    </row>
    <row r="148">
      <c r="H148" s="56"/>
    </row>
    <row r="149">
      <c r="H149" s="56"/>
    </row>
    <row r="150">
      <c r="H150" s="56"/>
    </row>
    <row r="151">
      <c r="H151" s="56"/>
    </row>
    <row r="152">
      <c r="H152" s="56"/>
    </row>
    <row r="153">
      <c r="H153" s="56"/>
    </row>
    <row r="154">
      <c r="H154" s="56"/>
    </row>
    <row r="155">
      <c r="H155" s="56"/>
    </row>
    <row r="156">
      <c r="H156" s="56"/>
    </row>
    <row r="157">
      <c r="H157" s="56"/>
    </row>
    <row r="158">
      <c r="H158" s="56"/>
    </row>
    <row r="159">
      <c r="H159" s="56"/>
    </row>
    <row r="160">
      <c r="H160" s="56"/>
    </row>
    <row r="161">
      <c r="H161" s="56"/>
    </row>
    <row r="162">
      <c r="H162" s="56"/>
    </row>
    <row r="163">
      <c r="H163" s="56"/>
    </row>
    <row r="164">
      <c r="H164" s="56"/>
    </row>
    <row r="165">
      <c r="H165" s="56"/>
    </row>
    <row r="166">
      <c r="H166" s="56"/>
    </row>
    <row r="167">
      <c r="H167" s="56"/>
    </row>
    <row r="168">
      <c r="H168" s="56"/>
    </row>
    <row r="169">
      <c r="H169" s="56"/>
    </row>
    <row r="170">
      <c r="H170" s="56"/>
    </row>
    <row r="171">
      <c r="H171" s="56"/>
    </row>
    <row r="172">
      <c r="H172" s="56"/>
    </row>
    <row r="173">
      <c r="H173" s="56"/>
    </row>
    <row r="174">
      <c r="H174" s="56"/>
    </row>
    <row r="175">
      <c r="H175" s="56"/>
    </row>
    <row r="176">
      <c r="H176" s="56"/>
    </row>
    <row r="177">
      <c r="H177" s="56"/>
    </row>
    <row r="178">
      <c r="H178" s="56"/>
    </row>
    <row r="179">
      <c r="H179" s="56"/>
    </row>
    <row r="180">
      <c r="H180" s="56"/>
    </row>
    <row r="181">
      <c r="H181" s="56"/>
    </row>
    <row r="182">
      <c r="H182" s="56"/>
    </row>
    <row r="183">
      <c r="H183" s="56"/>
    </row>
    <row r="184">
      <c r="H184" s="56"/>
    </row>
    <row r="185">
      <c r="H185" s="56"/>
    </row>
    <row r="186">
      <c r="H186" s="56"/>
    </row>
    <row r="187">
      <c r="H187" s="56"/>
    </row>
    <row r="188">
      <c r="H188" s="56"/>
    </row>
    <row r="189">
      <c r="H189" s="56"/>
    </row>
    <row r="190">
      <c r="H190" s="56"/>
    </row>
    <row r="191">
      <c r="H191" s="56"/>
    </row>
    <row r="192">
      <c r="H192" s="56"/>
    </row>
    <row r="193">
      <c r="H193" s="56"/>
    </row>
    <row r="194">
      <c r="H194" s="56"/>
    </row>
    <row r="195">
      <c r="H195" s="56"/>
    </row>
    <row r="196">
      <c r="H196" s="56"/>
    </row>
    <row r="197">
      <c r="H197" s="56"/>
    </row>
    <row r="198">
      <c r="H198" s="56"/>
    </row>
    <row r="199">
      <c r="H199" s="56"/>
    </row>
    <row r="200">
      <c r="H200" s="56"/>
    </row>
    <row r="201">
      <c r="H201" s="56"/>
    </row>
    <row r="202">
      <c r="H202" s="56"/>
    </row>
    <row r="203">
      <c r="H203" s="56"/>
    </row>
    <row r="204">
      <c r="H204" s="56"/>
    </row>
    <row r="205">
      <c r="H205" s="56"/>
    </row>
    <row r="206">
      <c r="H206" s="56"/>
    </row>
    <row r="207">
      <c r="H207" s="56"/>
    </row>
    <row r="208">
      <c r="H208" s="56"/>
    </row>
    <row r="209">
      <c r="H209" s="56"/>
    </row>
    <row r="210">
      <c r="H210" s="56"/>
    </row>
    <row r="211">
      <c r="H211" s="56"/>
    </row>
    <row r="212">
      <c r="H212" s="56"/>
    </row>
    <row r="213">
      <c r="H213" s="56"/>
    </row>
    <row r="214">
      <c r="H214" s="56"/>
    </row>
    <row r="215">
      <c r="H215" s="56"/>
    </row>
    <row r="216">
      <c r="H216" s="56"/>
    </row>
    <row r="217">
      <c r="H217" s="56"/>
    </row>
    <row r="218">
      <c r="H218" s="56"/>
    </row>
    <row r="219">
      <c r="H219" s="56"/>
    </row>
    <row r="220">
      <c r="H220" s="56"/>
    </row>
    <row r="221">
      <c r="H221" s="56"/>
    </row>
    <row r="222">
      <c r="H222" s="56"/>
    </row>
    <row r="223">
      <c r="H223" s="56"/>
    </row>
    <row r="224">
      <c r="H224" s="56"/>
    </row>
    <row r="225">
      <c r="H225" s="56"/>
    </row>
    <row r="226">
      <c r="H226" s="56"/>
    </row>
    <row r="227">
      <c r="H227" s="56"/>
    </row>
    <row r="228">
      <c r="H228" s="56"/>
    </row>
    <row r="229">
      <c r="H229" s="56"/>
    </row>
    <row r="230">
      <c r="H230" s="56"/>
    </row>
    <row r="231">
      <c r="H231" s="56"/>
    </row>
    <row r="232">
      <c r="H232" s="56"/>
    </row>
    <row r="233">
      <c r="H233" s="56"/>
    </row>
    <row r="234">
      <c r="H234" s="56"/>
    </row>
    <row r="235">
      <c r="H235" s="56"/>
    </row>
    <row r="236">
      <c r="H236" s="56"/>
    </row>
    <row r="237">
      <c r="H237" s="56"/>
    </row>
    <row r="238">
      <c r="H238" s="56"/>
    </row>
    <row r="239">
      <c r="H239" s="56"/>
    </row>
    <row r="240">
      <c r="H240" s="56"/>
    </row>
    <row r="241">
      <c r="H241" s="56"/>
    </row>
    <row r="242">
      <c r="H242" s="56"/>
    </row>
    <row r="243">
      <c r="H243" s="56"/>
    </row>
    <row r="244">
      <c r="H244" s="56"/>
    </row>
    <row r="245">
      <c r="H245" s="56"/>
    </row>
    <row r="246">
      <c r="H246" s="56"/>
    </row>
    <row r="247">
      <c r="H247" s="56"/>
    </row>
    <row r="248">
      <c r="H248" s="56"/>
    </row>
    <row r="249">
      <c r="H249" s="56"/>
    </row>
    <row r="250">
      <c r="H250" s="56"/>
    </row>
    <row r="251">
      <c r="H251" s="56"/>
    </row>
    <row r="252">
      <c r="H252" s="56"/>
    </row>
    <row r="253">
      <c r="H253" s="56"/>
    </row>
    <row r="254">
      <c r="H254" s="56"/>
    </row>
    <row r="255">
      <c r="H255" s="56"/>
    </row>
    <row r="256">
      <c r="H256" s="56"/>
    </row>
    <row r="257">
      <c r="H257" s="56"/>
    </row>
    <row r="258">
      <c r="H258" s="56"/>
    </row>
    <row r="259">
      <c r="H259" s="56"/>
    </row>
    <row r="260">
      <c r="H260" s="56"/>
    </row>
    <row r="261">
      <c r="H261" s="56"/>
    </row>
    <row r="262">
      <c r="H262" s="56"/>
    </row>
    <row r="263">
      <c r="H263" s="56"/>
    </row>
    <row r="264">
      <c r="H264" s="56"/>
    </row>
    <row r="265">
      <c r="H265" s="56"/>
    </row>
    <row r="266">
      <c r="H266" s="56"/>
    </row>
    <row r="267">
      <c r="H267" s="56"/>
    </row>
    <row r="268">
      <c r="H268" s="56"/>
    </row>
    <row r="269">
      <c r="H269" s="56"/>
    </row>
    <row r="270">
      <c r="H270" s="56"/>
    </row>
    <row r="271">
      <c r="H271" s="56"/>
    </row>
    <row r="272">
      <c r="H272" s="56"/>
    </row>
    <row r="273">
      <c r="H273" s="56"/>
    </row>
    <row r="274">
      <c r="H274" s="56"/>
    </row>
    <row r="275">
      <c r="H275" s="56"/>
    </row>
    <row r="276">
      <c r="H276" s="56"/>
    </row>
    <row r="277">
      <c r="H277" s="56"/>
    </row>
    <row r="278">
      <c r="H278" s="56"/>
    </row>
    <row r="279">
      <c r="H279" s="56"/>
    </row>
    <row r="280">
      <c r="H280" s="56"/>
    </row>
    <row r="281">
      <c r="H281" s="56"/>
    </row>
    <row r="282">
      <c r="H282" s="56"/>
    </row>
    <row r="283">
      <c r="H283" s="56"/>
    </row>
    <row r="284">
      <c r="H284" s="56"/>
    </row>
    <row r="285">
      <c r="H285" s="56"/>
    </row>
    <row r="286">
      <c r="H286" s="56"/>
    </row>
    <row r="287">
      <c r="H287" s="56"/>
    </row>
    <row r="288">
      <c r="H288" s="56"/>
    </row>
    <row r="289">
      <c r="H289" s="56"/>
    </row>
    <row r="290">
      <c r="H290" s="56"/>
    </row>
    <row r="291">
      <c r="H291" s="56"/>
    </row>
    <row r="292">
      <c r="H292" s="56"/>
    </row>
    <row r="293">
      <c r="H293" s="56"/>
    </row>
    <row r="294">
      <c r="H294" s="56"/>
    </row>
    <row r="295">
      <c r="H295" s="56"/>
    </row>
    <row r="296">
      <c r="H296" s="56"/>
    </row>
    <row r="297">
      <c r="H297" s="56"/>
    </row>
    <row r="298">
      <c r="H298" s="56"/>
    </row>
    <row r="299">
      <c r="H299" s="56"/>
    </row>
    <row r="300">
      <c r="H300" s="56"/>
    </row>
    <row r="301">
      <c r="H301" s="56"/>
    </row>
    <row r="302">
      <c r="H302" s="56"/>
    </row>
    <row r="303">
      <c r="H303" s="56"/>
    </row>
    <row r="304">
      <c r="H304" s="56"/>
    </row>
    <row r="305">
      <c r="H305" s="56"/>
    </row>
    <row r="306">
      <c r="H306" s="56"/>
    </row>
    <row r="307">
      <c r="H307" s="56"/>
    </row>
    <row r="308">
      <c r="H308" s="56"/>
    </row>
    <row r="309">
      <c r="H309" s="56"/>
    </row>
    <row r="310">
      <c r="H310" s="56"/>
    </row>
    <row r="311">
      <c r="H311" s="56"/>
    </row>
    <row r="312">
      <c r="H312" s="56"/>
    </row>
    <row r="313">
      <c r="H313" s="56"/>
    </row>
    <row r="314">
      <c r="H314" s="56"/>
    </row>
    <row r="315">
      <c r="H315" s="56"/>
    </row>
    <row r="316">
      <c r="H316" s="56"/>
    </row>
    <row r="317">
      <c r="H317" s="56"/>
    </row>
    <row r="318">
      <c r="H318" s="56"/>
    </row>
    <row r="319">
      <c r="H319" s="56"/>
    </row>
    <row r="320">
      <c r="H320" s="56"/>
    </row>
    <row r="321">
      <c r="H321" s="56"/>
    </row>
    <row r="322">
      <c r="H322" s="56"/>
    </row>
    <row r="323">
      <c r="H323" s="56"/>
    </row>
    <row r="324">
      <c r="H324" s="56"/>
    </row>
    <row r="325">
      <c r="H325" s="56"/>
    </row>
    <row r="326">
      <c r="H326" s="56"/>
    </row>
    <row r="327">
      <c r="H327" s="56"/>
    </row>
    <row r="328">
      <c r="H328" s="56"/>
    </row>
    <row r="329">
      <c r="H329" s="56"/>
    </row>
    <row r="330">
      <c r="H330" s="56"/>
    </row>
    <row r="331">
      <c r="H331" s="56"/>
    </row>
    <row r="332">
      <c r="H332" s="56"/>
    </row>
    <row r="333">
      <c r="H333" s="56"/>
    </row>
    <row r="334">
      <c r="H334" s="56"/>
    </row>
    <row r="335">
      <c r="H335" s="56"/>
    </row>
    <row r="336">
      <c r="H336" s="56"/>
    </row>
    <row r="337">
      <c r="H337" s="56"/>
    </row>
    <row r="338">
      <c r="H338" s="56"/>
    </row>
    <row r="339">
      <c r="H339" s="56"/>
    </row>
    <row r="340">
      <c r="H340" s="56"/>
    </row>
    <row r="341">
      <c r="H341" s="56"/>
    </row>
    <row r="342">
      <c r="H342" s="56"/>
    </row>
    <row r="343">
      <c r="H343" s="56"/>
    </row>
    <row r="344">
      <c r="H344" s="56"/>
    </row>
    <row r="345">
      <c r="H345" s="56"/>
    </row>
    <row r="346">
      <c r="H346" s="56"/>
    </row>
    <row r="347">
      <c r="H347" s="56"/>
    </row>
    <row r="348">
      <c r="H348" s="56"/>
    </row>
    <row r="349">
      <c r="H349" s="56"/>
    </row>
    <row r="350">
      <c r="H350" s="56"/>
    </row>
    <row r="351">
      <c r="H351" s="56"/>
    </row>
    <row r="352">
      <c r="H352" s="56"/>
    </row>
    <row r="353">
      <c r="H353" s="56"/>
    </row>
    <row r="354">
      <c r="H354" s="56"/>
    </row>
    <row r="355">
      <c r="H355" s="56"/>
    </row>
    <row r="356">
      <c r="H356" s="56"/>
    </row>
    <row r="357">
      <c r="H357" s="56"/>
    </row>
    <row r="358">
      <c r="H358" s="56"/>
    </row>
    <row r="359">
      <c r="H359" s="56"/>
    </row>
    <row r="360">
      <c r="H360" s="56"/>
    </row>
    <row r="361">
      <c r="H361" s="56"/>
    </row>
    <row r="362">
      <c r="H362" s="56"/>
    </row>
    <row r="363">
      <c r="H363" s="56"/>
    </row>
    <row r="364">
      <c r="H364" s="56"/>
    </row>
    <row r="365">
      <c r="H365" s="56"/>
    </row>
    <row r="366">
      <c r="H366" s="56"/>
    </row>
    <row r="367">
      <c r="H367" s="56"/>
    </row>
    <row r="368">
      <c r="H368" s="56"/>
    </row>
    <row r="369">
      <c r="H369" s="56"/>
    </row>
    <row r="370">
      <c r="H370" s="56"/>
    </row>
    <row r="371">
      <c r="H371" s="56"/>
    </row>
    <row r="372">
      <c r="H372" s="56"/>
    </row>
    <row r="373">
      <c r="H373" s="56"/>
    </row>
    <row r="374">
      <c r="H374" s="56"/>
    </row>
    <row r="375">
      <c r="H375" s="56"/>
    </row>
    <row r="376">
      <c r="H376" s="56"/>
    </row>
    <row r="377">
      <c r="H377" s="56"/>
    </row>
    <row r="378">
      <c r="H378" s="56"/>
    </row>
    <row r="379">
      <c r="H379" s="56"/>
    </row>
    <row r="380">
      <c r="H380" s="56"/>
    </row>
    <row r="381">
      <c r="H381" s="56"/>
    </row>
    <row r="382">
      <c r="H382" s="56"/>
    </row>
    <row r="383">
      <c r="H383" s="56"/>
    </row>
    <row r="384">
      <c r="H384" s="56"/>
    </row>
    <row r="385">
      <c r="H385" s="56"/>
    </row>
    <row r="386">
      <c r="H386" s="56"/>
    </row>
    <row r="387">
      <c r="H387" s="56"/>
    </row>
    <row r="388">
      <c r="H388" s="56"/>
    </row>
    <row r="389">
      <c r="H389" s="56"/>
    </row>
    <row r="390">
      <c r="H390" s="56"/>
    </row>
    <row r="391">
      <c r="H391" s="56"/>
    </row>
    <row r="392">
      <c r="H392" s="56"/>
    </row>
    <row r="393">
      <c r="H393" s="56"/>
    </row>
    <row r="394">
      <c r="H394" s="56"/>
    </row>
    <row r="395">
      <c r="H395" s="56"/>
    </row>
    <row r="396">
      <c r="H396" s="56"/>
    </row>
    <row r="397">
      <c r="H397" s="56"/>
    </row>
    <row r="398">
      <c r="H398" s="56"/>
    </row>
    <row r="399">
      <c r="H399" s="56"/>
    </row>
    <row r="400">
      <c r="H400" s="56"/>
    </row>
    <row r="401">
      <c r="H401" s="56"/>
    </row>
    <row r="402">
      <c r="H402" s="56"/>
    </row>
    <row r="403">
      <c r="H403" s="56"/>
    </row>
    <row r="404">
      <c r="H404" s="56"/>
    </row>
    <row r="405">
      <c r="H405" s="56"/>
    </row>
    <row r="406">
      <c r="H406" s="56"/>
    </row>
    <row r="407">
      <c r="H407" s="56"/>
    </row>
    <row r="408">
      <c r="H408" s="56"/>
    </row>
    <row r="409">
      <c r="H409" s="56"/>
    </row>
    <row r="410">
      <c r="H410" s="56"/>
    </row>
    <row r="411">
      <c r="H411" s="56"/>
    </row>
    <row r="412">
      <c r="H412" s="56"/>
    </row>
    <row r="413">
      <c r="H413" s="56"/>
    </row>
    <row r="414">
      <c r="H414" s="56"/>
    </row>
    <row r="415">
      <c r="H415" s="56"/>
    </row>
    <row r="416">
      <c r="H416" s="56"/>
    </row>
    <row r="417">
      <c r="H417" s="56"/>
    </row>
    <row r="418">
      <c r="H418" s="56"/>
    </row>
    <row r="419">
      <c r="H419" s="56"/>
    </row>
    <row r="420">
      <c r="H420" s="56"/>
    </row>
    <row r="421">
      <c r="H421" s="56"/>
    </row>
    <row r="422">
      <c r="H422" s="56"/>
    </row>
    <row r="423">
      <c r="H423" s="56"/>
    </row>
    <row r="424">
      <c r="H424" s="56"/>
    </row>
    <row r="425">
      <c r="H425" s="56"/>
    </row>
    <row r="426">
      <c r="H426" s="56"/>
    </row>
    <row r="427">
      <c r="H427" s="56"/>
    </row>
    <row r="428">
      <c r="H428" s="56"/>
    </row>
    <row r="429">
      <c r="H429" s="56"/>
    </row>
    <row r="430">
      <c r="H430" s="56"/>
    </row>
    <row r="431">
      <c r="H431" s="56"/>
    </row>
    <row r="432">
      <c r="H432" s="56"/>
    </row>
    <row r="433">
      <c r="H433" s="56"/>
    </row>
    <row r="434">
      <c r="H434" s="56"/>
    </row>
    <row r="435">
      <c r="H435" s="56"/>
    </row>
    <row r="436">
      <c r="H436" s="56"/>
    </row>
    <row r="437">
      <c r="H437" s="56"/>
    </row>
    <row r="438">
      <c r="H438" s="56"/>
    </row>
    <row r="439">
      <c r="H439" s="56"/>
    </row>
    <row r="440">
      <c r="H440" s="56"/>
    </row>
    <row r="441">
      <c r="H441" s="56"/>
    </row>
    <row r="442">
      <c r="H442" s="56"/>
    </row>
    <row r="443">
      <c r="H443" s="56"/>
    </row>
    <row r="444">
      <c r="H444" s="56"/>
    </row>
    <row r="445">
      <c r="H445" s="56"/>
    </row>
    <row r="446">
      <c r="H446" s="56"/>
    </row>
    <row r="447">
      <c r="H447" s="56"/>
    </row>
    <row r="448">
      <c r="H448" s="56"/>
    </row>
    <row r="449">
      <c r="H449" s="56"/>
    </row>
    <row r="450">
      <c r="H450" s="56"/>
    </row>
    <row r="451">
      <c r="H451" s="56"/>
    </row>
    <row r="452">
      <c r="H452" s="56"/>
    </row>
    <row r="453">
      <c r="H453" s="56"/>
    </row>
    <row r="454">
      <c r="H454" s="56"/>
    </row>
    <row r="455">
      <c r="H455" s="56"/>
    </row>
    <row r="456">
      <c r="H456" s="56"/>
    </row>
    <row r="457">
      <c r="H457" s="56"/>
    </row>
    <row r="458">
      <c r="H458" s="56"/>
    </row>
    <row r="459">
      <c r="H459" s="56"/>
    </row>
    <row r="460">
      <c r="H460" s="56"/>
    </row>
    <row r="461">
      <c r="H461" s="56"/>
    </row>
    <row r="462">
      <c r="H462" s="56"/>
    </row>
    <row r="463">
      <c r="H463" s="56"/>
    </row>
    <row r="464">
      <c r="H464" s="56"/>
    </row>
    <row r="465">
      <c r="H465" s="56"/>
    </row>
    <row r="466">
      <c r="H466" s="56"/>
    </row>
    <row r="467">
      <c r="H467" s="56"/>
    </row>
    <row r="468">
      <c r="H468" s="56"/>
    </row>
    <row r="469">
      <c r="H469" s="56"/>
    </row>
    <row r="470">
      <c r="H470" s="56"/>
    </row>
    <row r="471">
      <c r="H471" s="56"/>
    </row>
    <row r="472">
      <c r="H472" s="56"/>
    </row>
    <row r="473">
      <c r="H473" s="56"/>
    </row>
    <row r="474">
      <c r="H474" s="56"/>
    </row>
    <row r="475">
      <c r="H475" s="56"/>
    </row>
    <row r="476">
      <c r="H476" s="56"/>
    </row>
    <row r="477">
      <c r="H477" s="56"/>
    </row>
    <row r="478">
      <c r="H478" s="56"/>
    </row>
    <row r="479">
      <c r="H479" s="56"/>
    </row>
    <row r="480">
      <c r="H480" s="56"/>
    </row>
    <row r="481">
      <c r="H481" s="56"/>
    </row>
    <row r="482">
      <c r="H482" s="56"/>
    </row>
    <row r="483">
      <c r="H483" s="56"/>
    </row>
    <row r="484">
      <c r="H484" s="56"/>
    </row>
    <row r="485">
      <c r="H485" s="56"/>
    </row>
    <row r="486">
      <c r="H486" s="56"/>
    </row>
    <row r="487">
      <c r="H487" s="56"/>
    </row>
    <row r="488">
      <c r="H488" s="56"/>
    </row>
    <row r="489">
      <c r="H489" s="56"/>
    </row>
    <row r="490">
      <c r="H490" s="56"/>
    </row>
    <row r="491">
      <c r="H491" s="56"/>
    </row>
    <row r="492">
      <c r="H492" s="56"/>
    </row>
    <row r="493">
      <c r="H493" s="56"/>
    </row>
    <row r="494">
      <c r="H494" s="56"/>
    </row>
    <row r="495">
      <c r="H495" s="56"/>
    </row>
    <row r="496">
      <c r="H496" s="56"/>
    </row>
    <row r="497">
      <c r="H497" s="56"/>
    </row>
    <row r="498">
      <c r="H498" s="56"/>
    </row>
    <row r="499">
      <c r="H499" s="56"/>
    </row>
    <row r="500">
      <c r="H500" s="56"/>
    </row>
    <row r="501">
      <c r="H501" s="56"/>
    </row>
    <row r="502">
      <c r="H502" s="56"/>
    </row>
    <row r="503">
      <c r="H503" s="56"/>
    </row>
    <row r="504">
      <c r="H504" s="56"/>
    </row>
    <row r="505">
      <c r="H505" s="56"/>
    </row>
    <row r="506">
      <c r="H506" s="56"/>
    </row>
    <row r="507">
      <c r="H507" s="56"/>
    </row>
    <row r="508">
      <c r="H508" s="56"/>
    </row>
    <row r="509">
      <c r="H509" s="56"/>
    </row>
    <row r="510">
      <c r="H510" s="56"/>
    </row>
    <row r="511">
      <c r="H511" s="56"/>
    </row>
    <row r="512">
      <c r="H512" s="56"/>
    </row>
    <row r="513">
      <c r="H513" s="56"/>
    </row>
    <row r="514">
      <c r="H514" s="56"/>
    </row>
    <row r="515">
      <c r="H515" s="56"/>
    </row>
    <row r="516">
      <c r="H516" s="56"/>
    </row>
    <row r="517">
      <c r="H517" s="56"/>
    </row>
    <row r="518">
      <c r="H518" s="56"/>
    </row>
    <row r="519">
      <c r="H519" s="56"/>
    </row>
    <row r="520">
      <c r="H520" s="56"/>
    </row>
    <row r="521">
      <c r="H521" s="56"/>
    </row>
    <row r="522">
      <c r="H522" s="56"/>
    </row>
    <row r="523">
      <c r="H523" s="56"/>
    </row>
    <row r="524">
      <c r="H524" s="56"/>
    </row>
    <row r="525">
      <c r="H525" s="56"/>
    </row>
    <row r="526">
      <c r="H526" s="56"/>
    </row>
    <row r="527">
      <c r="H527" s="56"/>
    </row>
    <row r="528">
      <c r="H528" s="56"/>
    </row>
    <row r="529">
      <c r="H529" s="56"/>
    </row>
    <row r="530">
      <c r="H530" s="56"/>
    </row>
    <row r="531">
      <c r="H531" s="56"/>
    </row>
    <row r="532">
      <c r="H532" s="56"/>
    </row>
    <row r="533">
      <c r="H533" s="56"/>
    </row>
    <row r="534">
      <c r="H534" s="56"/>
    </row>
    <row r="535">
      <c r="H535" s="56"/>
    </row>
    <row r="536">
      <c r="H536" s="56"/>
    </row>
    <row r="537">
      <c r="H537" s="56"/>
    </row>
    <row r="538">
      <c r="H538" s="56"/>
    </row>
    <row r="539">
      <c r="H539" s="56"/>
    </row>
    <row r="540">
      <c r="H540" s="56"/>
    </row>
    <row r="541">
      <c r="H541" s="56"/>
    </row>
    <row r="542">
      <c r="H542" s="56"/>
    </row>
    <row r="543">
      <c r="H543" s="56"/>
    </row>
    <row r="544">
      <c r="H544" s="56"/>
    </row>
    <row r="545">
      <c r="H545" s="56"/>
    </row>
    <row r="546">
      <c r="H546" s="56"/>
    </row>
    <row r="547">
      <c r="H547" s="56"/>
    </row>
    <row r="548">
      <c r="H548" s="56"/>
    </row>
    <row r="549">
      <c r="H549" s="56"/>
    </row>
    <row r="550">
      <c r="H550" s="56"/>
    </row>
    <row r="551">
      <c r="H551" s="56"/>
    </row>
    <row r="552">
      <c r="H552" s="56"/>
    </row>
    <row r="553">
      <c r="H553" s="56"/>
    </row>
    <row r="554">
      <c r="H554" s="56"/>
    </row>
    <row r="555">
      <c r="H555" s="56"/>
    </row>
    <row r="556">
      <c r="H556" s="56"/>
    </row>
    <row r="557">
      <c r="H557" s="56"/>
    </row>
    <row r="558">
      <c r="H558" s="56"/>
    </row>
    <row r="559">
      <c r="H559" s="56"/>
    </row>
    <row r="560">
      <c r="H560" s="56"/>
    </row>
    <row r="561">
      <c r="H561" s="56"/>
    </row>
    <row r="562">
      <c r="H562" s="56"/>
    </row>
    <row r="563">
      <c r="H563" s="56"/>
    </row>
    <row r="564">
      <c r="H564" s="56"/>
    </row>
    <row r="565">
      <c r="H565" s="56"/>
    </row>
    <row r="566">
      <c r="H566" s="56"/>
    </row>
    <row r="567">
      <c r="H567" s="56"/>
    </row>
    <row r="568">
      <c r="H568" s="56"/>
    </row>
    <row r="569">
      <c r="H569" s="56"/>
    </row>
    <row r="570">
      <c r="H570" s="56"/>
    </row>
    <row r="571">
      <c r="H571" s="56"/>
    </row>
    <row r="572">
      <c r="H572" s="56"/>
    </row>
    <row r="573">
      <c r="H573" s="56"/>
    </row>
    <row r="574">
      <c r="H574" s="56"/>
    </row>
    <row r="575">
      <c r="H575" s="56"/>
    </row>
    <row r="576">
      <c r="H576" s="56"/>
    </row>
    <row r="577">
      <c r="H577" s="56"/>
    </row>
    <row r="578">
      <c r="H578" s="56"/>
    </row>
    <row r="579">
      <c r="H579" s="56"/>
    </row>
    <row r="580">
      <c r="H580" s="56"/>
    </row>
    <row r="581">
      <c r="H581" s="56"/>
    </row>
    <row r="582">
      <c r="H582" s="56"/>
    </row>
    <row r="583">
      <c r="H583" s="56"/>
    </row>
    <row r="584">
      <c r="H584" s="56"/>
    </row>
    <row r="585">
      <c r="H585" s="56"/>
    </row>
    <row r="586">
      <c r="H586" s="56"/>
    </row>
    <row r="587">
      <c r="H587" s="56"/>
    </row>
    <row r="588">
      <c r="H588" s="56"/>
    </row>
    <row r="589">
      <c r="H589" s="56"/>
    </row>
    <row r="590">
      <c r="H590" s="56"/>
    </row>
    <row r="591">
      <c r="H591" s="56"/>
    </row>
    <row r="592">
      <c r="H592" s="56"/>
    </row>
    <row r="593">
      <c r="H593" s="56"/>
    </row>
    <row r="594">
      <c r="H594" s="56"/>
    </row>
    <row r="595">
      <c r="H595" s="56"/>
    </row>
    <row r="596">
      <c r="H596" s="56"/>
    </row>
    <row r="597">
      <c r="H597" s="56"/>
    </row>
    <row r="598">
      <c r="H598" s="56"/>
    </row>
    <row r="599">
      <c r="H599" s="56"/>
    </row>
    <row r="600">
      <c r="H600" s="56"/>
    </row>
    <row r="601">
      <c r="H601" s="56"/>
    </row>
    <row r="602">
      <c r="H602" s="56"/>
    </row>
    <row r="603">
      <c r="H603" s="56"/>
    </row>
    <row r="604">
      <c r="H604" s="56"/>
    </row>
    <row r="605">
      <c r="H605" s="56"/>
    </row>
    <row r="606">
      <c r="H606" s="56"/>
    </row>
    <row r="607">
      <c r="H607" s="56"/>
    </row>
    <row r="608">
      <c r="H608" s="56"/>
    </row>
    <row r="609">
      <c r="H609" s="56"/>
    </row>
    <row r="610">
      <c r="H610" s="56"/>
    </row>
    <row r="611">
      <c r="H611" s="56"/>
    </row>
    <row r="612">
      <c r="H612" s="56"/>
    </row>
    <row r="613">
      <c r="H613" s="56"/>
    </row>
    <row r="614">
      <c r="H614" s="56"/>
    </row>
    <row r="615">
      <c r="H615" s="56"/>
    </row>
    <row r="616">
      <c r="H616" s="56"/>
    </row>
    <row r="617">
      <c r="H617" s="56"/>
    </row>
    <row r="618">
      <c r="H618" s="56"/>
    </row>
    <row r="619">
      <c r="H619" s="56"/>
    </row>
    <row r="620">
      <c r="H620" s="56"/>
    </row>
    <row r="621">
      <c r="H621" s="56"/>
    </row>
    <row r="622">
      <c r="H622" s="56"/>
    </row>
    <row r="623">
      <c r="H623" s="56"/>
    </row>
    <row r="624">
      <c r="H624" s="56"/>
    </row>
    <row r="625">
      <c r="H625" s="56"/>
    </row>
    <row r="626">
      <c r="H626" s="56"/>
    </row>
    <row r="627">
      <c r="H627" s="56"/>
    </row>
    <row r="628">
      <c r="H628" s="56"/>
    </row>
    <row r="629">
      <c r="H629" s="56"/>
    </row>
    <row r="630">
      <c r="H630" s="56"/>
    </row>
    <row r="631">
      <c r="H631" s="56"/>
    </row>
    <row r="632">
      <c r="H632" s="56"/>
    </row>
    <row r="633">
      <c r="H633" s="56"/>
    </row>
    <row r="634">
      <c r="H634" s="56"/>
    </row>
    <row r="635">
      <c r="H635" s="56"/>
    </row>
    <row r="636">
      <c r="H636" s="56"/>
    </row>
    <row r="637">
      <c r="H637" s="56"/>
    </row>
    <row r="638">
      <c r="H638" s="56"/>
    </row>
    <row r="639">
      <c r="H639" s="56"/>
    </row>
    <row r="640">
      <c r="H640" s="56"/>
    </row>
    <row r="641">
      <c r="H641" s="56"/>
    </row>
    <row r="642">
      <c r="H642" s="56"/>
    </row>
    <row r="643">
      <c r="H643" s="56"/>
    </row>
    <row r="644">
      <c r="H644" s="56"/>
    </row>
    <row r="645">
      <c r="H645" s="56"/>
    </row>
    <row r="646">
      <c r="H646" s="56"/>
    </row>
    <row r="647">
      <c r="H647" s="56"/>
    </row>
    <row r="648">
      <c r="H648" s="56"/>
    </row>
    <row r="649">
      <c r="H649" s="56"/>
    </row>
    <row r="650">
      <c r="H650" s="56"/>
    </row>
    <row r="651">
      <c r="H651" s="56"/>
    </row>
    <row r="652">
      <c r="H652" s="56"/>
    </row>
    <row r="653">
      <c r="H653" s="56"/>
    </row>
    <row r="654">
      <c r="H654" s="56"/>
    </row>
    <row r="655">
      <c r="H655" s="56"/>
    </row>
    <row r="656">
      <c r="H656" s="56"/>
    </row>
    <row r="657">
      <c r="H657" s="56"/>
    </row>
    <row r="658">
      <c r="H658" s="56"/>
    </row>
    <row r="659">
      <c r="H659" s="56"/>
    </row>
    <row r="660">
      <c r="H660" s="56"/>
    </row>
    <row r="661">
      <c r="H661" s="56"/>
    </row>
    <row r="662">
      <c r="H662" s="56"/>
    </row>
    <row r="663">
      <c r="H663" s="56"/>
    </row>
    <row r="664">
      <c r="H664" s="56"/>
    </row>
    <row r="665">
      <c r="H665" s="56"/>
    </row>
    <row r="666">
      <c r="H666" s="56"/>
    </row>
    <row r="667">
      <c r="H667" s="56"/>
    </row>
    <row r="668">
      <c r="H668" s="56"/>
    </row>
    <row r="669">
      <c r="H669" s="56"/>
    </row>
    <row r="670">
      <c r="H670" s="56"/>
    </row>
    <row r="671">
      <c r="H671" s="56"/>
    </row>
    <row r="672">
      <c r="H672" s="56"/>
    </row>
    <row r="673">
      <c r="H673" s="56"/>
    </row>
    <row r="674">
      <c r="H674" s="56"/>
    </row>
    <row r="675">
      <c r="H675" s="56"/>
    </row>
    <row r="676">
      <c r="H676" s="56"/>
    </row>
    <row r="677">
      <c r="H677" s="56"/>
    </row>
    <row r="678">
      <c r="H678" s="56"/>
    </row>
    <row r="679">
      <c r="H679" s="56"/>
    </row>
    <row r="680">
      <c r="H680" s="56"/>
    </row>
    <row r="681">
      <c r="H681" s="56"/>
    </row>
    <row r="682">
      <c r="H682" s="56"/>
    </row>
    <row r="683">
      <c r="H683" s="56"/>
    </row>
    <row r="684">
      <c r="H684" s="56"/>
    </row>
    <row r="685">
      <c r="H685" s="56"/>
    </row>
    <row r="686">
      <c r="H686" s="56"/>
    </row>
    <row r="687">
      <c r="H687" s="56"/>
    </row>
    <row r="688">
      <c r="H688" s="56"/>
    </row>
    <row r="689">
      <c r="H689" s="56"/>
    </row>
    <row r="690">
      <c r="H690" s="56"/>
    </row>
    <row r="691">
      <c r="H691" s="56"/>
    </row>
    <row r="692">
      <c r="H692" s="56"/>
    </row>
    <row r="693">
      <c r="H693" s="56"/>
    </row>
    <row r="694">
      <c r="H694" s="56"/>
    </row>
    <row r="695">
      <c r="H695" s="56"/>
    </row>
    <row r="696">
      <c r="H696" s="56"/>
    </row>
    <row r="697">
      <c r="H697" s="56"/>
    </row>
    <row r="698">
      <c r="H698" s="56"/>
    </row>
    <row r="699">
      <c r="H699" s="56"/>
    </row>
    <row r="700">
      <c r="H700" s="56"/>
    </row>
    <row r="701">
      <c r="H701" s="56"/>
    </row>
    <row r="702">
      <c r="H702" s="56"/>
    </row>
    <row r="703">
      <c r="H703" s="56"/>
    </row>
    <row r="704">
      <c r="H704" s="56"/>
    </row>
    <row r="705">
      <c r="H705" s="56"/>
    </row>
    <row r="706">
      <c r="H706" s="56"/>
    </row>
    <row r="707">
      <c r="H707" s="56"/>
    </row>
    <row r="708">
      <c r="H708" s="56"/>
    </row>
    <row r="709">
      <c r="H709" s="56"/>
    </row>
    <row r="710">
      <c r="H710" s="56"/>
    </row>
    <row r="711">
      <c r="H711" s="56"/>
    </row>
    <row r="712">
      <c r="H712" s="56"/>
    </row>
    <row r="713">
      <c r="H713" s="56"/>
    </row>
    <row r="714">
      <c r="H714" s="56"/>
    </row>
    <row r="715">
      <c r="H715" s="56"/>
    </row>
    <row r="716">
      <c r="H716" s="56"/>
    </row>
    <row r="717">
      <c r="H717" s="56"/>
    </row>
    <row r="718">
      <c r="H718" s="56"/>
    </row>
    <row r="719">
      <c r="H719" s="56"/>
    </row>
    <row r="720">
      <c r="H720" s="56"/>
    </row>
    <row r="721">
      <c r="H721" s="56"/>
    </row>
    <row r="722">
      <c r="H722" s="56"/>
    </row>
    <row r="723">
      <c r="H723" s="56"/>
    </row>
    <row r="724">
      <c r="H724" s="56"/>
    </row>
    <row r="725">
      <c r="H725" s="56"/>
    </row>
    <row r="726">
      <c r="H726" s="56"/>
    </row>
    <row r="727">
      <c r="H727" s="56"/>
    </row>
    <row r="728">
      <c r="H728" s="56"/>
    </row>
    <row r="729">
      <c r="H729" s="56"/>
    </row>
    <row r="730">
      <c r="H730" s="56"/>
    </row>
    <row r="731">
      <c r="H731" s="56"/>
    </row>
    <row r="732">
      <c r="H732" s="56"/>
    </row>
    <row r="733">
      <c r="H733" s="56"/>
    </row>
    <row r="734">
      <c r="H734" s="56"/>
    </row>
    <row r="735">
      <c r="H735" s="56"/>
    </row>
    <row r="736">
      <c r="H736" s="56"/>
    </row>
    <row r="737">
      <c r="H737" s="56"/>
    </row>
    <row r="738">
      <c r="H738" s="56"/>
    </row>
    <row r="739">
      <c r="H739" s="56"/>
    </row>
    <row r="740">
      <c r="H740" s="56"/>
    </row>
    <row r="741">
      <c r="H741" s="56"/>
    </row>
    <row r="742">
      <c r="H742" s="56"/>
    </row>
    <row r="743">
      <c r="H743" s="56"/>
    </row>
    <row r="744">
      <c r="H744" s="56"/>
    </row>
    <row r="745">
      <c r="H745" s="56"/>
    </row>
    <row r="746">
      <c r="H746" s="56"/>
    </row>
    <row r="747">
      <c r="H747" s="56"/>
    </row>
    <row r="748">
      <c r="H748" s="56"/>
    </row>
    <row r="749">
      <c r="H749" s="56"/>
    </row>
    <row r="750">
      <c r="H750" s="56"/>
    </row>
    <row r="751">
      <c r="H751" s="56"/>
    </row>
    <row r="752">
      <c r="H752" s="56"/>
    </row>
    <row r="753">
      <c r="H753" s="56"/>
    </row>
    <row r="754">
      <c r="H754" s="56"/>
    </row>
    <row r="755">
      <c r="H755" s="56"/>
    </row>
    <row r="756">
      <c r="H756" s="56"/>
    </row>
    <row r="757">
      <c r="H757" s="56"/>
    </row>
    <row r="758">
      <c r="H758" s="56"/>
    </row>
    <row r="759">
      <c r="H759" s="56"/>
    </row>
    <row r="760">
      <c r="H760" s="56"/>
    </row>
    <row r="761">
      <c r="H761" s="56"/>
    </row>
    <row r="762">
      <c r="H762" s="56"/>
    </row>
    <row r="763">
      <c r="H763" s="56"/>
    </row>
    <row r="764">
      <c r="H764" s="56"/>
    </row>
    <row r="765">
      <c r="H765" s="56"/>
    </row>
    <row r="766">
      <c r="H766" s="56"/>
    </row>
    <row r="767">
      <c r="H767" s="56"/>
    </row>
    <row r="768">
      <c r="H768" s="56"/>
    </row>
    <row r="769">
      <c r="H769" s="56"/>
    </row>
    <row r="770">
      <c r="H770" s="56"/>
    </row>
    <row r="771">
      <c r="H771" s="56"/>
    </row>
    <row r="772">
      <c r="H772" s="56"/>
    </row>
    <row r="773">
      <c r="H773" s="56"/>
    </row>
    <row r="774">
      <c r="H774" s="56"/>
    </row>
    <row r="775">
      <c r="H775" s="56"/>
    </row>
    <row r="776">
      <c r="H776" s="56"/>
    </row>
    <row r="777">
      <c r="H777" s="56"/>
    </row>
    <row r="778">
      <c r="H778" s="56"/>
    </row>
    <row r="779">
      <c r="H779" s="56"/>
    </row>
    <row r="780">
      <c r="H780" s="56"/>
    </row>
    <row r="781">
      <c r="H781" s="56"/>
    </row>
    <row r="782">
      <c r="H782" s="56"/>
    </row>
    <row r="783">
      <c r="H783" s="56"/>
    </row>
    <row r="784">
      <c r="H784" s="56"/>
    </row>
    <row r="785">
      <c r="H785" s="56"/>
    </row>
    <row r="786">
      <c r="H786" s="56"/>
    </row>
    <row r="787">
      <c r="H787" s="56"/>
    </row>
    <row r="788">
      <c r="H788" s="56"/>
    </row>
    <row r="789">
      <c r="H789" s="56"/>
    </row>
    <row r="790">
      <c r="H790" s="56"/>
    </row>
    <row r="791">
      <c r="H791" s="56"/>
    </row>
    <row r="792">
      <c r="H792" s="56"/>
    </row>
    <row r="793">
      <c r="H793" s="56"/>
    </row>
    <row r="794">
      <c r="H794" s="56"/>
    </row>
    <row r="795">
      <c r="H795" s="56"/>
    </row>
    <row r="796">
      <c r="H796" s="56"/>
    </row>
    <row r="797">
      <c r="H797" s="56"/>
    </row>
    <row r="798">
      <c r="H798" s="56"/>
    </row>
    <row r="799">
      <c r="H799" s="56"/>
    </row>
    <row r="800">
      <c r="H800" s="56"/>
    </row>
    <row r="801">
      <c r="H801" s="56"/>
    </row>
    <row r="802">
      <c r="H802" s="56"/>
    </row>
    <row r="803">
      <c r="H803" s="56"/>
    </row>
    <row r="804">
      <c r="H804" s="56"/>
    </row>
    <row r="805">
      <c r="H805" s="56"/>
    </row>
    <row r="806">
      <c r="H806" s="56"/>
    </row>
    <row r="807">
      <c r="H807" s="56"/>
    </row>
    <row r="808">
      <c r="H808" s="56"/>
    </row>
    <row r="809">
      <c r="H809" s="56"/>
    </row>
    <row r="810">
      <c r="H810" s="56"/>
    </row>
    <row r="811">
      <c r="H811" s="56"/>
    </row>
    <row r="812">
      <c r="H812" s="56"/>
    </row>
    <row r="813">
      <c r="H813" s="56"/>
    </row>
    <row r="814">
      <c r="H814" s="56"/>
    </row>
    <row r="815">
      <c r="H815" s="56"/>
    </row>
    <row r="816">
      <c r="H816" s="56"/>
    </row>
    <row r="817">
      <c r="H817" s="56"/>
    </row>
    <row r="818">
      <c r="H818" s="56"/>
    </row>
    <row r="819">
      <c r="H819" s="56"/>
    </row>
    <row r="820">
      <c r="H820" s="56"/>
    </row>
    <row r="821">
      <c r="H821" s="56"/>
    </row>
    <row r="822">
      <c r="H822" s="56"/>
    </row>
    <row r="823">
      <c r="H823" s="56"/>
    </row>
    <row r="824">
      <c r="H824" s="56"/>
    </row>
    <row r="825">
      <c r="H825" s="56"/>
    </row>
    <row r="826">
      <c r="H826" s="56"/>
    </row>
    <row r="827">
      <c r="H827" s="56"/>
    </row>
    <row r="828">
      <c r="H828" s="56"/>
    </row>
    <row r="829">
      <c r="H829" s="56"/>
    </row>
    <row r="830">
      <c r="H830" s="56"/>
    </row>
    <row r="831">
      <c r="H831" s="56"/>
    </row>
    <row r="832">
      <c r="H832" s="56"/>
    </row>
    <row r="833">
      <c r="H833" s="56"/>
    </row>
    <row r="834">
      <c r="H834" s="56"/>
    </row>
    <row r="835">
      <c r="H835" s="56"/>
    </row>
    <row r="836">
      <c r="H836" s="56"/>
    </row>
    <row r="837">
      <c r="H837" s="56"/>
    </row>
    <row r="838">
      <c r="H838" s="56"/>
    </row>
    <row r="839">
      <c r="H839" s="56"/>
    </row>
    <row r="840">
      <c r="H840" s="56"/>
    </row>
    <row r="841">
      <c r="H841" s="56"/>
    </row>
    <row r="842">
      <c r="H842" s="56"/>
    </row>
    <row r="843">
      <c r="H843" s="56"/>
    </row>
    <row r="844">
      <c r="H844" s="56"/>
    </row>
    <row r="845">
      <c r="H845" s="56"/>
    </row>
    <row r="846">
      <c r="H846" s="56"/>
    </row>
    <row r="847">
      <c r="H847" s="56"/>
    </row>
    <row r="848">
      <c r="H848" s="56"/>
    </row>
    <row r="849">
      <c r="H849" s="56"/>
    </row>
    <row r="850">
      <c r="H850" s="56"/>
    </row>
    <row r="851">
      <c r="H851" s="56"/>
    </row>
    <row r="852">
      <c r="H852" s="56"/>
    </row>
    <row r="853">
      <c r="H853" s="56"/>
    </row>
    <row r="854">
      <c r="H854" s="56"/>
    </row>
    <row r="855">
      <c r="H855" s="56"/>
    </row>
    <row r="856">
      <c r="H856" s="56"/>
    </row>
    <row r="857">
      <c r="H857" s="56"/>
    </row>
    <row r="858">
      <c r="H858" s="56"/>
    </row>
    <row r="859">
      <c r="H859" s="56"/>
    </row>
    <row r="860">
      <c r="H860" s="56"/>
    </row>
    <row r="861">
      <c r="H861" s="56"/>
    </row>
    <row r="862">
      <c r="H862" s="56"/>
    </row>
    <row r="863">
      <c r="H863" s="56"/>
    </row>
    <row r="864">
      <c r="H864" s="56"/>
    </row>
    <row r="865">
      <c r="H865" s="56"/>
    </row>
    <row r="866">
      <c r="H866" s="56"/>
    </row>
    <row r="867">
      <c r="H867" s="56"/>
    </row>
    <row r="868">
      <c r="H868" s="56"/>
    </row>
    <row r="869">
      <c r="H869" s="56"/>
    </row>
    <row r="870">
      <c r="H870" s="56"/>
    </row>
    <row r="871">
      <c r="H871" s="56"/>
    </row>
    <row r="872">
      <c r="H872" s="56"/>
    </row>
    <row r="873">
      <c r="H873" s="56"/>
    </row>
    <row r="874">
      <c r="H874" s="56"/>
    </row>
    <row r="875">
      <c r="H875" s="56"/>
    </row>
    <row r="876">
      <c r="H876" s="56"/>
    </row>
    <row r="877">
      <c r="H877" s="56"/>
    </row>
    <row r="878">
      <c r="H878" s="56"/>
    </row>
    <row r="879">
      <c r="H879" s="56"/>
    </row>
    <row r="880">
      <c r="H880" s="56"/>
    </row>
    <row r="881">
      <c r="H881" s="56"/>
    </row>
    <row r="882">
      <c r="H882" s="56"/>
    </row>
    <row r="883">
      <c r="H883" s="56"/>
    </row>
    <row r="884">
      <c r="H884" s="56"/>
    </row>
    <row r="885">
      <c r="H885" s="56"/>
    </row>
    <row r="886">
      <c r="H886" s="56"/>
    </row>
    <row r="887">
      <c r="H887" s="56"/>
    </row>
    <row r="888">
      <c r="H888" s="56"/>
    </row>
    <row r="889">
      <c r="H889" s="56"/>
    </row>
    <row r="890">
      <c r="H890" s="56"/>
    </row>
    <row r="891">
      <c r="H891" s="56"/>
    </row>
    <row r="892">
      <c r="H892" s="56"/>
    </row>
    <row r="893">
      <c r="H893" s="56"/>
    </row>
    <row r="894">
      <c r="H894" s="56"/>
    </row>
    <row r="895">
      <c r="H895" s="56"/>
    </row>
    <row r="896">
      <c r="H896" s="56"/>
    </row>
    <row r="897">
      <c r="H897" s="56"/>
    </row>
    <row r="898">
      <c r="H898" s="56"/>
    </row>
    <row r="899">
      <c r="H899" s="56"/>
    </row>
    <row r="900">
      <c r="H900" s="56"/>
    </row>
    <row r="901">
      <c r="H901" s="56"/>
    </row>
    <row r="902">
      <c r="H902" s="56"/>
    </row>
    <row r="903">
      <c r="H903" s="56"/>
    </row>
    <row r="904">
      <c r="H904" s="56"/>
    </row>
    <row r="905">
      <c r="H905" s="56"/>
    </row>
    <row r="906">
      <c r="H906" s="56"/>
    </row>
    <row r="907">
      <c r="H907" s="56"/>
    </row>
    <row r="908">
      <c r="H908" s="56"/>
    </row>
    <row r="909">
      <c r="H909" s="56"/>
    </row>
    <row r="910">
      <c r="H910" s="56"/>
    </row>
    <row r="911">
      <c r="H911" s="56"/>
    </row>
    <row r="912">
      <c r="H912" s="56"/>
    </row>
    <row r="913">
      <c r="H913" s="56"/>
    </row>
    <row r="914">
      <c r="H914" s="56"/>
    </row>
    <row r="915">
      <c r="H915" s="56"/>
    </row>
    <row r="916">
      <c r="H916" s="56"/>
    </row>
    <row r="917">
      <c r="H917" s="56"/>
    </row>
    <row r="918">
      <c r="H918" s="56"/>
    </row>
    <row r="919">
      <c r="H919" s="56"/>
    </row>
    <row r="920">
      <c r="H920" s="56"/>
    </row>
    <row r="921">
      <c r="H921" s="56"/>
    </row>
    <row r="922">
      <c r="H922" s="56"/>
    </row>
    <row r="923">
      <c r="H923" s="56"/>
    </row>
    <row r="924">
      <c r="H924" s="56"/>
    </row>
    <row r="925">
      <c r="H925" s="56"/>
    </row>
    <row r="926">
      <c r="H926" s="56"/>
    </row>
    <row r="927">
      <c r="H927" s="56"/>
    </row>
    <row r="928">
      <c r="H928" s="56"/>
    </row>
    <row r="929">
      <c r="H929" s="56"/>
    </row>
    <row r="930">
      <c r="H930" s="56"/>
    </row>
    <row r="931">
      <c r="H931" s="56"/>
    </row>
    <row r="932">
      <c r="H932" s="56"/>
    </row>
    <row r="933">
      <c r="H933" s="56"/>
    </row>
    <row r="934">
      <c r="H934" s="56"/>
    </row>
    <row r="935">
      <c r="H935" s="56"/>
    </row>
    <row r="936">
      <c r="H936" s="56"/>
    </row>
    <row r="937">
      <c r="H937" s="56"/>
    </row>
    <row r="938">
      <c r="H938" s="56"/>
    </row>
    <row r="939">
      <c r="H939" s="56"/>
    </row>
    <row r="940">
      <c r="H940" s="56"/>
    </row>
    <row r="941">
      <c r="H941" s="56"/>
    </row>
    <row r="942">
      <c r="H942" s="56"/>
    </row>
    <row r="943">
      <c r="H943" s="56"/>
    </row>
    <row r="944">
      <c r="H944" s="56"/>
    </row>
    <row r="945">
      <c r="H945" s="56"/>
    </row>
    <row r="946">
      <c r="H946" s="56"/>
    </row>
    <row r="947">
      <c r="H947" s="56"/>
    </row>
    <row r="948">
      <c r="H948" s="56"/>
    </row>
    <row r="949">
      <c r="H949" s="56"/>
    </row>
    <row r="950">
      <c r="H950" s="56"/>
    </row>
    <row r="951">
      <c r="H951" s="56"/>
    </row>
    <row r="952">
      <c r="H952" s="56"/>
    </row>
    <row r="953">
      <c r="H953" s="56"/>
    </row>
    <row r="954">
      <c r="H954" s="56"/>
    </row>
    <row r="955">
      <c r="H955" s="56"/>
    </row>
    <row r="956">
      <c r="H956" s="56"/>
    </row>
    <row r="957">
      <c r="H957" s="56"/>
    </row>
    <row r="958">
      <c r="H958" s="56"/>
    </row>
    <row r="959">
      <c r="H959" s="56"/>
    </row>
    <row r="960">
      <c r="H960" s="56"/>
    </row>
    <row r="961">
      <c r="H961" s="56"/>
    </row>
    <row r="962">
      <c r="H962" s="56"/>
    </row>
    <row r="963">
      <c r="H963" s="56"/>
    </row>
    <row r="964">
      <c r="H964" s="56"/>
    </row>
    <row r="965">
      <c r="H965" s="56"/>
    </row>
    <row r="966">
      <c r="H966" s="56"/>
    </row>
    <row r="967">
      <c r="H967" s="56"/>
    </row>
    <row r="968">
      <c r="H968" s="56"/>
    </row>
    <row r="969">
      <c r="H969" s="56"/>
    </row>
    <row r="970">
      <c r="H970" s="56"/>
    </row>
    <row r="971">
      <c r="H971" s="56"/>
    </row>
    <row r="972">
      <c r="H972" s="56"/>
    </row>
    <row r="973">
      <c r="H973" s="56"/>
    </row>
    <row r="974">
      <c r="H974" s="56"/>
    </row>
    <row r="975">
      <c r="H975" s="56"/>
    </row>
    <row r="976">
      <c r="H976" s="56"/>
    </row>
    <row r="977">
      <c r="H977" s="56"/>
    </row>
    <row r="978">
      <c r="H978" s="56"/>
    </row>
    <row r="979">
      <c r="H979" s="56"/>
    </row>
    <row r="980">
      <c r="H980" s="56"/>
    </row>
    <row r="981">
      <c r="H981" s="56"/>
    </row>
    <row r="982">
      <c r="H982" s="56"/>
    </row>
    <row r="983">
      <c r="H983" s="56"/>
    </row>
    <row r="984">
      <c r="H984" s="56"/>
    </row>
    <row r="985">
      <c r="H985" s="56"/>
    </row>
    <row r="986">
      <c r="H986" s="56"/>
    </row>
    <row r="987">
      <c r="H987" s="56"/>
    </row>
    <row r="988">
      <c r="H988" s="56"/>
    </row>
    <row r="989">
      <c r="H989" s="56"/>
    </row>
    <row r="990">
      <c r="H990" s="56"/>
    </row>
    <row r="991">
      <c r="H991" s="56"/>
    </row>
    <row r="992">
      <c r="H992" s="56"/>
    </row>
    <row r="993">
      <c r="H993" s="56"/>
    </row>
    <row r="994">
      <c r="H994" s="56"/>
    </row>
    <row r="995">
      <c r="H995" s="56"/>
    </row>
    <row r="996">
      <c r="H996" s="56"/>
    </row>
    <row r="997">
      <c r="H997" s="56"/>
    </row>
    <row r="998">
      <c r="H998" s="56"/>
    </row>
    <row r="999">
      <c r="H999" s="56"/>
    </row>
    <row r="1000">
      <c r="H1000" s="56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0.3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69" t="s">
        <v>185</v>
      </c>
    </row>
    <row r="2">
      <c r="A2" s="38" t="s">
        <v>85</v>
      </c>
      <c r="B2" s="71">
        <v>8.0</v>
      </c>
      <c r="C2" s="71">
        <v>50.27</v>
      </c>
      <c r="D2" s="71">
        <v>95.0</v>
      </c>
      <c r="E2" s="87">
        <f t="shared" ref="E2:E9" si="1">C2/D2</f>
        <v>0.5291578947</v>
      </c>
      <c r="F2" s="72">
        <v>2.0</v>
      </c>
      <c r="G2" s="94">
        <v>32.75</v>
      </c>
      <c r="H2" s="95" t="s">
        <v>382</v>
      </c>
    </row>
    <row r="3">
      <c r="A3" s="38" t="s">
        <v>86</v>
      </c>
      <c r="B3" s="71">
        <v>5.0</v>
      </c>
      <c r="C3" s="96">
        <v>78.88</v>
      </c>
      <c r="D3" s="71">
        <v>75.0</v>
      </c>
      <c r="E3" s="87">
        <f t="shared" si="1"/>
        <v>1.051733333</v>
      </c>
      <c r="F3" s="72">
        <v>0.0</v>
      </c>
      <c r="G3" s="97">
        <v>51.5</v>
      </c>
      <c r="H3" s="95" t="s">
        <v>383</v>
      </c>
    </row>
    <row r="4">
      <c r="A4" s="38" t="s">
        <v>88</v>
      </c>
      <c r="B4" s="71">
        <v>14.0</v>
      </c>
      <c r="C4" s="71">
        <v>66.005</v>
      </c>
      <c r="D4" s="71">
        <v>100.0</v>
      </c>
      <c r="E4" s="87">
        <f t="shared" si="1"/>
        <v>0.66005</v>
      </c>
      <c r="F4" s="72">
        <v>0.0</v>
      </c>
      <c r="G4" s="97">
        <v>60.07</v>
      </c>
      <c r="H4" s="95" t="s">
        <v>384</v>
      </c>
    </row>
    <row r="5">
      <c r="A5" s="38" t="s">
        <v>90</v>
      </c>
      <c r="B5" s="71">
        <v>15.0</v>
      </c>
      <c r="C5" s="71">
        <v>53.816</v>
      </c>
      <c r="D5" s="71">
        <v>75.0</v>
      </c>
      <c r="E5" s="87">
        <f t="shared" si="1"/>
        <v>0.7175466667</v>
      </c>
      <c r="F5" s="72">
        <v>3.0</v>
      </c>
      <c r="G5" s="94">
        <v>39.82</v>
      </c>
      <c r="H5" s="95" t="s">
        <v>385</v>
      </c>
    </row>
    <row r="6">
      <c r="A6" s="38" t="s">
        <v>91</v>
      </c>
      <c r="B6" s="71">
        <v>10.0</v>
      </c>
      <c r="C6" s="71">
        <v>36.06</v>
      </c>
      <c r="D6" s="71">
        <v>100.0</v>
      </c>
      <c r="E6" s="87">
        <f t="shared" si="1"/>
        <v>0.3606</v>
      </c>
      <c r="F6" s="72">
        <v>3.0</v>
      </c>
      <c r="G6" s="102">
        <v>58.38</v>
      </c>
      <c r="H6" s="95" t="s">
        <v>386</v>
      </c>
    </row>
    <row r="7">
      <c r="A7" s="38" t="s">
        <v>94</v>
      </c>
      <c r="B7" s="71">
        <v>3.0</v>
      </c>
      <c r="C7" s="71">
        <v>130.68</v>
      </c>
      <c r="D7" s="71">
        <v>100.0</v>
      </c>
      <c r="E7" s="87">
        <f t="shared" si="1"/>
        <v>1.3068</v>
      </c>
      <c r="F7" s="72">
        <v>1.0</v>
      </c>
      <c r="G7" s="94">
        <v>99.2</v>
      </c>
      <c r="H7" s="95" t="s">
        <v>387</v>
      </c>
    </row>
    <row r="8">
      <c r="A8" s="7" t="s">
        <v>96</v>
      </c>
      <c r="B8" s="71">
        <v>16.0</v>
      </c>
      <c r="C8" s="79">
        <v>63.75</v>
      </c>
      <c r="D8" s="71">
        <v>80.0</v>
      </c>
      <c r="E8" s="87">
        <f t="shared" si="1"/>
        <v>0.796875</v>
      </c>
      <c r="F8" s="72">
        <v>0.0</v>
      </c>
      <c r="G8" s="94">
        <v>57.52</v>
      </c>
      <c r="H8" s="95" t="s">
        <v>388</v>
      </c>
    </row>
    <row r="9">
      <c r="C9" s="39">
        <f t="shared" ref="C9:D9" si="2">SUM(C2:C8)</f>
        <v>479.461</v>
      </c>
      <c r="D9" s="39">
        <f t="shared" si="2"/>
        <v>625</v>
      </c>
      <c r="E9" s="87">
        <f t="shared" si="1"/>
        <v>0.7671376</v>
      </c>
      <c r="H9" s="56"/>
    </row>
    <row r="10">
      <c r="H10" s="56"/>
    </row>
    <row r="11">
      <c r="H11" s="56"/>
    </row>
    <row r="12">
      <c r="D12" s="94" t="s">
        <v>193</v>
      </c>
      <c r="E12" s="94" t="s">
        <v>194</v>
      </c>
      <c r="F12" s="94" t="s">
        <v>217</v>
      </c>
      <c r="H12" s="56"/>
    </row>
    <row r="13">
      <c r="D13" s="94">
        <v>1.0</v>
      </c>
      <c r="E13" s="100" t="s">
        <v>108</v>
      </c>
      <c r="F13" s="94">
        <v>4.98</v>
      </c>
      <c r="H13" s="56"/>
    </row>
    <row r="14">
      <c r="D14" s="97">
        <v>2.0</v>
      </c>
      <c r="E14" s="100" t="s">
        <v>94</v>
      </c>
      <c r="F14" s="100">
        <v>4.71</v>
      </c>
      <c r="H14" s="56"/>
    </row>
    <row r="15">
      <c r="D15" s="97">
        <v>3.0</v>
      </c>
      <c r="E15" s="100" t="s">
        <v>96</v>
      </c>
      <c r="F15" s="100">
        <v>4.23</v>
      </c>
      <c r="H15" s="56"/>
    </row>
    <row r="16">
      <c r="D16" s="94">
        <v>4.0</v>
      </c>
      <c r="E16" s="100" t="s">
        <v>90</v>
      </c>
      <c r="F16" s="100">
        <v>3.85</v>
      </c>
      <c r="H16" s="56"/>
    </row>
    <row r="17">
      <c r="D17" s="94">
        <v>5.0</v>
      </c>
      <c r="E17" s="100" t="s">
        <v>88</v>
      </c>
      <c r="F17" s="100">
        <v>3.36</v>
      </c>
      <c r="H17" s="56"/>
    </row>
    <row r="18">
      <c r="D18" s="94">
        <v>6.0</v>
      </c>
      <c r="E18" s="100" t="s">
        <v>85</v>
      </c>
      <c r="F18" s="100">
        <v>2.46</v>
      </c>
      <c r="H18" s="56"/>
    </row>
    <row r="19">
      <c r="D19" s="92">
        <v>7.0</v>
      </c>
      <c r="E19" s="92" t="s">
        <v>91</v>
      </c>
      <c r="F19" s="92">
        <v>1.96</v>
      </c>
      <c r="H19" s="56"/>
    </row>
    <row r="20">
      <c r="H20" s="56"/>
    </row>
    <row r="21">
      <c r="H21" s="56"/>
    </row>
    <row r="22">
      <c r="H22" s="56"/>
    </row>
    <row r="23">
      <c r="H23" s="56"/>
    </row>
    <row r="24">
      <c r="H24" s="56"/>
    </row>
    <row r="25">
      <c r="H25" s="56"/>
    </row>
    <row r="26">
      <c r="H26" s="56"/>
    </row>
    <row r="27">
      <c r="H27" s="56"/>
    </row>
    <row r="28">
      <c r="H28" s="56"/>
    </row>
    <row r="29">
      <c r="H29" s="56"/>
    </row>
    <row r="30">
      <c r="H30" s="56"/>
    </row>
    <row r="31">
      <c r="H31" s="56"/>
    </row>
    <row r="32">
      <c r="H32" s="56"/>
    </row>
    <row r="33">
      <c r="H33" s="56"/>
    </row>
    <row r="34">
      <c r="H34" s="56"/>
    </row>
    <row r="35">
      <c r="H35" s="56"/>
    </row>
    <row r="36">
      <c r="H36" s="56"/>
    </row>
    <row r="37">
      <c r="H37" s="56"/>
    </row>
    <row r="38">
      <c r="H38" s="56"/>
    </row>
    <row r="39">
      <c r="H39" s="56"/>
    </row>
    <row r="40">
      <c r="H40" s="56"/>
    </row>
    <row r="41">
      <c r="H41" s="56"/>
    </row>
    <row r="42">
      <c r="H42" s="56"/>
    </row>
    <row r="43">
      <c r="H43" s="56"/>
    </row>
    <row r="44">
      <c r="H44" s="56"/>
    </row>
    <row r="45">
      <c r="H45" s="56"/>
    </row>
    <row r="46">
      <c r="H46" s="56"/>
    </row>
    <row r="47">
      <c r="H47" s="56"/>
    </row>
    <row r="48">
      <c r="H48" s="56"/>
    </row>
    <row r="49">
      <c r="H49" s="56"/>
    </row>
    <row r="50">
      <c r="H50" s="56"/>
    </row>
    <row r="51">
      <c r="H51" s="56"/>
    </row>
    <row r="52">
      <c r="H52" s="56"/>
    </row>
    <row r="53">
      <c r="H53" s="56"/>
    </row>
    <row r="54">
      <c r="H54" s="56"/>
    </row>
    <row r="55">
      <c r="H55" s="56"/>
    </row>
    <row r="56">
      <c r="H56" s="56"/>
    </row>
    <row r="57">
      <c r="H57" s="56"/>
    </row>
    <row r="58">
      <c r="H58" s="56"/>
    </row>
    <row r="59">
      <c r="H59" s="56"/>
    </row>
    <row r="60">
      <c r="H60" s="56"/>
    </row>
    <row r="61">
      <c r="H61" s="56"/>
    </row>
    <row r="62">
      <c r="H62" s="56"/>
    </row>
    <row r="63">
      <c r="H63" s="56"/>
    </row>
    <row r="64">
      <c r="H64" s="56"/>
    </row>
    <row r="65">
      <c r="H65" s="56"/>
    </row>
    <row r="66">
      <c r="H66" s="56"/>
    </row>
    <row r="67">
      <c r="H67" s="56"/>
    </row>
    <row r="68">
      <c r="H68" s="56"/>
    </row>
    <row r="69">
      <c r="H69" s="56"/>
    </row>
    <row r="70">
      <c r="H70" s="56"/>
    </row>
    <row r="71">
      <c r="H71" s="56"/>
    </row>
    <row r="72">
      <c r="H72" s="56"/>
    </row>
    <row r="73">
      <c r="H73" s="56"/>
    </row>
    <row r="74">
      <c r="H74" s="56"/>
    </row>
    <row r="75">
      <c r="H75" s="56"/>
    </row>
    <row r="76">
      <c r="H76" s="56"/>
    </row>
    <row r="77">
      <c r="H77" s="56"/>
    </row>
    <row r="78">
      <c r="H78" s="56"/>
    </row>
    <row r="79">
      <c r="H79" s="56"/>
    </row>
    <row r="80">
      <c r="H80" s="56"/>
    </row>
    <row r="81">
      <c r="H81" s="56"/>
    </row>
    <row r="82">
      <c r="H82" s="56"/>
    </row>
    <row r="83">
      <c r="H83" s="56"/>
    </row>
    <row r="84">
      <c r="H84" s="56"/>
    </row>
    <row r="85">
      <c r="H85" s="56"/>
    </row>
    <row r="86">
      <c r="H86" s="56"/>
    </row>
    <row r="87">
      <c r="H87" s="56"/>
    </row>
    <row r="88">
      <c r="H88" s="56"/>
    </row>
    <row r="89">
      <c r="H89" s="56"/>
    </row>
    <row r="90">
      <c r="H90" s="56"/>
    </row>
    <row r="91">
      <c r="H91" s="56"/>
    </row>
    <row r="92">
      <c r="H92" s="56"/>
    </row>
    <row r="93">
      <c r="H93" s="56"/>
    </row>
    <row r="94">
      <c r="H94" s="56"/>
    </row>
    <row r="95">
      <c r="H95" s="56"/>
    </row>
    <row r="96">
      <c r="H96" s="56"/>
    </row>
    <row r="97">
      <c r="H97" s="56"/>
    </row>
    <row r="98">
      <c r="H98" s="56"/>
    </row>
    <row r="99">
      <c r="H99" s="56"/>
    </row>
    <row r="100">
      <c r="H100" s="56"/>
    </row>
    <row r="101">
      <c r="H101" s="56"/>
    </row>
    <row r="102">
      <c r="H102" s="56"/>
    </row>
    <row r="103">
      <c r="H103" s="56"/>
    </row>
    <row r="104">
      <c r="H104" s="56"/>
    </row>
    <row r="105">
      <c r="H105" s="56"/>
    </row>
    <row r="106">
      <c r="H106" s="56"/>
    </row>
    <row r="107">
      <c r="H107" s="56"/>
    </row>
    <row r="108">
      <c r="H108" s="56"/>
    </row>
    <row r="109">
      <c r="H109" s="56"/>
    </row>
    <row r="110">
      <c r="H110" s="56"/>
    </row>
    <row r="111">
      <c r="H111" s="56"/>
    </row>
    <row r="112">
      <c r="H112" s="56"/>
    </row>
    <row r="113">
      <c r="H113" s="56"/>
    </row>
    <row r="114">
      <c r="H114" s="56"/>
    </row>
    <row r="115">
      <c r="H115" s="56"/>
    </row>
    <row r="116">
      <c r="H116" s="56"/>
    </row>
    <row r="117">
      <c r="H117" s="56"/>
    </row>
    <row r="118">
      <c r="H118" s="56"/>
    </row>
    <row r="119">
      <c r="H119" s="56"/>
    </row>
    <row r="120">
      <c r="H120" s="56"/>
    </row>
    <row r="121">
      <c r="H121" s="56"/>
    </row>
    <row r="122">
      <c r="H122" s="56"/>
    </row>
    <row r="123">
      <c r="H123" s="56"/>
    </row>
    <row r="124">
      <c r="H124" s="56"/>
    </row>
    <row r="125">
      <c r="H125" s="56"/>
    </row>
    <row r="126">
      <c r="H126" s="56"/>
    </row>
    <row r="127">
      <c r="H127" s="56"/>
    </row>
    <row r="128">
      <c r="H128" s="56"/>
    </row>
    <row r="129">
      <c r="H129" s="56"/>
    </row>
    <row r="130">
      <c r="H130" s="56"/>
    </row>
    <row r="131">
      <c r="H131" s="56"/>
    </row>
    <row r="132">
      <c r="H132" s="56"/>
    </row>
    <row r="133">
      <c r="H133" s="56"/>
    </row>
    <row r="134">
      <c r="H134" s="56"/>
    </row>
    <row r="135">
      <c r="H135" s="56"/>
    </row>
    <row r="136">
      <c r="H136" s="56"/>
    </row>
    <row r="137">
      <c r="H137" s="56"/>
    </row>
    <row r="138">
      <c r="H138" s="56"/>
    </row>
    <row r="139">
      <c r="H139" s="56"/>
    </row>
    <row r="140">
      <c r="H140" s="56"/>
    </row>
    <row r="141">
      <c r="H141" s="56"/>
    </row>
    <row r="142">
      <c r="H142" s="56"/>
    </row>
    <row r="143">
      <c r="H143" s="56"/>
    </row>
    <row r="144">
      <c r="H144" s="56"/>
    </row>
    <row r="145">
      <c r="H145" s="56"/>
    </row>
    <row r="146">
      <c r="H146" s="56"/>
    </row>
    <row r="147">
      <c r="H147" s="56"/>
    </row>
    <row r="148">
      <c r="H148" s="56"/>
    </row>
    <row r="149">
      <c r="H149" s="56"/>
    </row>
    <row r="150">
      <c r="H150" s="56"/>
    </row>
    <row r="151">
      <c r="H151" s="56"/>
    </row>
    <row r="152">
      <c r="H152" s="56"/>
    </row>
    <row r="153">
      <c r="H153" s="56"/>
    </row>
    <row r="154">
      <c r="H154" s="56"/>
    </row>
    <row r="155">
      <c r="H155" s="56"/>
    </row>
    <row r="156">
      <c r="H156" s="56"/>
    </row>
    <row r="157">
      <c r="H157" s="56"/>
    </row>
    <row r="158">
      <c r="H158" s="56"/>
    </row>
    <row r="159">
      <c r="H159" s="56"/>
    </row>
    <row r="160">
      <c r="H160" s="56"/>
    </row>
    <row r="161">
      <c r="H161" s="56"/>
    </row>
    <row r="162">
      <c r="H162" s="56"/>
    </row>
    <row r="163">
      <c r="H163" s="56"/>
    </row>
    <row r="164">
      <c r="H164" s="56"/>
    </row>
    <row r="165">
      <c r="H165" s="56"/>
    </row>
    <row r="166">
      <c r="H166" s="56"/>
    </row>
    <row r="167">
      <c r="H167" s="56"/>
    </row>
    <row r="168">
      <c r="H168" s="56"/>
    </row>
    <row r="169">
      <c r="H169" s="56"/>
    </row>
    <row r="170">
      <c r="H170" s="56"/>
    </row>
    <row r="171">
      <c r="H171" s="56"/>
    </row>
    <row r="172">
      <c r="H172" s="56"/>
    </row>
    <row r="173">
      <c r="H173" s="56"/>
    </row>
    <row r="174">
      <c r="H174" s="56"/>
    </row>
    <row r="175">
      <c r="H175" s="56"/>
    </row>
    <row r="176">
      <c r="H176" s="56"/>
    </row>
    <row r="177">
      <c r="H177" s="56"/>
    </row>
    <row r="178">
      <c r="H178" s="56"/>
    </row>
    <row r="179">
      <c r="H179" s="56"/>
    </row>
    <row r="180">
      <c r="H180" s="56"/>
    </row>
    <row r="181">
      <c r="H181" s="56"/>
    </row>
    <row r="182">
      <c r="H182" s="56"/>
    </row>
    <row r="183">
      <c r="H183" s="56"/>
    </row>
    <row r="184">
      <c r="H184" s="56"/>
    </row>
    <row r="185">
      <c r="H185" s="56"/>
    </row>
    <row r="186">
      <c r="H186" s="56"/>
    </row>
    <row r="187">
      <c r="H187" s="56"/>
    </row>
    <row r="188">
      <c r="H188" s="56"/>
    </row>
    <row r="189">
      <c r="H189" s="56"/>
    </row>
    <row r="190">
      <c r="H190" s="56"/>
    </row>
    <row r="191">
      <c r="H191" s="56"/>
    </row>
    <row r="192">
      <c r="H192" s="56"/>
    </row>
    <row r="193">
      <c r="H193" s="56"/>
    </row>
    <row r="194">
      <c r="H194" s="56"/>
    </row>
    <row r="195">
      <c r="H195" s="56"/>
    </row>
    <row r="196">
      <c r="H196" s="56"/>
    </row>
    <row r="197">
      <c r="H197" s="56"/>
    </row>
    <row r="198">
      <c r="H198" s="56"/>
    </row>
    <row r="199">
      <c r="H199" s="56"/>
    </row>
    <row r="200">
      <c r="H200" s="56"/>
    </row>
    <row r="201">
      <c r="H201" s="56"/>
    </row>
    <row r="202">
      <c r="H202" s="56"/>
    </row>
    <row r="203">
      <c r="H203" s="56"/>
    </row>
    <row r="204">
      <c r="H204" s="56"/>
    </row>
    <row r="205">
      <c r="H205" s="56"/>
    </row>
    <row r="206">
      <c r="H206" s="56"/>
    </row>
    <row r="207">
      <c r="H207" s="56"/>
    </row>
    <row r="208">
      <c r="H208" s="56"/>
    </row>
    <row r="209">
      <c r="H209" s="56"/>
    </row>
    <row r="210">
      <c r="H210" s="56"/>
    </row>
    <row r="211">
      <c r="H211" s="56"/>
    </row>
    <row r="212">
      <c r="H212" s="56"/>
    </row>
    <row r="213">
      <c r="H213" s="56"/>
    </row>
    <row r="214">
      <c r="H214" s="56"/>
    </row>
    <row r="215">
      <c r="H215" s="56"/>
    </row>
    <row r="216">
      <c r="H216" s="56"/>
    </row>
    <row r="217">
      <c r="H217" s="56"/>
    </row>
    <row r="218">
      <c r="H218" s="56"/>
    </row>
    <row r="219">
      <c r="H219" s="56"/>
    </row>
    <row r="220">
      <c r="H220" s="56"/>
    </row>
    <row r="221">
      <c r="H221" s="56"/>
    </row>
    <row r="222">
      <c r="H222" s="56"/>
    </row>
    <row r="223">
      <c r="H223" s="56"/>
    </row>
    <row r="224">
      <c r="H224" s="56"/>
    </row>
    <row r="225">
      <c r="H225" s="56"/>
    </row>
    <row r="226">
      <c r="H226" s="56"/>
    </row>
    <row r="227">
      <c r="H227" s="56"/>
    </row>
    <row r="228">
      <c r="H228" s="56"/>
    </row>
    <row r="229">
      <c r="H229" s="56"/>
    </row>
    <row r="230">
      <c r="H230" s="56"/>
    </row>
    <row r="231">
      <c r="H231" s="56"/>
    </row>
    <row r="232">
      <c r="H232" s="56"/>
    </row>
    <row r="233">
      <c r="H233" s="56"/>
    </row>
    <row r="234">
      <c r="H234" s="56"/>
    </row>
    <row r="235">
      <c r="H235" s="56"/>
    </row>
    <row r="236">
      <c r="H236" s="56"/>
    </row>
    <row r="237">
      <c r="H237" s="56"/>
    </row>
    <row r="238">
      <c r="H238" s="56"/>
    </row>
    <row r="239">
      <c r="H239" s="56"/>
    </row>
    <row r="240">
      <c r="H240" s="56"/>
    </row>
    <row r="241">
      <c r="H241" s="56"/>
    </row>
    <row r="242">
      <c r="H242" s="56"/>
    </row>
    <row r="243">
      <c r="H243" s="56"/>
    </row>
    <row r="244">
      <c r="H244" s="56"/>
    </row>
    <row r="245">
      <c r="H245" s="56"/>
    </row>
    <row r="246">
      <c r="H246" s="56"/>
    </row>
    <row r="247">
      <c r="H247" s="56"/>
    </row>
    <row r="248">
      <c r="H248" s="56"/>
    </row>
    <row r="249">
      <c r="H249" s="56"/>
    </row>
    <row r="250">
      <c r="H250" s="56"/>
    </row>
    <row r="251">
      <c r="H251" s="56"/>
    </row>
    <row r="252">
      <c r="H252" s="56"/>
    </row>
    <row r="253">
      <c r="H253" s="56"/>
    </row>
    <row r="254">
      <c r="H254" s="56"/>
    </row>
    <row r="255">
      <c r="H255" s="56"/>
    </row>
    <row r="256">
      <c r="H256" s="56"/>
    </row>
    <row r="257">
      <c r="H257" s="56"/>
    </row>
    <row r="258">
      <c r="H258" s="56"/>
    </row>
    <row r="259">
      <c r="H259" s="56"/>
    </row>
    <row r="260">
      <c r="H260" s="56"/>
    </row>
    <row r="261">
      <c r="H261" s="56"/>
    </row>
    <row r="262">
      <c r="H262" s="56"/>
    </row>
    <row r="263">
      <c r="H263" s="56"/>
    </row>
    <row r="264">
      <c r="H264" s="56"/>
    </row>
    <row r="265">
      <c r="H265" s="56"/>
    </row>
    <row r="266">
      <c r="H266" s="56"/>
    </row>
    <row r="267">
      <c r="H267" s="56"/>
    </row>
    <row r="268">
      <c r="H268" s="56"/>
    </row>
    <row r="269">
      <c r="H269" s="56"/>
    </row>
    <row r="270">
      <c r="H270" s="56"/>
    </row>
    <row r="271">
      <c r="H271" s="56"/>
    </row>
    <row r="272">
      <c r="H272" s="56"/>
    </row>
    <row r="273">
      <c r="H273" s="56"/>
    </row>
    <row r="274">
      <c r="H274" s="56"/>
    </row>
    <row r="275">
      <c r="H275" s="56"/>
    </row>
    <row r="276">
      <c r="H276" s="56"/>
    </row>
    <row r="277">
      <c r="H277" s="56"/>
    </row>
    <row r="278">
      <c r="H278" s="56"/>
    </row>
    <row r="279">
      <c r="H279" s="56"/>
    </row>
    <row r="280">
      <c r="H280" s="56"/>
    </row>
    <row r="281">
      <c r="H281" s="56"/>
    </row>
    <row r="282">
      <c r="H282" s="56"/>
    </row>
    <row r="283">
      <c r="H283" s="56"/>
    </row>
    <row r="284">
      <c r="H284" s="56"/>
    </row>
    <row r="285">
      <c r="H285" s="56"/>
    </row>
    <row r="286">
      <c r="H286" s="56"/>
    </row>
    <row r="287">
      <c r="H287" s="56"/>
    </row>
    <row r="288">
      <c r="H288" s="56"/>
    </row>
    <row r="289">
      <c r="H289" s="56"/>
    </row>
    <row r="290">
      <c r="H290" s="56"/>
    </row>
    <row r="291">
      <c r="H291" s="56"/>
    </row>
    <row r="292">
      <c r="H292" s="56"/>
    </row>
    <row r="293">
      <c r="H293" s="56"/>
    </row>
    <row r="294">
      <c r="H294" s="56"/>
    </row>
    <row r="295">
      <c r="H295" s="56"/>
    </row>
    <row r="296">
      <c r="H296" s="56"/>
    </row>
    <row r="297">
      <c r="H297" s="56"/>
    </row>
    <row r="298">
      <c r="H298" s="56"/>
    </row>
    <row r="299">
      <c r="H299" s="56"/>
    </row>
    <row r="300">
      <c r="H300" s="56"/>
    </row>
    <row r="301">
      <c r="H301" s="56"/>
    </row>
    <row r="302">
      <c r="H302" s="56"/>
    </row>
    <row r="303">
      <c r="H303" s="56"/>
    </row>
    <row r="304">
      <c r="H304" s="56"/>
    </row>
    <row r="305">
      <c r="H305" s="56"/>
    </row>
    <row r="306">
      <c r="H306" s="56"/>
    </row>
    <row r="307">
      <c r="H307" s="56"/>
    </row>
    <row r="308">
      <c r="H308" s="56"/>
    </row>
    <row r="309">
      <c r="H309" s="56"/>
    </row>
    <row r="310">
      <c r="H310" s="56"/>
    </row>
    <row r="311">
      <c r="H311" s="56"/>
    </row>
    <row r="312">
      <c r="H312" s="56"/>
    </row>
    <row r="313">
      <c r="H313" s="56"/>
    </row>
    <row r="314">
      <c r="H314" s="56"/>
    </row>
    <row r="315">
      <c r="H315" s="56"/>
    </row>
    <row r="316">
      <c r="H316" s="56"/>
    </row>
    <row r="317">
      <c r="H317" s="56"/>
    </row>
    <row r="318">
      <c r="H318" s="56"/>
    </row>
    <row r="319">
      <c r="H319" s="56"/>
    </row>
    <row r="320">
      <c r="H320" s="56"/>
    </row>
    <row r="321">
      <c r="H321" s="56"/>
    </row>
    <row r="322">
      <c r="H322" s="56"/>
    </row>
    <row r="323">
      <c r="H323" s="56"/>
    </row>
    <row r="324">
      <c r="H324" s="56"/>
    </row>
    <row r="325">
      <c r="H325" s="56"/>
    </row>
    <row r="326">
      <c r="H326" s="56"/>
    </row>
    <row r="327">
      <c r="H327" s="56"/>
    </row>
    <row r="328">
      <c r="H328" s="56"/>
    </row>
    <row r="329">
      <c r="H329" s="56"/>
    </row>
    <row r="330">
      <c r="H330" s="56"/>
    </row>
    <row r="331">
      <c r="H331" s="56"/>
    </row>
    <row r="332">
      <c r="H332" s="56"/>
    </row>
    <row r="333">
      <c r="H333" s="56"/>
    </row>
    <row r="334">
      <c r="H334" s="56"/>
    </row>
    <row r="335">
      <c r="H335" s="56"/>
    </row>
    <row r="336">
      <c r="H336" s="56"/>
    </row>
    <row r="337">
      <c r="H337" s="56"/>
    </row>
    <row r="338">
      <c r="H338" s="56"/>
    </row>
    <row r="339">
      <c r="H339" s="56"/>
    </row>
    <row r="340">
      <c r="H340" s="56"/>
    </row>
    <row r="341">
      <c r="H341" s="56"/>
    </row>
    <row r="342">
      <c r="H342" s="56"/>
    </row>
    <row r="343">
      <c r="H343" s="56"/>
    </row>
    <row r="344">
      <c r="H344" s="56"/>
    </row>
    <row r="345">
      <c r="H345" s="56"/>
    </row>
    <row r="346">
      <c r="H346" s="56"/>
    </row>
    <row r="347">
      <c r="H347" s="56"/>
    </row>
    <row r="348">
      <c r="H348" s="56"/>
    </row>
    <row r="349">
      <c r="H349" s="56"/>
    </row>
    <row r="350">
      <c r="H350" s="56"/>
    </row>
    <row r="351">
      <c r="H351" s="56"/>
    </row>
    <row r="352">
      <c r="H352" s="56"/>
    </row>
    <row r="353">
      <c r="H353" s="56"/>
    </row>
    <row r="354">
      <c r="H354" s="56"/>
    </row>
    <row r="355">
      <c r="H355" s="56"/>
    </row>
    <row r="356">
      <c r="H356" s="56"/>
    </row>
    <row r="357">
      <c r="H357" s="56"/>
    </row>
    <row r="358">
      <c r="H358" s="56"/>
    </row>
    <row r="359">
      <c r="H359" s="56"/>
    </row>
    <row r="360">
      <c r="H360" s="56"/>
    </row>
    <row r="361">
      <c r="H361" s="56"/>
    </row>
    <row r="362">
      <c r="H362" s="56"/>
    </row>
    <row r="363">
      <c r="H363" s="56"/>
    </row>
    <row r="364">
      <c r="H364" s="56"/>
    </row>
    <row r="365">
      <c r="H365" s="56"/>
    </row>
    <row r="366">
      <c r="H366" s="56"/>
    </row>
    <row r="367">
      <c r="H367" s="56"/>
    </row>
    <row r="368">
      <c r="H368" s="56"/>
    </row>
    <row r="369">
      <c r="H369" s="56"/>
    </row>
    <row r="370">
      <c r="H370" s="56"/>
    </row>
    <row r="371">
      <c r="H371" s="56"/>
    </row>
    <row r="372">
      <c r="H372" s="56"/>
    </row>
    <row r="373">
      <c r="H373" s="56"/>
    </row>
    <row r="374">
      <c r="H374" s="56"/>
    </row>
    <row r="375">
      <c r="H375" s="56"/>
    </row>
    <row r="376">
      <c r="H376" s="56"/>
    </row>
    <row r="377">
      <c r="H377" s="56"/>
    </row>
    <row r="378">
      <c r="H378" s="56"/>
    </row>
    <row r="379">
      <c r="H379" s="56"/>
    </row>
    <row r="380">
      <c r="H380" s="56"/>
    </row>
    <row r="381">
      <c r="H381" s="56"/>
    </row>
    <row r="382">
      <c r="H382" s="56"/>
    </row>
    <row r="383">
      <c r="H383" s="56"/>
    </row>
    <row r="384">
      <c r="H384" s="56"/>
    </row>
    <row r="385">
      <c r="H385" s="56"/>
    </row>
    <row r="386">
      <c r="H386" s="56"/>
    </row>
    <row r="387">
      <c r="H387" s="56"/>
    </row>
    <row r="388">
      <c r="H388" s="56"/>
    </row>
    <row r="389">
      <c r="H389" s="56"/>
    </row>
    <row r="390">
      <c r="H390" s="56"/>
    </row>
    <row r="391">
      <c r="H391" s="56"/>
    </row>
    <row r="392">
      <c r="H392" s="56"/>
    </row>
    <row r="393">
      <c r="H393" s="56"/>
    </row>
    <row r="394">
      <c r="H394" s="56"/>
    </row>
    <row r="395">
      <c r="H395" s="56"/>
    </row>
    <row r="396">
      <c r="H396" s="56"/>
    </row>
    <row r="397">
      <c r="H397" s="56"/>
    </row>
    <row r="398">
      <c r="H398" s="56"/>
    </row>
    <row r="399">
      <c r="H399" s="56"/>
    </row>
    <row r="400">
      <c r="H400" s="56"/>
    </row>
    <row r="401">
      <c r="H401" s="56"/>
    </row>
    <row r="402">
      <c r="H402" s="56"/>
    </row>
    <row r="403">
      <c r="H403" s="56"/>
    </row>
    <row r="404">
      <c r="H404" s="56"/>
    </row>
    <row r="405">
      <c r="H405" s="56"/>
    </row>
    <row r="406">
      <c r="H406" s="56"/>
    </row>
    <row r="407">
      <c r="H407" s="56"/>
    </row>
    <row r="408">
      <c r="H408" s="56"/>
    </row>
    <row r="409">
      <c r="H409" s="56"/>
    </row>
    <row r="410">
      <c r="H410" s="56"/>
    </row>
    <row r="411">
      <c r="H411" s="56"/>
    </row>
    <row r="412">
      <c r="H412" s="56"/>
    </row>
    <row r="413">
      <c r="H413" s="56"/>
    </row>
    <row r="414">
      <c r="H414" s="56"/>
    </row>
    <row r="415">
      <c r="H415" s="56"/>
    </row>
    <row r="416">
      <c r="H416" s="56"/>
    </row>
    <row r="417">
      <c r="H417" s="56"/>
    </row>
    <row r="418">
      <c r="H418" s="56"/>
    </row>
    <row r="419">
      <c r="H419" s="56"/>
    </row>
    <row r="420">
      <c r="H420" s="56"/>
    </row>
    <row r="421">
      <c r="H421" s="56"/>
    </row>
    <row r="422">
      <c r="H422" s="56"/>
    </row>
    <row r="423">
      <c r="H423" s="56"/>
    </row>
    <row r="424">
      <c r="H424" s="56"/>
    </row>
    <row r="425">
      <c r="H425" s="56"/>
    </row>
    <row r="426">
      <c r="H426" s="56"/>
    </row>
    <row r="427">
      <c r="H427" s="56"/>
    </row>
    <row r="428">
      <c r="H428" s="56"/>
    </row>
    <row r="429">
      <c r="H429" s="56"/>
    </row>
    <row r="430">
      <c r="H430" s="56"/>
    </row>
    <row r="431">
      <c r="H431" s="56"/>
    </row>
    <row r="432">
      <c r="H432" s="56"/>
    </row>
    <row r="433">
      <c r="H433" s="56"/>
    </row>
    <row r="434">
      <c r="H434" s="56"/>
    </row>
    <row r="435">
      <c r="H435" s="56"/>
    </row>
    <row r="436">
      <c r="H436" s="56"/>
    </row>
    <row r="437">
      <c r="H437" s="56"/>
    </row>
    <row r="438">
      <c r="H438" s="56"/>
    </row>
    <row r="439">
      <c r="H439" s="56"/>
    </row>
    <row r="440">
      <c r="H440" s="56"/>
    </row>
    <row r="441">
      <c r="H441" s="56"/>
    </row>
    <row r="442">
      <c r="H442" s="56"/>
    </row>
    <row r="443">
      <c r="H443" s="56"/>
    </row>
    <row r="444">
      <c r="H444" s="56"/>
    </row>
    <row r="445">
      <c r="H445" s="56"/>
    </row>
    <row r="446">
      <c r="H446" s="56"/>
    </row>
    <row r="447">
      <c r="H447" s="56"/>
    </row>
    <row r="448">
      <c r="H448" s="56"/>
    </row>
    <row r="449">
      <c r="H449" s="56"/>
    </row>
    <row r="450">
      <c r="H450" s="56"/>
    </row>
    <row r="451">
      <c r="H451" s="56"/>
    </row>
    <row r="452">
      <c r="H452" s="56"/>
    </row>
    <row r="453">
      <c r="H453" s="56"/>
    </row>
    <row r="454">
      <c r="H454" s="56"/>
    </row>
    <row r="455">
      <c r="H455" s="56"/>
    </row>
    <row r="456">
      <c r="H456" s="56"/>
    </row>
    <row r="457">
      <c r="H457" s="56"/>
    </row>
    <row r="458">
      <c r="H458" s="56"/>
    </row>
    <row r="459">
      <c r="H459" s="56"/>
    </row>
    <row r="460">
      <c r="H460" s="56"/>
    </row>
    <row r="461">
      <c r="H461" s="56"/>
    </row>
    <row r="462">
      <c r="H462" s="56"/>
    </row>
    <row r="463">
      <c r="H463" s="56"/>
    </row>
    <row r="464">
      <c r="H464" s="56"/>
    </row>
    <row r="465">
      <c r="H465" s="56"/>
    </row>
    <row r="466">
      <c r="H466" s="56"/>
    </row>
    <row r="467">
      <c r="H467" s="56"/>
    </row>
    <row r="468">
      <c r="H468" s="56"/>
    </row>
    <row r="469">
      <c r="H469" s="56"/>
    </row>
    <row r="470">
      <c r="H470" s="56"/>
    </row>
    <row r="471">
      <c r="H471" s="56"/>
    </row>
    <row r="472">
      <c r="H472" s="56"/>
    </row>
    <row r="473">
      <c r="H473" s="56"/>
    </row>
    <row r="474">
      <c r="H474" s="56"/>
    </row>
    <row r="475">
      <c r="H475" s="56"/>
    </row>
    <row r="476">
      <c r="H476" s="56"/>
    </row>
    <row r="477">
      <c r="H477" s="56"/>
    </row>
    <row r="478">
      <c r="H478" s="56"/>
    </row>
    <row r="479">
      <c r="H479" s="56"/>
    </row>
    <row r="480">
      <c r="H480" s="56"/>
    </row>
    <row r="481">
      <c r="H481" s="56"/>
    </row>
    <row r="482">
      <c r="H482" s="56"/>
    </row>
    <row r="483">
      <c r="H483" s="56"/>
    </row>
    <row r="484">
      <c r="H484" s="56"/>
    </row>
    <row r="485">
      <c r="H485" s="56"/>
    </row>
    <row r="486">
      <c r="H486" s="56"/>
    </row>
    <row r="487">
      <c r="H487" s="56"/>
    </row>
    <row r="488">
      <c r="H488" s="56"/>
    </row>
    <row r="489">
      <c r="H489" s="56"/>
    </row>
    <row r="490">
      <c r="H490" s="56"/>
    </row>
    <row r="491">
      <c r="H491" s="56"/>
    </row>
    <row r="492">
      <c r="H492" s="56"/>
    </row>
    <row r="493">
      <c r="H493" s="56"/>
    </row>
    <row r="494">
      <c r="H494" s="56"/>
    </row>
    <row r="495">
      <c r="H495" s="56"/>
    </row>
    <row r="496">
      <c r="H496" s="56"/>
    </row>
    <row r="497">
      <c r="H497" s="56"/>
    </row>
    <row r="498">
      <c r="H498" s="56"/>
    </row>
    <row r="499">
      <c r="H499" s="56"/>
    </row>
    <row r="500">
      <c r="H500" s="56"/>
    </row>
    <row r="501">
      <c r="H501" s="56"/>
    </row>
    <row r="502">
      <c r="H502" s="56"/>
    </row>
    <row r="503">
      <c r="H503" s="56"/>
    </row>
    <row r="504">
      <c r="H504" s="56"/>
    </row>
    <row r="505">
      <c r="H505" s="56"/>
    </row>
    <row r="506">
      <c r="H506" s="56"/>
    </row>
    <row r="507">
      <c r="H507" s="56"/>
    </row>
    <row r="508">
      <c r="H508" s="56"/>
    </row>
    <row r="509">
      <c r="H509" s="56"/>
    </row>
    <row r="510">
      <c r="H510" s="56"/>
    </row>
    <row r="511">
      <c r="H511" s="56"/>
    </row>
    <row r="512">
      <c r="H512" s="56"/>
    </row>
    <row r="513">
      <c r="H513" s="56"/>
    </row>
    <row r="514">
      <c r="H514" s="56"/>
    </row>
    <row r="515">
      <c r="H515" s="56"/>
    </row>
    <row r="516">
      <c r="H516" s="56"/>
    </row>
    <row r="517">
      <c r="H517" s="56"/>
    </row>
    <row r="518">
      <c r="H518" s="56"/>
    </row>
    <row r="519">
      <c r="H519" s="56"/>
    </row>
    <row r="520">
      <c r="H520" s="56"/>
    </row>
    <row r="521">
      <c r="H521" s="56"/>
    </row>
    <row r="522">
      <c r="H522" s="56"/>
    </row>
    <row r="523">
      <c r="H523" s="56"/>
    </row>
    <row r="524">
      <c r="H524" s="56"/>
    </row>
    <row r="525">
      <c r="H525" s="56"/>
    </row>
    <row r="526">
      <c r="H526" s="56"/>
    </row>
    <row r="527">
      <c r="H527" s="56"/>
    </row>
    <row r="528">
      <c r="H528" s="56"/>
    </row>
    <row r="529">
      <c r="H529" s="56"/>
    </row>
    <row r="530">
      <c r="H530" s="56"/>
    </row>
    <row r="531">
      <c r="H531" s="56"/>
    </row>
    <row r="532">
      <c r="H532" s="56"/>
    </row>
    <row r="533">
      <c r="H533" s="56"/>
    </row>
    <row r="534">
      <c r="H534" s="56"/>
    </row>
    <row r="535">
      <c r="H535" s="56"/>
    </row>
    <row r="536">
      <c r="H536" s="56"/>
    </row>
    <row r="537">
      <c r="H537" s="56"/>
    </row>
    <row r="538">
      <c r="H538" s="56"/>
    </row>
    <row r="539">
      <c r="H539" s="56"/>
    </row>
    <row r="540">
      <c r="H540" s="56"/>
    </row>
    <row r="541">
      <c r="H541" s="56"/>
    </row>
    <row r="542">
      <c r="H542" s="56"/>
    </row>
    <row r="543">
      <c r="H543" s="56"/>
    </row>
    <row r="544">
      <c r="H544" s="56"/>
    </row>
    <row r="545">
      <c r="H545" s="56"/>
    </row>
    <row r="546">
      <c r="H546" s="56"/>
    </row>
    <row r="547">
      <c r="H547" s="56"/>
    </row>
    <row r="548">
      <c r="H548" s="56"/>
    </row>
    <row r="549">
      <c r="H549" s="56"/>
    </row>
    <row r="550">
      <c r="H550" s="56"/>
    </row>
    <row r="551">
      <c r="H551" s="56"/>
    </row>
    <row r="552">
      <c r="H552" s="56"/>
    </row>
    <row r="553">
      <c r="H553" s="56"/>
    </row>
    <row r="554">
      <c r="H554" s="56"/>
    </row>
    <row r="555">
      <c r="H555" s="56"/>
    </row>
    <row r="556">
      <c r="H556" s="56"/>
    </row>
    <row r="557">
      <c r="H557" s="56"/>
    </row>
    <row r="558">
      <c r="H558" s="56"/>
    </row>
    <row r="559">
      <c r="H559" s="56"/>
    </row>
    <row r="560">
      <c r="H560" s="56"/>
    </row>
    <row r="561">
      <c r="H561" s="56"/>
    </row>
    <row r="562">
      <c r="H562" s="56"/>
    </row>
    <row r="563">
      <c r="H563" s="56"/>
    </row>
    <row r="564">
      <c r="H564" s="56"/>
    </row>
    <row r="565">
      <c r="H565" s="56"/>
    </row>
    <row r="566">
      <c r="H566" s="56"/>
    </row>
    <row r="567">
      <c r="H567" s="56"/>
    </row>
    <row r="568">
      <c r="H568" s="56"/>
    </row>
    <row r="569">
      <c r="H569" s="56"/>
    </row>
    <row r="570">
      <c r="H570" s="56"/>
    </row>
    <row r="571">
      <c r="H571" s="56"/>
    </row>
    <row r="572">
      <c r="H572" s="56"/>
    </row>
    <row r="573">
      <c r="H573" s="56"/>
    </row>
    <row r="574">
      <c r="H574" s="56"/>
    </row>
    <row r="575">
      <c r="H575" s="56"/>
    </row>
    <row r="576">
      <c r="H576" s="56"/>
    </row>
    <row r="577">
      <c r="H577" s="56"/>
    </row>
    <row r="578">
      <c r="H578" s="56"/>
    </row>
    <row r="579">
      <c r="H579" s="56"/>
    </row>
    <row r="580">
      <c r="H580" s="56"/>
    </row>
    <row r="581">
      <c r="H581" s="56"/>
    </row>
    <row r="582">
      <c r="H582" s="56"/>
    </row>
    <row r="583">
      <c r="H583" s="56"/>
    </row>
    <row r="584">
      <c r="H584" s="56"/>
    </row>
    <row r="585">
      <c r="H585" s="56"/>
    </row>
    <row r="586">
      <c r="H586" s="56"/>
    </row>
    <row r="587">
      <c r="H587" s="56"/>
    </row>
    <row r="588">
      <c r="H588" s="56"/>
    </row>
    <row r="589">
      <c r="H589" s="56"/>
    </row>
    <row r="590">
      <c r="H590" s="56"/>
    </row>
    <row r="591">
      <c r="H591" s="56"/>
    </row>
    <row r="592">
      <c r="H592" s="56"/>
    </row>
    <row r="593">
      <c r="H593" s="56"/>
    </row>
    <row r="594">
      <c r="H594" s="56"/>
    </row>
    <row r="595">
      <c r="H595" s="56"/>
    </row>
    <row r="596">
      <c r="H596" s="56"/>
    </row>
    <row r="597">
      <c r="H597" s="56"/>
    </row>
    <row r="598">
      <c r="H598" s="56"/>
    </row>
    <row r="599">
      <c r="H599" s="56"/>
    </row>
    <row r="600">
      <c r="H600" s="56"/>
    </row>
    <row r="601">
      <c r="H601" s="56"/>
    </row>
    <row r="602">
      <c r="H602" s="56"/>
    </row>
    <row r="603">
      <c r="H603" s="56"/>
    </row>
    <row r="604">
      <c r="H604" s="56"/>
    </row>
    <row r="605">
      <c r="H605" s="56"/>
    </row>
    <row r="606">
      <c r="H606" s="56"/>
    </row>
    <row r="607">
      <c r="H607" s="56"/>
    </row>
    <row r="608">
      <c r="H608" s="56"/>
    </row>
    <row r="609">
      <c r="H609" s="56"/>
    </row>
    <row r="610">
      <c r="H610" s="56"/>
    </row>
    <row r="611">
      <c r="H611" s="56"/>
    </row>
    <row r="612">
      <c r="H612" s="56"/>
    </row>
    <row r="613">
      <c r="H613" s="56"/>
    </row>
    <row r="614">
      <c r="H614" s="56"/>
    </row>
    <row r="615">
      <c r="H615" s="56"/>
    </row>
    <row r="616">
      <c r="H616" s="56"/>
    </row>
    <row r="617">
      <c r="H617" s="56"/>
    </row>
    <row r="618">
      <c r="H618" s="56"/>
    </row>
    <row r="619">
      <c r="H619" s="56"/>
    </row>
    <row r="620">
      <c r="H620" s="56"/>
    </row>
    <row r="621">
      <c r="H621" s="56"/>
    </row>
    <row r="622">
      <c r="H622" s="56"/>
    </row>
    <row r="623">
      <c r="H623" s="56"/>
    </row>
    <row r="624">
      <c r="H624" s="56"/>
    </row>
    <row r="625">
      <c r="H625" s="56"/>
    </row>
    <row r="626">
      <c r="H626" s="56"/>
    </row>
    <row r="627">
      <c r="H627" s="56"/>
    </row>
    <row r="628">
      <c r="H628" s="56"/>
    </row>
    <row r="629">
      <c r="H629" s="56"/>
    </row>
    <row r="630">
      <c r="H630" s="56"/>
    </row>
    <row r="631">
      <c r="H631" s="56"/>
    </row>
    <row r="632">
      <c r="H632" s="56"/>
    </row>
    <row r="633">
      <c r="H633" s="56"/>
    </row>
    <row r="634">
      <c r="H634" s="56"/>
    </row>
    <row r="635">
      <c r="H635" s="56"/>
    </row>
    <row r="636">
      <c r="H636" s="56"/>
    </row>
    <row r="637">
      <c r="H637" s="56"/>
    </row>
    <row r="638">
      <c r="H638" s="56"/>
    </row>
    <row r="639">
      <c r="H639" s="56"/>
    </row>
    <row r="640">
      <c r="H640" s="56"/>
    </row>
    <row r="641">
      <c r="H641" s="56"/>
    </row>
    <row r="642">
      <c r="H642" s="56"/>
    </row>
    <row r="643">
      <c r="H643" s="56"/>
    </row>
    <row r="644">
      <c r="H644" s="56"/>
    </row>
    <row r="645">
      <c r="H645" s="56"/>
    </row>
    <row r="646">
      <c r="H646" s="56"/>
    </row>
    <row r="647">
      <c r="H647" s="56"/>
    </row>
    <row r="648">
      <c r="H648" s="56"/>
    </row>
    <row r="649">
      <c r="H649" s="56"/>
    </row>
    <row r="650">
      <c r="H650" s="56"/>
    </row>
    <row r="651">
      <c r="H651" s="56"/>
    </row>
    <row r="652">
      <c r="H652" s="56"/>
    </row>
    <row r="653">
      <c r="H653" s="56"/>
    </row>
    <row r="654">
      <c r="H654" s="56"/>
    </row>
    <row r="655">
      <c r="H655" s="56"/>
    </row>
    <row r="656">
      <c r="H656" s="56"/>
    </row>
    <row r="657">
      <c r="H657" s="56"/>
    </row>
    <row r="658">
      <c r="H658" s="56"/>
    </row>
    <row r="659">
      <c r="H659" s="56"/>
    </row>
    <row r="660">
      <c r="H660" s="56"/>
    </row>
    <row r="661">
      <c r="H661" s="56"/>
    </row>
    <row r="662">
      <c r="H662" s="56"/>
    </row>
    <row r="663">
      <c r="H663" s="56"/>
    </row>
    <row r="664">
      <c r="H664" s="56"/>
    </row>
    <row r="665">
      <c r="H665" s="56"/>
    </row>
    <row r="666">
      <c r="H666" s="56"/>
    </row>
    <row r="667">
      <c r="H667" s="56"/>
    </row>
    <row r="668">
      <c r="H668" s="56"/>
    </row>
    <row r="669">
      <c r="H669" s="56"/>
    </row>
    <row r="670">
      <c r="H670" s="56"/>
    </row>
    <row r="671">
      <c r="H671" s="56"/>
    </row>
    <row r="672">
      <c r="H672" s="56"/>
    </row>
    <row r="673">
      <c r="H673" s="56"/>
    </row>
    <row r="674">
      <c r="H674" s="56"/>
    </row>
    <row r="675">
      <c r="H675" s="56"/>
    </row>
    <row r="676">
      <c r="H676" s="56"/>
    </row>
    <row r="677">
      <c r="H677" s="56"/>
    </row>
    <row r="678">
      <c r="H678" s="56"/>
    </row>
    <row r="679">
      <c r="H679" s="56"/>
    </row>
    <row r="680">
      <c r="H680" s="56"/>
    </row>
    <row r="681">
      <c r="H681" s="56"/>
    </row>
    <row r="682">
      <c r="H682" s="56"/>
    </row>
    <row r="683">
      <c r="H683" s="56"/>
    </row>
    <row r="684">
      <c r="H684" s="56"/>
    </row>
    <row r="685">
      <c r="H685" s="56"/>
    </row>
    <row r="686">
      <c r="H686" s="56"/>
    </row>
    <row r="687">
      <c r="H687" s="56"/>
    </row>
    <row r="688">
      <c r="H688" s="56"/>
    </row>
    <row r="689">
      <c r="H689" s="56"/>
    </row>
    <row r="690">
      <c r="H690" s="56"/>
    </row>
    <row r="691">
      <c r="H691" s="56"/>
    </row>
    <row r="692">
      <c r="H692" s="56"/>
    </row>
    <row r="693">
      <c r="H693" s="56"/>
    </row>
    <row r="694">
      <c r="H694" s="56"/>
    </row>
    <row r="695">
      <c r="H695" s="56"/>
    </row>
    <row r="696">
      <c r="H696" s="56"/>
    </row>
    <row r="697">
      <c r="H697" s="56"/>
    </row>
    <row r="698">
      <c r="H698" s="56"/>
    </row>
    <row r="699">
      <c r="H699" s="56"/>
    </row>
    <row r="700">
      <c r="H700" s="56"/>
    </row>
    <row r="701">
      <c r="H701" s="56"/>
    </row>
    <row r="702">
      <c r="H702" s="56"/>
    </row>
    <row r="703">
      <c r="H703" s="56"/>
    </row>
    <row r="704">
      <c r="H704" s="56"/>
    </row>
    <row r="705">
      <c r="H705" s="56"/>
    </row>
    <row r="706">
      <c r="H706" s="56"/>
    </row>
    <row r="707">
      <c r="H707" s="56"/>
    </row>
    <row r="708">
      <c r="H708" s="56"/>
    </row>
    <row r="709">
      <c r="H709" s="56"/>
    </row>
    <row r="710">
      <c r="H710" s="56"/>
    </row>
    <row r="711">
      <c r="H711" s="56"/>
    </row>
    <row r="712">
      <c r="H712" s="56"/>
    </row>
    <row r="713">
      <c r="H713" s="56"/>
    </row>
    <row r="714">
      <c r="H714" s="56"/>
    </row>
    <row r="715">
      <c r="H715" s="56"/>
    </row>
    <row r="716">
      <c r="H716" s="56"/>
    </row>
    <row r="717">
      <c r="H717" s="56"/>
    </row>
    <row r="718">
      <c r="H718" s="56"/>
    </row>
    <row r="719">
      <c r="H719" s="56"/>
    </row>
    <row r="720">
      <c r="H720" s="56"/>
    </row>
    <row r="721">
      <c r="H721" s="56"/>
    </row>
    <row r="722">
      <c r="H722" s="56"/>
    </row>
    <row r="723">
      <c r="H723" s="56"/>
    </row>
    <row r="724">
      <c r="H724" s="56"/>
    </row>
    <row r="725">
      <c r="H725" s="56"/>
    </row>
    <row r="726">
      <c r="H726" s="56"/>
    </row>
    <row r="727">
      <c r="H727" s="56"/>
    </row>
    <row r="728">
      <c r="H728" s="56"/>
    </row>
    <row r="729">
      <c r="H729" s="56"/>
    </row>
    <row r="730">
      <c r="H730" s="56"/>
    </row>
    <row r="731">
      <c r="H731" s="56"/>
    </row>
    <row r="732">
      <c r="H732" s="56"/>
    </row>
    <row r="733">
      <c r="H733" s="56"/>
    </row>
    <row r="734">
      <c r="H734" s="56"/>
    </row>
    <row r="735">
      <c r="H735" s="56"/>
    </row>
    <row r="736">
      <c r="H736" s="56"/>
    </row>
    <row r="737">
      <c r="H737" s="56"/>
    </row>
    <row r="738">
      <c r="H738" s="56"/>
    </row>
    <row r="739">
      <c r="H739" s="56"/>
    </row>
    <row r="740">
      <c r="H740" s="56"/>
    </row>
    <row r="741">
      <c r="H741" s="56"/>
    </row>
    <row r="742">
      <c r="H742" s="56"/>
    </row>
    <row r="743">
      <c r="H743" s="56"/>
    </row>
    <row r="744">
      <c r="H744" s="56"/>
    </row>
    <row r="745">
      <c r="H745" s="56"/>
    </row>
    <row r="746">
      <c r="H746" s="56"/>
    </row>
    <row r="747">
      <c r="H747" s="56"/>
    </row>
    <row r="748">
      <c r="H748" s="56"/>
    </row>
    <row r="749">
      <c r="H749" s="56"/>
    </row>
    <row r="750">
      <c r="H750" s="56"/>
    </row>
    <row r="751">
      <c r="H751" s="56"/>
    </row>
    <row r="752">
      <c r="H752" s="56"/>
    </row>
    <row r="753">
      <c r="H753" s="56"/>
    </row>
    <row r="754">
      <c r="H754" s="56"/>
    </row>
    <row r="755">
      <c r="H755" s="56"/>
    </row>
    <row r="756">
      <c r="H756" s="56"/>
    </row>
    <row r="757">
      <c r="H757" s="56"/>
    </row>
    <row r="758">
      <c r="H758" s="56"/>
    </row>
    <row r="759">
      <c r="H759" s="56"/>
    </row>
    <row r="760">
      <c r="H760" s="56"/>
    </row>
    <row r="761">
      <c r="H761" s="56"/>
    </row>
    <row r="762">
      <c r="H762" s="56"/>
    </row>
    <row r="763">
      <c r="H763" s="56"/>
    </row>
    <row r="764">
      <c r="H764" s="56"/>
    </row>
    <row r="765">
      <c r="H765" s="56"/>
    </row>
    <row r="766">
      <c r="H766" s="56"/>
    </row>
    <row r="767">
      <c r="H767" s="56"/>
    </row>
    <row r="768">
      <c r="H768" s="56"/>
    </row>
    <row r="769">
      <c r="H769" s="56"/>
    </row>
    <row r="770">
      <c r="H770" s="56"/>
    </row>
    <row r="771">
      <c r="H771" s="56"/>
    </row>
    <row r="772">
      <c r="H772" s="56"/>
    </row>
    <row r="773">
      <c r="H773" s="56"/>
    </row>
    <row r="774">
      <c r="H774" s="56"/>
    </row>
    <row r="775">
      <c r="H775" s="56"/>
    </row>
    <row r="776">
      <c r="H776" s="56"/>
    </row>
    <row r="777">
      <c r="H777" s="56"/>
    </row>
    <row r="778">
      <c r="H778" s="56"/>
    </row>
    <row r="779">
      <c r="H779" s="56"/>
    </row>
    <row r="780">
      <c r="H780" s="56"/>
    </row>
    <row r="781">
      <c r="H781" s="56"/>
    </row>
    <row r="782">
      <c r="H782" s="56"/>
    </row>
    <row r="783">
      <c r="H783" s="56"/>
    </row>
    <row r="784">
      <c r="H784" s="56"/>
    </row>
    <row r="785">
      <c r="H785" s="56"/>
    </row>
    <row r="786">
      <c r="H786" s="56"/>
    </row>
    <row r="787">
      <c r="H787" s="56"/>
    </row>
    <row r="788">
      <c r="H788" s="56"/>
    </row>
    <row r="789">
      <c r="H789" s="56"/>
    </row>
    <row r="790">
      <c r="H790" s="56"/>
    </row>
    <row r="791">
      <c r="H791" s="56"/>
    </row>
    <row r="792">
      <c r="H792" s="56"/>
    </row>
    <row r="793">
      <c r="H793" s="56"/>
    </row>
    <row r="794">
      <c r="H794" s="56"/>
    </row>
    <row r="795">
      <c r="H795" s="56"/>
    </row>
    <row r="796">
      <c r="H796" s="56"/>
    </row>
    <row r="797">
      <c r="H797" s="56"/>
    </row>
    <row r="798">
      <c r="H798" s="56"/>
    </row>
    <row r="799">
      <c r="H799" s="56"/>
    </row>
    <row r="800">
      <c r="H800" s="56"/>
    </row>
    <row r="801">
      <c r="H801" s="56"/>
    </row>
    <row r="802">
      <c r="H802" s="56"/>
    </row>
    <row r="803">
      <c r="H803" s="56"/>
    </row>
    <row r="804">
      <c r="H804" s="56"/>
    </row>
    <row r="805">
      <c r="H805" s="56"/>
    </row>
    <row r="806">
      <c r="H806" s="56"/>
    </row>
    <row r="807">
      <c r="H807" s="56"/>
    </row>
    <row r="808">
      <c r="H808" s="56"/>
    </row>
    <row r="809">
      <c r="H809" s="56"/>
    </row>
    <row r="810">
      <c r="H810" s="56"/>
    </row>
    <row r="811">
      <c r="H811" s="56"/>
    </row>
    <row r="812">
      <c r="H812" s="56"/>
    </row>
    <row r="813">
      <c r="H813" s="56"/>
    </row>
    <row r="814">
      <c r="H814" s="56"/>
    </row>
    <row r="815">
      <c r="H815" s="56"/>
    </row>
    <row r="816">
      <c r="H816" s="56"/>
    </row>
    <row r="817">
      <c r="H817" s="56"/>
    </row>
    <row r="818">
      <c r="H818" s="56"/>
    </row>
    <row r="819">
      <c r="H819" s="56"/>
    </row>
    <row r="820">
      <c r="H820" s="56"/>
    </row>
    <row r="821">
      <c r="H821" s="56"/>
    </row>
    <row r="822">
      <c r="H822" s="56"/>
    </row>
    <row r="823">
      <c r="H823" s="56"/>
    </row>
    <row r="824">
      <c r="H824" s="56"/>
    </row>
    <row r="825">
      <c r="H825" s="56"/>
    </row>
    <row r="826">
      <c r="H826" s="56"/>
    </row>
    <row r="827">
      <c r="H827" s="56"/>
    </row>
    <row r="828">
      <c r="H828" s="56"/>
    </row>
    <row r="829">
      <c r="H829" s="56"/>
    </row>
    <row r="830">
      <c r="H830" s="56"/>
    </row>
    <row r="831">
      <c r="H831" s="56"/>
    </row>
    <row r="832">
      <c r="H832" s="56"/>
    </row>
    <row r="833">
      <c r="H833" s="56"/>
    </row>
    <row r="834">
      <c r="H834" s="56"/>
    </row>
    <row r="835">
      <c r="H835" s="56"/>
    </row>
    <row r="836">
      <c r="H836" s="56"/>
    </row>
    <row r="837">
      <c r="H837" s="56"/>
    </row>
    <row r="838">
      <c r="H838" s="56"/>
    </row>
    <row r="839">
      <c r="H839" s="56"/>
    </row>
    <row r="840">
      <c r="H840" s="56"/>
    </row>
    <row r="841">
      <c r="H841" s="56"/>
    </row>
    <row r="842">
      <c r="H842" s="56"/>
    </row>
    <row r="843">
      <c r="H843" s="56"/>
    </row>
    <row r="844">
      <c r="H844" s="56"/>
    </row>
    <row r="845">
      <c r="H845" s="56"/>
    </row>
    <row r="846">
      <c r="H846" s="56"/>
    </row>
    <row r="847">
      <c r="H847" s="56"/>
    </row>
    <row r="848">
      <c r="H848" s="56"/>
    </row>
    <row r="849">
      <c r="H849" s="56"/>
    </row>
    <row r="850">
      <c r="H850" s="56"/>
    </row>
    <row r="851">
      <c r="H851" s="56"/>
    </row>
    <row r="852">
      <c r="H852" s="56"/>
    </row>
    <row r="853">
      <c r="H853" s="56"/>
    </row>
    <row r="854">
      <c r="H854" s="56"/>
    </row>
    <row r="855">
      <c r="H855" s="56"/>
    </row>
    <row r="856">
      <c r="H856" s="56"/>
    </row>
    <row r="857">
      <c r="H857" s="56"/>
    </row>
    <row r="858">
      <c r="H858" s="56"/>
    </row>
    <row r="859">
      <c r="H859" s="56"/>
    </row>
    <row r="860">
      <c r="H860" s="56"/>
    </row>
    <row r="861">
      <c r="H861" s="56"/>
    </row>
    <row r="862">
      <c r="H862" s="56"/>
    </row>
    <row r="863">
      <c r="H863" s="56"/>
    </row>
    <row r="864">
      <c r="H864" s="56"/>
    </row>
    <row r="865">
      <c r="H865" s="56"/>
    </row>
    <row r="866">
      <c r="H866" s="56"/>
    </row>
    <row r="867">
      <c r="H867" s="56"/>
    </row>
    <row r="868">
      <c r="H868" s="56"/>
    </row>
    <row r="869">
      <c r="H869" s="56"/>
    </row>
    <row r="870">
      <c r="H870" s="56"/>
    </row>
    <row r="871">
      <c r="H871" s="56"/>
    </row>
    <row r="872">
      <c r="H872" s="56"/>
    </row>
    <row r="873">
      <c r="H873" s="56"/>
    </row>
    <row r="874">
      <c r="H874" s="56"/>
    </row>
    <row r="875">
      <c r="H875" s="56"/>
    </row>
    <row r="876">
      <c r="H876" s="56"/>
    </row>
    <row r="877">
      <c r="H877" s="56"/>
    </row>
    <row r="878">
      <c r="H878" s="56"/>
    </row>
    <row r="879">
      <c r="H879" s="56"/>
    </row>
    <row r="880">
      <c r="H880" s="56"/>
    </row>
    <row r="881">
      <c r="H881" s="56"/>
    </row>
    <row r="882">
      <c r="H882" s="56"/>
    </row>
    <row r="883">
      <c r="H883" s="56"/>
    </row>
    <row r="884">
      <c r="H884" s="56"/>
    </row>
    <row r="885">
      <c r="H885" s="56"/>
    </row>
    <row r="886">
      <c r="H886" s="56"/>
    </row>
    <row r="887">
      <c r="H887" s="56"/>
    </row>
    <row r="888">
      <c r="H888" s="56"/>
    </row>
    <row r="889">
      <c r="H889" s="56"/>
    </row>
    <row r="890">
      <c r="H890" s="56"/>
    </row>
    <row r="891">
      <c r="H891" s="56"/>
    </row>
    <row r="892">
      <c r="H892" s="56"/>
    </row>
    <row r="893">
      <c r="H893" s="56"/>
    </row>
    <row r="894">
      <c r="H894" s="56"/>
    </row>
    <row r="895">
      <c r="H895" s="56"/>
    </row>
    <row r="896">
      <c r="H896" s="56"/>
    </row>
    <row r="897">
      <c r="H897" s="56"/>
    </row>
    <row r="898">
      <c r="H898" s="56"/>
    </row>
    <row r="899">
      <c r="H899" s="56"/>
    </row>
    <row r="900">
      <c r="H900" s="56"/>
    </row>
    <row r="901">
      <c r="H901" s="56"/>
    </row>
    <row r="902">
      <c r="H902" s="56"/>
    </row>
    <row r="903">
      <c r="H903" s="56"/>
    </row>
    <row r="904">
      <c r="H904" s="56"/>
    </row>
    <row r="905">
      <c r="H905" s="56"/>
    </row>
    <row r="906">
      <c r="H906" s="56"/>
    </row>
    <row r="907">
      <c r="H907" s="56"/>
    </row>
    <row r="908">
      <c r="H908" s="56"/>
    </row>
    <row r="909">
      <c r="H909" s="56"/>
    </row>
    <row r="910">
      <c r="H910" s="56"/>
    </row>
    <row r="911">
      <c r="H911" s="56"/>
    </row>
    <row r="912">
      <c r="H912" s="56"/>
    </row>
    <row r="913">
      <c r="H913" s="56"/>
    </row>
    <row r="914">
      <c r="H914" s="56"/>
    </row>
    <row r="915">
      <c r="H915" s="56"/>
    </row>
    <row r="916">
      <c r="H916" s="56"/>
    </row>
    <row r="917">
      <c r="H917" s="56"/>
    </row>
    <row r="918">
      <c r="H918" s="56"/>
    </row>
    <row r="919">
      <c r="H919" s="56"/>
    </row>
    <row r="920">
      <c r="H920" s="56"/>
    </row>
    <row r="921">
      <c r="H921" s="56"/>
    </row>
    <row r="922">
      <c r="H922" s="56"/>
    </row>
    <row r="923">
      <c r="H923" s="56"/>
    </row>
    <row r="924">
      <c r="H924" s="56"/>
    </row>
    <row r="925">
      <c r="H925" s="56"/>
    </row>
    <row r="926">
      <c r="H926" s="56"/>
    </row>
    <row r="927">
      <c r="H927" s="56"/>
    </row>
    <row r="928">
      <c r="H928" s="56"/>
    </row>
    <row r="929">
      <c r="H929" s="56"/>
    </row>
    <row r="930">
      <c r="H930" s="56"/>
    </row>
    <row r="931">
      <c r="H931" s="56"/>
    </row>
    <row r="932">
      <c r="H932" s="56"/>
    </row>
    <row r="933">
      <c r="H933" s="56"/>
    </row>
    <row r="934">
      <c r="H934" s="56"/>
    </row>
    <row r="935">
      <c r="H935" s="56"/>
    </row>
    <row r="936">
      <c r="H936" s="56"/>
    </row>
    <row r="937">
      <c r="H937" s="56"/>
    </row>
    <row r="938">
      <c r="H938" s="56"/>
    </row>
    <row r="939">
      <c r="H939" s="56"/>
    </row>
    <row r="940">
      <c r="H940" s="56"/>
    </row>
    <row r="941">
      <c r="H941" s="56"/>
    </row>
    <row r="942">
      <c r="H942" s="56"/>
    </row>
    <row r="943">
      <c r="H943" s="56"/>
    </row>
    <row r="944">
      <c r="H944" s="56"/>
    </row>
    <row r="945">
      <c r="H945" s="56"/>
    </row>
    <row r="946">
      <c r="H946" s="56"/>
    </row>
    <row r="947">
      <c r="H947" s="56"/>
    </row>
    <row r="948">
      <c r="H948" s="56"/>
    </row>
    <row r="949">
      <c r="H949" s="56"/>
    </row>
    <row r="950">
      <c r="H950" s="56"/>
    </row>
    <row r="951">
      <c r="H951" s="56"/>
    </row>
    <row r="952">
      <c r="H952" s="56"/>
    </row>
    <row r="953">
      <c r="H953" s="56"/>
    </row>
    <row r="954">
      <c r="H954" s="56"/>
    </row>
    <row r="955">
      <c r="H955" s="56"/>
    </row>
    <row r="956">
      <c r="H956" s="56"/>
    </row>
    <row r="957">
      <c r="H957" s="56"/>
    </row>
    <row r="958">
      <c r="H958" s="56"/>
    </row>
    <row r="959">
      <c r="H959" s="56"/>
    </row>
    <row r="960">
      <c r="H960" s="56"/>
    </row>
    <row r="961">
      <c r="H961" s="56"/>
    </row>
    <row r="962">
      <c r="H962" s="56"/>
    </row>
    <row r="963">
      <c r="H963" s="56"/>
    </row>
    <row r="964">
      <c r="H964" s="56"/>
    </row>
    <row r="965">
      <c r="H965" s="56"/>
    </row>
    <row r="966">
      <c r="H966" s="56"/>
    </row>
    <row r="967">
      <c r="H967" s="56"/>
    </row>
    <row r="968">
      <c r="H968" s="56"/>
    </row>
    <row r="969">
      <c r="H969" s="56"/>
    </row>
    <row r="970">
      <c r="H970" s="56"/>
    </row>
    <row r="971">
      <c r="H971" s="56"/>
    </row>
    <row r="972">
      <c r="H972" s="56"/>
    </row>
    <row r="973">
      <c r="H973" s="56"/>
    </row>
    <row r="974">
      <c r="H974" s="56"/>
    </row>
    <row r="975">
      <c r="H975" s="56"/>
    </row>
    <row r="976">
      <c r="H976" s="56"/>
    </row>
    <row r="977">
      <c r="H977" s="56"/>
    </row>
    <row r="978">
      <c r="H978" s="56"/>
    </row>
    <row r="979">
      <c r="H979" s="56"/>
    </row>
    <row r="980">
      <c r="H980" s="56"/>
    </row>
    <row r="981">
      <c r="H981" s="56"/>
    </row>
    <row r="982">
      <c r="H982" s="56"/>
    </row>
    <row r="983">
      <c r="H983" s="56"/>
    </row>
    <row r="984">
      <c r="H984" s="56"/>
    </row>
    <row r="985">
      <c r="H985" s="56"/>
    </row>
    <row r="986">
      <c r="H986" s="56"/>
    </row>
    <row r="987">
      <c r="H987" s="56"/>
    </row>
    <row r="988">
      <c r="H988" s="56"/>
    </row>
    <row r="989">
      <c r="H989" s="56"/>
    </row>
    <row r="990">
      <c r="H990" s="56"/>
    </row>
    <row r="991">
      <c r="H991" s="56"/>
    </row>
    <row r="992">
      <c r="H992" s="56"/>
    </row>
    <row r="993">
      <c r="H993" s="56"/>
    </row>
    <row r="994">
      <c r="H994" s="56"/>
    </row>
    <row r="995">
      <c r="H995" s="56"/>
    </row>
    <row r="996">
      <c r="H996" s="56"/>
    </row>
    <row r="997">
      <c r="H997" s="56"/>
    </row>
    <row r="998">
      <c r="H998" s="56"/>
    </row>
    <row r="999">
      <c r="H999" s="56"/>
    </row>
    <row r="1000">
      <c r="H1000" s="56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2.63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5.0</v>
      </c>
      <c r="C2" s="71">
        <v>51.34</v>
      </c>
      <c r="D2" s="71">
        <v>100.0</v>
      </c>
      <c r="E2" s="87">
        <f t="shared" ref="E2:E9" si="1">C2/D2</f>
        <v>0.5134</v>
      </c>
      <c r="F2" s="72">
        <v>2.0</v>
      </c>
      <c r="G2" s="94">
        <v>58.17</v>
      </c>
      <c r="H2" s="107" t="s">
        <v>389</v>
      </c>
    </row>
    <row r="3">
      <c r="A3" s="38" t="s">
        <v>86</v>
      </c>
      <c r="B3" s="71">
        <v>7.0</v>
      </c>
      <c r="C3" s="96">
        <v>68.412</v>
      </c>
      <c r="D3" s="71">
        <v>75.0</v>
      </c>
      <c r="E3" s="87">
        <f t="shared" si="1"/>
        <v>0.91216</v>
      </c>
      <c r="F3" s="72">
        <v>2.0</v>
      </c>
      <c r="G3" s="97">
        <v>93.0</v>
      </c>
      <c r="H3" s="107" t="s">
        <v>390</v>
      </c>
    </row>
    <row r="4">
      <c r="A4" s="38" t="s">
        <v>88</v>
      </c>
      <c r="B4" s="71">
        <v>11.0</v>
      </c>
      <c r="C4" s="71">
        <v>71.13</v>
      </c>
      <c r="D4" s="71">
        <v>95.0</v>
      </c>
      <c r="E4" s="87">
        <f t="shared" si="1"/>
        <v>0.7487368421</v>
      </c>
      <c r="F4" s="72">
        <v>2.0</v>
      </c>
      <c r="G4" s="97">
        <v>54.98</v>
      </c>
      <c r="H4" s="107" t="s">
        <v>391</v>
      </c>
    </row>
    <row r="5">
      <c r="A5" s="38" t="s">
        <v>90</v>
      </c>
      <c r="B5" s="71">
        <v>10.0</v>
      </c>
      <c r="C5" s="71">
        <v>62.714</v>
      </c>
      <c r="D5" s="71">
        <v>75.0</v>
      </c>
      <c r="E5" s="87">
        <f t="shared" si="1"/>
        <v>0.8361866667</v>
      </c>
      <c r="F5" s="72">
        <v>2.0</v>
      </c>
      <c r="G5" s="94">
        <v>53.42</v>
      </c>
      <c r="H5" s="107" t="s">
        <v>392</v>
      </c>
    </row>
    <row r="6">
      <c r="A6" s="38" t="s">
        <v>91</v>
      </c>
      <c r="B6" s="71">
        <v>6.0</v>
      </c>
      <c r="C6" s="71">
        <v>60.896</v>
      </c>
      <c r="D6" s="71">
        <v>100.0</v>
      </c>
      <c r="E6" s="87">
        <f t="shared" si="1"/>
        <v>0.60896</v>
      </c>
      <c r="F6" s="72">
        <v>1.0</v>
      </c>
      <c r="G6" s="102">
        <v>68.52</v>
      </c>
      <c r="H6" s="107" t="s">
        <v>393</v>
      </c>
    </row>
    <row r="7">
      <c r="A7" s="38" t="s">
        <v>94</v>
      </c>
      <c r="B7" s="71">
        <v>9.0</v>
      </c>
      <c r="C7" s="71">
        <v>59.788</v>
      </c>
      <c r="D7" s="71">
        <v>80.0</v>
      </c>
      <c r="E7" s="87">
        <f t="shared" si="1"/>
        <v>0.74735</v>
      </c>
      <c r="F7" s="72">
        <v>2.0</v>
      </c>
      <c r="G7" s="94">
        <v>63.93</v>
      </c>
      <c r="H7" s="107" t="s">
        <v>394</v>
      </c>
    </row>
    <row r="8">
      <c r="A8" s="7" t="s">
        <v>96</v>
      </c>
      <c r="B8" s="71">
        <v>12.0</v>
      </c>
      <c r="C8" s="79">
        <v>108.022</v>
      </c>
      <c r="D8" s="71">
        <v>80.0</v>
      </c>
      <c r="E8" s="87">
        <f t="shared" si="1"/>
        <v>1.350275</v>
      </c>
      <c r="F8" s="72">
        <v>1.0</v>
      </c>
      <c r="G8" s="94">
        <v>83.22</v>
      </c>
      <c r="H8" s="107" t="s">
        <v>395</v>
      </c>
    </row>
    <row r="9">
      <c r="C9" s="39">
        <f t="shared" ref="C9:D9" si="2">SUM(C2:C8)</f>
        <v>482.302</v>
      </c>
      <c r="D9" s="39">
        <f t="shared" si="2"/>
        <v>605</v>
      </c>
      <c r="E9" s="87">
        <f t="shared" si="1"/>
        <v>0.7971933884</v>
      </c>
    </row>
    <row r="11">
      <c r="E11" s="94" t="s">
        <v>193</v>
      </c>
      <c r="F11" s="94" t="s">
        <v>194</v>
      </c>
      <c r="G11" s="94" t="s">
        <v>217</v>
      </c>
    </row>
    <row r="12">
      <c r="E12" s="94">
        <v>1.0</v>
      </c>
      <c r="F12" s="100" t="s">
        <v>96</v>
      </c>
      <c r="G12" s="94">
        <v>5.44</v>
      </c>
    </row>
    <row r="13">
      <c r="E13" s="97">
        <v>2.0</v>
      </c>
      <c r="F13" s="100" t="s">
        <v>90</v>
      </c>
      <c r="G13" s="100">
        <v>4.2</v>
      </c>
    </row>
    <row r="14">
      <c r="E14" s="97">
        <v>3.0</v>
      </c>
      <c r="F14" s="100" t="s">
        <v>108</v>
      </c>
      <c r="G14" s="100">
        <v>3.87</v>
      </c>
    </row>
    <row r="15">
      <c r="E15" s="94">
        <v>4.0</v>
      </c>
      <c r="F15" s="100" t="s">
        <v>88</v>
      </c>
      <c r="G15" s="100">
        <v>3.28</v>
      </c>
    </row>
    <row r="16">
      <c r="E16" s="94">
        <v>5.0</v>
      </c>
      <c r="F16" s="100" t="s">
        <v>94</v>
      </c>
      <c r="G16" s="100">
        <v>3.1</v>
      </c>
    </row>
    <row r="17">
      <c r="E17" s="94">
        <v>6.0</v>
      </c>
      <c r="F17" s="100" t="s">
        <v>91</v>
      </c>
      <c r="G17" s="100">
        <v>2.98</v>
      </c>
    </row>
    <row r="18">
      <c r="E18" s="94">
        <v>7.0</v>
      </c>
      <c r="F18" s="100" t="s">
        <v>85</v>
      </c>
      <c r="G18" s="100">
        <v>2.46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2.63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9.0</v>
      </c>
      <c r="C2" s="71">
        <v>101.292</v>
      </c>
      <c r="D2" s="71">
        <v>100.0</v>
      </c>
      <c r="E2" s="87">
        <f t="shared" ref="E2:E9" si="1">C2/D2</f>
        <v>1.01292</v>
      </c>
      <c r="F2" s="72">
        <v>1.0</v>
      </c>
      <c r="G2" s="94">
        <v>44.0</v>
      </c>
      <c r="H2" s="107" t="s">
        <v>396</v>
      </c>
    </row>
    <row r="3">
      <c r="A3" s="38" t="s">
        <v>86</v>
      </c>
      <c r="B3" s="71">
        <v>1.0</v>
      </c>
      <c r="C3" s="96">
        <v>76.752</v>
      </c>
      <c r="D3" s="71">
        <v>75.0</v>
      </c>
      <c r="E3" s="87">
        <f t="shared" si="1"/>
        <v>1.02336</v>
      </c>
      <c r="F3" s="72">
        <v>0.0</v>
      </c>
      <c r="G3" s="108"/>
      <c r="H3" s="107" t="s">
        <v>397</v>
      </c>
    </row>
    <row r="4">
      <c r="A4" s="38" t="s">
        <v>88</v>
      </c>
      <c r="B4" s="71">
        <v>7.0</v>
      </c>
      <c r="C4" s="71">
        <v>61.76</v>
      </c>
      <c r="D4" s="71">
        <v>95.0</v>
      </c>
      <c r="E4" s="87">
        <f t="shared" si="1"/>
        <v>0.6501052632</v>
      </c>
      <c r="F4" s="72">
        <v>3.0</v>
      </c>
      <c r="G4" s="97">
        <v>50.12</v>
      </c>
      <c r="H4" s="107" t="s">
        <v>398</v>
      </c>
    </row>
    <row r="5">
      <c r="A5" s="38" t="s">
        <v>90</v>
      </c>
      <c r="B5" s="71">
        <v>16.0</v>
      </c>
      <c r="C5" s="71">
        <v>88.715</v>
      </c>
      <c r="D5" s="71">
        <v>67.5</v>
      </c>
      <c r="E5" s="87">
        <f t="shared" si="1"/>
        <v>1.314296296</v>
      </c>
      <c r="F5" s="72">
        <v>0.0</v>
      </c>
      <c r="G5" s="94">
        <v>49.12</v>
      </c>
      <c r="H5" s="107" t="s">
        <v>399</v>
      </c>
    </row>
    <row r="6">
      <c r="A6" s="38" t="s">
        <v>91</v>
      </c>
      <c r="B6" s="71">
        <v>14.0</v>
      </c>
      <c r="C6" s="71">
        <v>53.695</v>
      </c>
      <c r="D6" s="71">
        <v>100.0</v>
      </c>
      <c r="E6" s="87">
        <f t="shared" si="1"/>
        <v>0.53695</v>
      </c>
      <c r="F6" s="72">
        <v>2.0</v>
      </c>
      <c r="G6" s="102">
        <v>46.47</v>
      </c>
      <c r="H6" s="107" t="s">
        <v>400</v>
      </c>
    </row>
    <row r="7">
      <c r="A7" s="38" t="s">
        <v>94</v>
      </c>
      <c r="B7" s="71">
        <v>3.0</v>
      </c>
      <c r="C7" s="71">
        <v>98.9</v>
      </c>
      <c r="D7" s="71">
        <v>100.0</v>
      </c>
      <c r="E7" s="87">
        <f t="shared" si="1"/>
        <v>0.989</v>
      </c>
      <c r="F7" s="72">
        <v>5.0</v>
      </c>
      <c r="G7" s="94">
        <v>68.0</v>
      </c>
      <c r="H7" s="107" t="s">
        <v>401</v>
      </c>
    </row>
    <row r="8">
      <c r="A8" s="7" t="s">
        <v>96</v>
      </c>
      <c r="B8" s="71">
        <v>9.0</v>
      </c>
      <c r="C8" s="79">
        <v>76.13</v>
      </c>
      <c r="D8" s="71">
        <v>80.0</v>
      </c>
      <c r="E8" s="87">
        <f t="shared" si="1"/>
        <v>0.951625</v>
      </c>
      <c r="F8" s="72">
        <v>0.0</v>
      </c>
      <c r="G8" s="94">
        <v>55.77</v>
      </c>
      <c r="H8" s="107" t="s">
        <v>402</v>
      </c>
    </row>
    <row r="9">
      <c r="C9" s="39">
        <f t="shared" ref="C9:D9" si="2">SUM(C2:C8)</f>
        <v>557.244</v>
      </c>
      <c r="D9" s="39">
        <f t="shared" si="2"/>
        <v>617.5</v>
      </c>
      <c r="E9" s="87">
        <f t="shared" si="1"/>
        <v>0.9024194332</v>
      </c>
    </row>
    <row r="11">
      <c r="E11" s="94" t="s">
        <v>193</v>
      </c>
      <c r="F11" s="94" t="s">
        <v>194</v>
      </c>
      <c r="G11" s="94" t="s">
        <v>217</v>
      </c>
    </row>
    <row r="12">
      <c r="E12" s="94">
        <v>1.0</v>
      </c>
      <c r="F12" s="100" t="s">
        <v>90</v>
      </c>
      <c r="G12" s="94">
        <v>5.19</v>
      </c>
    </row>
    <row r="13">
      <c r="E13" s="97">
        <v>2.0</v>
      </c>
      <c r="F13" s="100" t="s">
        <v>108</v>
      </c>
      <c r="G13" s="100">
        <v>4.59</v>
      </c>
    </row>
    <row r="14">
      <c r="E14" s="97">
        <v>3.0</v>
      </c>
      <c r="F14" s="100" t="s">
        <v>96</v>
      </c>
      <c r="G14" s="100">
        <v>4.52</v>
      </c>
    </row>
    <row r="15">
      <c r="E15" s="94">
        <v>4.0</v>
      </c>
      <c r="F15" s="100" t="s">
        <v>85</v>
      </c>
      <c r="G15" s="100">
        <v>4.11</v>
      </c>
    </row>
    <row r="16">
      <c r="E16" s="94">
        <v>5.0</v>
      </c>
      <c r="F16" s="100" t="s">
        <v>403</v>
      </c>
      <c r="G16" s="100">
        <v>3.16</v>
      </c>
    </row>
    <row r="17">
      <c r="E17" s="94">
        <v>6.0</v>
      </c>
      <c r="F17" s="100" t="s">
        <v>91</v>
      </c>
      <c r="G17" s="100">
        <v>2.63</v>
      </c>
    </row>
    <row r="18">
      <c r="E18" s="94">
        <v>7.0</v>
      </c>
      <c r="F18" s="100" t="s">
        <v>88</v>
      </c>
      <c r="G18" s="100">
        <v>2.27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3.7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3.0</v>
      </c>
      <c r="C2" s="71">
        <v>33.956</v>
      </c>
      <c r="D2" s="71">
        <v>100.0</v>
      </c>
      <c r="E2" s="87">
        <f t="shared" ref="E2:E9" si="1">C2/D2</f>
        <v>0.33956</v>
      </c>
      <c r="F2" s="72">
        <v>0.0</v>
      </c>
      <c r="G2" s="94">
        <v>28.5</v>
      </c>
      <c r="H2" s="107" t="s">
        <v>404</v>
      </c>
    </row>
    <row r="3">
      <c r="A3" s="38" t="s">
        <v>86</v>
      </c>
      <c r="B3" s="71">
        <v>2.0</v>
      </c>
      <c r="C3" s="96">
        <v>75.0</v>
      </c>
      <c r="D3" s="71">
        <v>75.0</v>
      </c>
      <c r="E3" s="87">
        <f t="shared" si="1"/>
        <v>1</v>
      </c>
      <c r="F3" s="72">
        <v>0.0</v>
      </c>
      <c r="G3" s="97">
        <v>80.0</v>
      </c>
      <c r="H3" s="107" t="s">
        <v>405</v>
      </c>
    </row>
    <row r="4">
      <c r="A4" s="38" t="s">
        <v>88</v>
      </c>
      <c r="B4" s="71">
        <v>3.0</v>
      </c>
      <c r="C4" s="71">
        <v>72.336</v>
      </c>
      <c r="D4" s="71">
        <v>90.0</v>
      </c>
      <c r="E4" s="87">
        <f t="shared" si="1"/>
        <v>0.8037333333</v>
      </c>
      <c r="F4" s="72">
        <v>0.0</v>
      </c>
      <c r="G4" s="97">
        <v>60.02</v>
      </c>
      <c r="H4" s="107" t="s">
        <v>406</v>
      </c>
    </row>
    <row r="5">
      <c r="A5" s="38" t="s">
        <v>90</v>
      </c>
      <c r="B5" s="71">
        <v>4.0</v>
      </c>
      <c r="C5" s="71">
        <v>68.4</v>
      </c>
      <c r="D5" s="71">
        <v>75.0</v>
      </c>
      <c r="E5" s="87">
        <f t="shared" si="1"/>
        <v>0.912</v>
      </c>
      <c r="F5" s="72">
        <v>0.0</v>
      </c>
      <c r="G5" s="94">
        <v>51.45</v>
      </c>
      <c r="H5" s="107" t="s">
        <v>407</v>
      </c>
    </row>
    <row r="6">
      <c r="A6" s="38" t="s">
        <v>91</v>
      </c>
      <c r="B6" s="71">
        <v>14.0</v>
      </c>
      <c r="C6" s="71">
        <v>63.21</v>
      </c>
      <c r="D6" s="71">
        <v>100.0</v>
      </c>
      <c r="E6" s="87">
        <f t="shared" si="1"/>
        <v>0.6321</v>
      </c>
      <c r="F6" s="72">
        <v>2.0</v>
      </c>
      <c r="G6" s="102">
        <v>42.0</v>
      </c>
      <c r="H6" s="107" t="s">
        <v>408</v>
      </c>
    </row>
    <row r="7">
      <c r="A7" s="38" t="s">
        <v>94</v>
      </c>
      <c r="B7" s="71">
        <v>3.0</v>
      </c>
      <c r="C7" s="71">
        <v>82.0</v>
      </c>
      <c r="D7" s="71">
        <v>100.0</v>
      </c>
      <c r="E7" s="87">
        <f t="shared" si="1"/>
        <v>0.82</v>
      </c>
      <c r="F7" s="72">
        <v>0.0</v>
      </c>
      <c r="G7" s="94">
        <v>69.28</v>
      </c>
      <c r="H7" s="107" t="s">
        <v>409</v>
      </c>
    </row>
    <row r="8">
      <c r="A8" s="7" t="s">
        <v>96</v>
      </c>
      <c r="B8" s="71">
        <v>5.0</v>
      </c>
      <c r="C8" s="79">
        <v>98.992</v>
      </c>
      <c r="D8" s="71">
        <v>80.0</v>
      </c>
      <c r="E8" s="87">
        <f t="shared" si="1"/>
        <v>1.2374</v>
      </c>
      <c r="F8" s="72">
        <v>0.0</v>
      </c>
      <c r="G8" s="94">
        <v>69.75</v>
      </c>
      <c r="H8" s="107" t="s">
        <v>410</v>
      </c>
    </row>
    <row r="9">
      <c r="C9" s="39">
        <f t="shared" ref="C9:D9" si="2">SUM(C2:C8)</f>
        <v>493.894</v>
      </c>
      <c r="D9" s="39">
        <f t="shared" si="2"/>
        <v>620</v>
      </c>
      <c r="E9" s="87">
        <f t="shared" si="1"/>
        <v>0.7966032258</v>
      </c>
    </row>
    <row r="12">
      <c r="C12" s="94" t="s">
        <v>193</v>
      </c>
      <c r="D12" s="94" t="s">
        <v>194</v>
      </c>
      <c r="E12" s="94" t="s">
        <v>217</v>
      </c>
    </row>
    <row r="13">
      <c r="C13" s="94">
        <v>1.0</v>
      </c>
      <c r="D13" s="100" t="s">
        <v>96</v>
      </c>
      <c r="E13" s="94">
        <v>5.42</v>
      </c>
    </row>
    <row r="14">
      <c r="C14" s="97">
        <v>2.0</v>
      </c>
      <c r="D14" s="100" t="s">
        <v>108</v>
      </c>
      <c r="E14" s="100">
        <v>4.95</v>
      </c>
    </row>
    <row r="15">
      <c r="C15" s="97">
        <v>3.0</v>
      </c>
      <c r="D15" s="100" t="s">
        <v>90</v>
      </c>
      <c r="E15" s="100">
        <v>4.56</v>
      </c>
    </row>
    <row r="16">
      <c r="C16" s="94">
        <v>4.0</v>
      </c>
      <c r="D16" s="100" t="s">
        <v>94</v>
      </c>
      <c r="E16" s="100">
        <v>3.87</v>
      </c>
    </row>
    <row r="17">
      <c r="C17" s="94">
        <v>5.0</v>
      </c>
      <c r="D17" s="100" t="s">
        <v>88</v>
      </c>
      <c r="E17" s="100">
        <v>3.82</v>
      </c>
    </row>
    <row r="18">
      <c r="C18" s="94">
        <v>6.0</v>
      </c>
      <c r="D18" s="100" t="s">
        <v>91</v>
      </c>
      <c r="E18" s="100">
        <v>2.93</v>
      </c>
    </row>
    <row r="19">
      <c r="C19" s="94">
        <v>7.0</v>
      </c>
      <c r="D19" s="100" t="s">
        <v>85</v>
      </c>
      <c r="E19" s="100">
        <v>2.41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3.7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3.0</v>
      </c>
      <c r="C2" s="71">
        <v>76.912</v>
      </c>
      <c r="D2" s="71">
        <v>115.0</v>
      </c>
      <c r="E2" s="87">
        <f t="shared" ref="E2:E9" si="1">C2/D2</f>
        <v>0.6688</v>
      </c>
      <c r="F2" s="72">
        <v>2.0</v>
      </c>
      <c r="G2" s="94">
        <v>80.0</v>
      </c>
      <c r="H2" s="107" t="s">
        <v>411</v>
      </c>
    </row>
    <row r="3">
      <c r="A3" s="38" t="s">
        <v>86</v>
      </c>
      <c r="B3" s="71">
        <v>5.0</v>
      </c>
      <c r="C3" s="96">
        <v>89.18</v>
      </c>
      <c r="D3" s="71">
        <v>86.25</v>
      </c>
      <c r="E3" s="87">
        <f t="shared" si="1"/>
        <v>1.033971014</v>
      </c>
      <c r="F3" s="72">
        <v>0.0</v>
      </c>
      <c r="G3" s="97">
        <v>98.0</v>
      </c>
      <c r="H3" s="107" t="s">
        <v>412</v>
      </c>
    </row>
    <row r="4">
      <c r="A4" s="38" t="s">
        <v>88</v>
      </c>
      <c r="B4" s="71">
        <v>7.0</v>
      </c>
      <c r="C4" s="71">
        <v>81.858</v>
      </c>
      <c r="D4" s="71">
        <v>110.0</v>
      </c>
      <c r="E4" s="87">
        <f t="shared" si="1"/>
        <v>0.7441636364</v>
      </c>
      <c r="F4" s="72">
        <v>2.0</v>
      </c>
      <c r="G4" s="97">
        <v>56.45</v>
      </c>
      <c r="H4" s="107" t="s">
        <v>413</v>
      </c>
    </row>
    <row r="5">
      <c r="A5" s="38" t="s">
        <v>90</v>
      </c>
      <c r="B5" s="71">
        <v>4.0</v>
      </c>
      <c r="C5" s="71">
        <v>72.74</v>
      </c>
      <c r="D5" s="71">
        <v>86.25</v>
      </c>
      <c r="E5" s="87">
        <f t="shared" si="1"/>
        <v>0.8433623188</v>
      </c>
      <c r="F5" s="72">
        <v>0.0</v>
      </c>
      <c r="G5" s="94">
        <v>90.0</v>
      </c>
      <c r="H5" s="107" t="s">
        <v>414</v>
      </c>
    </row>
    <row r="6">
      <c r="A6" s="38" t="s">
        <v>91</v>
      </c>
      <c r="B6" s="71">
        <v>9.0</v>
      </c>
      <c r="C6" s="71">
        <v>54.044</v>
      </c>
      <c r="D6" s="71">
        <v>115.0</v>
      </c>
      <c r="E6" s="87">
        <f t="shared" si="1"/>
        <v>0.4699478261</v>
      </c>
      <c r="F6" s="72">
        <v>5.0</v>
      </c>
      <c r="G6" s="102">
        <v>55.43</v>
      </c>
      <c r="H6" s="107" t="s">
        <v>415</v>
      </c>
    </row>
    <row r="7">
      <c r="A7" s="38" t="s">
        <v>94</v>
      </c>
      <c r="B7" s="71">
        <v>1.0</v>
      </c>
      <c r="C7" s="71">
        <v>83.82</v>
      </c>
      <c r="D7" s="71">
        <v>115.0</v>
      </c>
      <c r="E7" s="87">
        <f t="shared" si="1"/>
        <v>0.7288695652</v>
      </c>
      <c r="F7" s="72">
        <v>1.0</v>
      </c>
      <c r="G7" s="94">
        <v>122.62</v>
      </c>
      <c r="H7" s="107" t="s">
        <v>416</v>
      </c>
    </row>
    <row r="8">
      <c r="A8" s="7" t="s">
        <v>96</v>
      </c>
      <c r="B8" s="71">
        <v>5.0</v>
      </c>
      <c r="C8" s="79">
        <v>81.2</v>
      </c>
      <c r="D8" s="71">
        <v>92.0</v>
      </c>
      <c r="E8" s="87">
        <f t="shared" si="1"/>
        <v>0.8826086957</v>
      </c>
      <c r="F8" s="72">
        <v>1.0</v>
      </c>
      <c r="G8" s="94">
        <v>91.57</v>
      </c>
      <c r="H8" s="107" t="s">
        <v>417</v>
      </c>
    </row>
    <row r="9">
      <c r="C9" s="39">
        <f t="shared" ref="C9:D9" si="2">SUM(C2:C8)</f>
        <v>539.754</v>
      </c>
      <c r="D9" s="39">
        <f t="shared" si="2"/>
        <v>719.5</v>
      </c>
      <c r="E9" s="87">
        <f t="shared" si="1"/>
        <v>0.7501792912</v>
      </c>
    </row>
    <row r="12">
      <c r="C12" s="94" t="s">
        <v>193</v>
      </c>
      <c r="D12" s="94" t="s">
        <v>194</v>
      </c>
      <c r="E12" s="94" t="s">
        <v>217</v>
      </c>
    </row>
    <row r="13">
      <c r="C13" s="94">
        <v>1.0</v>
      </c>
      <c r="D13" s="100" t="s">
        <v>108</v>
      </c>
      <c r="E13" s="94">
        <v>5.04</v>
      </c>
    </row>
    <row r="14">
      <c r="C14" s="97">
        <v>2.0</v>
      </c>
      <c r="D14" s="100" t="s">
        <v>90</v>
      </c>
      <c r="E14" s="100">
        <v>4.46</v>
      </c>
    </row>
    <row r="15">
      <c r="C15" s="97">
        <v>3.0</v>
      </c>
      <c r="D15" s="100" t="s">
        <v>96</v>
      </c>
      <c r="E15" s="100">
        <v>4.33</v>
      </c>
    </row>
    <row r="16">
      <c r="C16" s="94">
        <v>4.0</v>
      </c>
      <c r="D16" s="100" t="s">
        <v>94</v>
      </c>
      <c r="E16" s="100">
        <v>3.35</v>
      </c>
    </row>
    <row r="17">
      <c r="C17" s="94">
        <v>5.0</v>
      </c>
      <c r="D17" s="100" t="s">
        <v>88</v>
      </c>
      <c r="E17" s="100">
        <v>3.25</v>
      </c>
    </row>
    <row r="18">
      <c r="C18" s="94">
        <v>6.0</v>
      </c>
      <c r="D18" s="100" t="s">
        <v>85</v>
      </c>
      <c r="E18" s="100">
        <v>2.45</v>
      </c>
    </row>
    <row r="19">
      <c r="C19" s="94">
        <v>7.0</v>
      </c>
      <c r="D19" s="100" t="s">
        <v>91</v>
      </c>
      <c r="E19" s="100">
        <v>2.11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1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1.0</v>
      </c>
      <c r="C2" s="71">
        <v>2.3</v>
      </c>
      <c r="D2" s="71">
        <v>50.0</v>
      </c>
      <c r="E2" s="87">
        <f t="shared" ref="E2:E9" si="1">C2/D2</f>
        <v>0.046</v>
      </c>
      <c r="F2" s="72">
        <v>1.0</v>
      </c>
      <c r="G2" s="94">
        <v>29.0</v>
      </c>
      <c r="H2" s="107" t="s">
        <v>418</v>
      </c>
    </row>
    <row r="3">
      <c r="A3" s="38" t="s">
        <v>86</v>
      </c>
      <c r="B3" s="71">
        <v>3.0</v>
      </c>
      <c r="C3" s="96">
        <v>61.54</v>
      </c>
      <c r="D3" s="71">
        <v>75.0</v>
      </c>
      <c r="E3" s="87">
        <f t="shared" si="1"/>
        <v>0.8205333333</v>
      </c>
      <c r="F3" s="72">
        <v>1.0</v>
      </c>
      <c r="G3" s="97">
        <v>60.0</v>
      </c>
      <c r="H3" s="107" t="s">
        <v>419</v>
      </c>
    </row>
    <row r="4">
      <c r="A4" s="38" t="s">
        <v>88</v>
      </c>
      <c r="B4" s="71">
        <v>16.0</v>
      </c>
      <c r="C4" s="71">
        <v>74.132</v>
      </c>
      <c r="D4" s="71">
        <v>100.0</v>
      </c>
      <c r="E4" s="87">
        <f t="shared" si="1"/>
        <v>0.74132</v>
      </c>
      <c r="F4" s="72">
        <v>0.0</v>
      </c>
      <c r="G4" s="97">
        <v>54.83</v>
      </c>
      <c r="H4" s="107" t="s">
        <v>420</v>
      </c>
    </row>
    <row r="5">
      <c r="A5" s="38" t="s">
        <v>90</v>
      </c>
      <c r="B5" s="71">
        <v>5.0</v>
      </c>
      <c r="C5" s="71">
        <v>59.1</v>
      </c>
      <c r="D5" s="71">
        <v>75.0</v>
      </c>
      <c r="E5" s="87">
        <f t="shared" si="1"/>
        <v>0.788</v>
      </c>
      <c r="F5" s="72">
        <v>0.0</v>
      </c>
      <c r="G5" s="94">
        <v>46.5</v>
      </c>
      <c r="H5" s="107" t="s">
        <v>421</v>
      </c>
    </row>
    <row r="6">
      <c r="A6" s="38" t="s">
        <v>91</v>
      </c>
      <c r="B6" s="71">
        <v>8.0</v>
      </c>
      <c r="C6" s="71">
        <v>40.66</v>
      </c>
      <c r="D6" s="71">
        <v>100.0</v>
      </c>
      <c r="E6" s="87">
        <f t="shared" si="1"/>
        <v>0.4066</v>
      </c>
      <c r="F6" s="72">
        <v>4.0</v>
      </c>
      <c r="G6" s="102">
        <v>60.08</v>
      </c>
      <c r="H6" s="107" t="s">
        <v>422</v>
      </c>
    </row>
    <row r="7">
      <c r="A7" s="38" t="s">
        <v>94</v>
      </c>
      <c r="B7" s="71">
        <v>9.0</v>
      </c>
      <c r="C7" s="71">
        <v>93.97</v>
      </c>
      <c r="D7" s="71">
        <v>100.0</v>
      </c>
      <c r="E7" s="87">
        <f t="shared" si="1"/>
        <v>0.9397</v>
      </c>
      <c r="F7" s="72">
        <v>0.0</v>
      </c>
      <c r="G7" s="94">
        <v>59.38</v>
      </c>
      <c r="H7" s="107" t="s">
        <v>423</v>
      </c>
    </row>
    <row r="8">
      <c r="A8" s="7" t="s">
        <v>96</v>
      </c>
      <c r="B8" s="71">
        <v>6.0</v>
      </c>
      <c r="C8" s="79">
        <v>42.0</v>
      </c>
      <c r="D8" s="71">
        <v>80.0</v>
      </c>
      <c r="E8" s="87">
        <f t="shared" si="1"/>
        <v>0.525</v>
      </c>
      <c r="F8" s="72">
        <v>3.0</v>
      </c>
      <c r="G8" s="94">
        <v>69.02</v>
      </c>
      <c r="H8" s="107" t="s">
        <v>424</v>
      </c>
    </row>
    <row r="9">
      <c r="C9" s="39">
        <f t="shared" ref="C9:D9" si="2">SUM(C2:C8)</f>
        <v>373.702</v>
      </c>
      <c r="D9" s="39">
        <f t="shared" si="2"/>
        <v>580</v>
      </c>
      <c r="E9" s="87">
        <f t="shared" si="1"/>
        <v>0.6443137931</v>
      </c>
    </row>
    <row r="12">
      <c r="D12" s="94">
        <v>1.0</v>
      </c>
      <c r="E12" s="100" t="s">
        <v>90</v>
      </c>
      <c r="F12" s="94">
        <v>4.1</v>
      </c>
    </row>
    <row r="13">
      <c r="D13" s="97">
        <v>2.0</v>
      </c>
      <c r="E13" s="100" t="s">
        <v>108</v>
      </c>
      <c r="F13" s="100">
        <v>4.08</v>
      </c>
    </row>
    <row r="14">
      <c r="D14" s="97">
        <v>3.0</v>
      </c>
      <c r="E14" s="100" t="s">
        <v>94</v>
      </c>
      <c r="F14" s="100">
        <v>4.06</v>
      </c>
    </row>
    <row r="15">
      <c r="D15" s="94">
        <v>4.0</v>
      </c>
      <c r="E15" s="100" t="s">
        <v>88</v>
      </c>
      <c r="F15" s="100">
        <v>3.75</v>
      </c>
    </row>
    <row r="16">
      <c r="D16" s="94">
        <v>5.0</v>
      </c>
      <c r="E16" s="100" t="s">
        <v>96</v>
      </c>
      <c r="F16" s="100">
        <v>2.98</v>
      </c>
    </row>
    <row r="17">
      <c r="D17" s="94">
        <v>6.0</v>
      </c>
      <c r="E17" s="100" t="s">
        <v>91</v>
      </c>
      <c r="F17" s="100">
        <v>1.84</v>
      </c>
    </row>
    <row r="18">
      <c r="D18" s="94">
        <v>7.0</v>
      </c>
      <c r="E18" s="100" t="s">
        <v>85</v>
      </c>
      <c r="F18" s="100">
        <v>1.43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1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7.0</v>
      </c>
      <c r="C2" s="71">
        <v>45.122</v>
      </c>
      <c r="D2" s="71">
        <v>90.0</v>
      </c>
      <c r="E2" s="87">
        <f t="shared" ref="E2:E9" si="1">C2/D2</f>
        <v>0.5013555556</v>
      </c>
      <c r="F2" s="72">
        <v>2.0</v>
      </c>
      <c r="G2" s="94">
        <v>47.0</v>
      </c>
      <c r="H2" s="107" t="s">
        <v>425</v>
      </c>
    </row>
    <row r="3">
      <c r="A3" s="38" t="s">
        <v>86</v>
      </c>
      <c r="B3" s="71">
        <v>6.0</v>
      </c>
      <c r="C3" s="96">
        <v>66.348</v>
      </c>
      <c r="D3" s="71">
        <v>75.0</v>
      </c>
      <c r="E3" s="87">
        <f t="shared" si="1"/>
        <v>0.88464</v>
      </c>
      <c r="F3" s="72">
        <v>0.0</v>
      </c>
      <c r="G3" s="97">
        <v>81.5</v>
      </c>
      <c r="H3" s="107" t="s">
        <v>426</v>
      </c>
    </row>
    <row r="4">
      <c r="A4" s="38" t="s">
        <v>88</v>
      </c>
      <c r="B4" s="71">
        <v>15.0</v>
      </c>
      <c r="C4" s="71">
        <v>77.18</v>
      </c>
      <c r="D4" s="71">
        <v>100.0</v>
      </c>
      <c r="E4" s="87">
        <f t="shared" si="1"/>
        <v>0.7718</v>
      </c>
      <c r="F4" s="72">
        <v>2.0</v>
      </c>
      <c r="G4" s="97">
        <v>64.75</v>
      </c>
      <c r="H4" s="107" t="s">
        <v>427</v>
      </c>
    </row>
    <row r="5">
      <c r="A5" s="38" t="s">
        <v>90</v>
      </c>
      <c r="B5" s="71">
        <v>5.0</v>
      </c>
      <c r="C5" s="71">
        <v>38.532</v>
      </c>
      <c r="D5" s="71">
        <v>75.0</v>
      </c>
      <c r="E5" s="87">
        <f t="shared" si="1"/>
        <v>0.51376</v>
      </c>
      <c r="F5" s="72">
        <v>0.0</v>
      </c>
      <c r="G5" s="94">
        <v>31.37</v>
      </c>
      <c r="H5" s="107" t="s">
        <v>428</v>
      </c>
    </row>
    <row r="6">
      <c r="A6" s="38" t="s">
        <v>91</v>
      </c>
      <c r="B6" s="71">
        <v>11.0</v>
      </c>
      <c r="C6" s="71">
        <v>55.865</v>
      </c>
      <c r="D6" s="71">
        <v>90.0</v>
      </c>
      <c r="E6" s="87">
        <f t="shared" si="1"/>
        <v>0.6207222222</v>
      </c>
      <c r="F6" s="72">
        <v>0.0</v>
      </c>
      <c r="G6" s="102">
        <v>53.35</v>
      </c>
      <c r="H6" s="107" t="s">
        <v>429</v>
      </c>
    </row>
    <row r="7">
      <c r="A7" s="38" t="s">
        <v>94</v>
      </c>
      <c r="B7" s="71">
        <v>3.0</v>
      </c>
      <c r="C7" s="71">
        <v>47.652</v>
      </c>
      <c r="D7" s="71">
        <v>100.0</v>
      </c>
      <c r="E7" s="87">
        <f t="shared" si="1"/>
        <v>0.47652</v>
      </c>
      <c r="F7" s="72">
        <v>1.0</v>
      </c>
      <c r="G7" s="94">
        <v>70.12</v>
      </c>
      <c r="H7" s="107" t="s">
        <v>430</v>
      </c>
    </row>
    <row r="8">
      <c r="A8" s="7" t="s">
        <v>96</v>
      </c>
      <c r="B8" s="71">
        <v>7.0</v>
      </c>
      <c r="C8" s="79">
        <v>43.41</v>
      </c>
      <c r="D8" s="71">
        <v>80.0</v>
      </c>
      <c r="E8" s="87">
        <f t="shared" si="1"/>
        <v>0.542625</v>
      </c>
      <c r="F8" s="72">
        <v>0.0</v>
      </c>
      <c r="G8" s="94">
        <v>39.5</v>
      </c>
      <c r="H8" s="107" t="s">
        <v>431</v>
      </c>
    </row>
    <row r="9">
      <c r="C9" s="39">
        <f t="shared" ref="C9:D9" si="2">SUM(C2:C8)</f>
        <v>374.109</v>
      </c>
      <c r="D9" s="39">
        <f t="shared" si="2"/>
        <v>610</v>
      </c>
      <c r="E9" s="87">
        <f t="shared" si="1"/>
        <v>0.6132934426</v>
      </c>
    </row>
    <row r="12">
      <c r="D12" s="94" t="s">
        <v>193</v>
      </c>
      <c r="E12" s="94" t="s">
        <v>194</v>
      </c>
      <c r="F12" s="94" t="s">
        <v>217</v>
      </c>
    </row>
    <row r="13">
      <c r="A13" s="55" t="s">
        <v>432</v>
      </c>
      <c r="D13" s="94">
        <v>1.0</v>
      </c>
      <c r="E13" s="100" t="s">
        <v>108</v>
      </c>
      <c r="F13" s="94">
        <v>4.51</v>
      </c>
    </row>
    <row r="14">
      <c r="D14" s="97">
        <v>2.0</v>
      </c>
      <c r="E14" s="100" t="s">
        <v>88</v>
      </c>
      <c r="F14" s="100">
        <v>3.72</v>
      </c>
    </row>
    <row r="15">
      <c r="D15" s="97">
        <v>3.0</v>
      </c>
      <c r="E15" s="100" t="s">
        <v>90</v>
      </c>
      <c r="F15" s="100">
        <v>3.68</v>
      </c>
    </row>
    <row r="16">
      <c r="D16" s="94">
        <v>4.0</v>
      </c>
      <c r="E16" s="100" t="s">
        <v>96</v>
      </c>
      <c r="F16" s="100">
        <v>3.39</v>
      </c>
    </row>
    <row r="17">
      <c r="D17" s="94">
        <v>5.0</v>
      </c>
      <c r="E17" s="100" t="s">
        <v>91</v>
      </c>
      <c r="F17" s="100">
        <v>3.17</v>
      </c>
    </row>
    <row r="18">
      <c r="D18" s="94">
        <v>6.0</v>
      </c>
      <c r="E18" s="100" t="s">
        <v>94</v>
      </c>
      <c r="F18" s="100">
        <v>2.49</v>
      </c>
    </row>
    <row r="19">
      <c r="D19" s="94">
        <v>7.0</v>
      </c>
      <c r="E19" s="100" t="s">
        <v>85</v>
      </c>
      <c r="F19" s="100">
        <v>2.22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8" max="8" width="104.0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9.0</v>
      </c>
      <c r="C2" s="71">
        <v>41.82</v>
      </c>
      <c r="D2" s="71">
        <v>90.0</v>
      </c>
      <c r="E2" s="87">
        <f t="shared" ref="E2:E9" si="1">C2/D2</f>
        <v>0.4646666667</v>
      </c>
      <c r="F2" s="72">
        <v>7.0</v>
      </c>
      <c r="G2" s="94">
        <v>55.17</v>
      </c>
      <c r="H2" s="107" t="s">
        <v>433</v>
      </c>
    </row>
    <row r="3">
      <c r="A3" s="38" t="s">
        <v>86</v>
      </c>
      <c r="B3" s="71">
        <v>10.0</v>
      </c>
      <c r="C3" s="96">
        <v>62.74</v>
      </c>
      <c r="D3" s="71">
        <v>75.0</v>
      </c>
      <c r="E3" s="87">
        <f t="shared" si="1"/>
        <v>0.8365333333</v>
      </c>
      <c r="F3" s="72">
        <v>2.0</v>
      </c>
      <c r="G3" s="97">
        <v>48.0</v>
      </c>
      <c r="H3" s="107" t="s">
        <v>434</v>
      </c>
    </row>
    <row r="4">
      <c r="A4" s="38" t="s">
        <v>88</v>
      </c>
      <c r="B4" s="71">
        <v>13.0</v>
      </c>
      <c r="C4" s="71">
        <v>81.52</v>
      </c>
      <c r="D4" s="71">
        <v>100.0</v>
      </c>
      <c r="E4" s="87">
        <f t="shared" si="1"/>
        <v>0.8152</v>
      </c>
      <c r="F4" s="72">
        <v>1.0</v>
      </c>
      <c r="G4" s="97">
        <v>55.95</v>
      </c>
      <c r="H4" s="107" t="s">
        <v>435</v>
      </c>
    </row>
    <row r="5">
      <c r="A5" s="38" t="s">
        <v>90</v>
      </c>
      <c r="B5" s="71">
        <v>12.0</v>
      </c>
      <c r="C5" s="71">
        <v>63.932</v>
      </c>
      <c r="D5" s="71">
        <v>75.0</v>
      </c>
      <c r="E5" s="87">
        <f t="shared" si="1"/>
        <v>0.8524266667</v>
      </c>
      <c r="F5" s="72">
        <v>0.0</v>
      </c>
      <c r="G5" s="94">
        <v>87.08</v>
      </c>
      <c r="H5" s="107" t="s">
        <v>436</v>
      </c>
    </row>
    <row r="6">
      <c r="A6" s="38" t="s">
        <v>91</v>
      </c>
      <c r="B6" s="71">
        <v>14.0</v>
      </c>
      <c r="C6" s="71">
        <v>45.756</v>
      </c>
      <c r="D6" s="71">
        <v>100.0</v>
      </c>
      <c r="E6" s="87">
        <f t="shared" si="1"/>
        <v>0.45756</v>
      </c>
      <c r="F6" s="72">
        <v>2.0</v>
      </c>
      <c r="G6" s="102">
        <v>63.52</v>
      </c>
      <c r="H6" s="107" t="s">
        <v>437</v>
      </c>
    </row>
    <row r="7">
      <c r="A7" s="38" t="s">
        <v>94</v>
      </c>
      <c r="B7" s="71">
        <v>8.0</v>
      </c>
      <c r="C7" s="71">
        <f>53.79+34.848+8</f>
        <v>96.638</v>
      </c>
      <c r="D7" s="71">
        <v>100.0</v>
      </c>
      <c r="E7" s="87">
        <f t="shared" si="1"/>
        <v>0.96638</v>
      </c>
      <c r="F7" s="72">
        <v>1.0</v>
      </c>
      <c r="G7" s="94">
        <f>63.33+24+14.5</f>
        <v>101.83</v>
      </c>
      <c r="H7" s="107" t="s">
        <v>438</v>
      </c>
    </row>
    <row r="8">
      <c r="A8" s="7" t="s">
        <v>96</v>
      </c>
      <c r="B8" s="71">
        <v>7.0</v>
      </c>
      <c r="C8" s="79">
        <v>45.63</v>
      </c>
      <c r="D8" s="71">
        <v>80.0</v>
      </c>
      <c r="E8" s="87">
        <f t="shared" si="1"/>
        <v>0.570375</v>
      </c>
      <c r="F8" s="72">
        <v>0.0</v>
      </c>
      <c r="G8" s="94">
        <v>27.63</v>
      </c>
      <c r="H8" s="107" t="s">
        <v>439</v>
      </c>
    </row>
    <row r="9">
      <c r="C9" s="39">
        <f t="shared" ref="C9:D9" si="2">SUM(C2:C8)</f>
        <v>438.036</v>
      </c>
      <c r="D9" s="39">
        <f t="shared" si="2"/>
        <v>620</v>
      </c>
      <c r="E9" s="87">
        <f t="shared" si="1"/>
        <v>0.7065096774</v>
      </c>
    </row>
    <row r="12">
      <c r="D12" s="94" t="s">
        <v>193</v>
      </c>
      <c r="E12" s="94" t="s">
        <v>194</v>
      </c>
      <c r="F12" s="94" t="s">
        <v>217</v>
      </c>
    </row>
    <row r="13">
      <c r="A13" s="55" t="s">
        <v>432</v>
      </c>
      <c r="D13" s="94">
        <v>1.0</v>
      </c>
      <c r="E13" s="100" t="s">
        <v>90</v>
      </c>
      <c r="F13" s="94">
        <v>4.4</v>
      </c>
    </row>
    <row r="14">
      <c r="D14" s="97">
        <v>2.0</v>
      </c>
      <c r="E14" s="100" t="s">
        <v>94</v>
      </c>
      <c r="F14" s="100">
        <v>4.09</v>
      </c>
    </row>
    <row r="15">
      <c r="D15" s="97">
        <v>3.0</v>
      </c>
      <c r="E15" s="100" t="s">
        <v>108</v>
      </c>
      <c r="F15" s="100">
        <v>3.91</v>
      </c>
    </row>
    <row r="16">
      <c r="D16" s="94">
        <v>4.0</v>
      </c>
      <c r="E16" s="100" t="s">
        <v>88</v>
      </c>
      <c r="F16" s="100">
        <v>3.8</v>
      </c>
    </row>
    <row r="17">
      <c r="D17" s="94">
        <v>5.0</v>
      </c>
      <c r="E17" s="100" t="s">
        <v>96</v>
      </c>
      <c r="F17" s="100">
        <v>3.42</v>
      </c>
    </row>
    <row r="18">
      <c r="D18" s="94">
        <v>6.0</v>
      </c>
      <c r="E18" s="100" t="s">
        <v>91</v>
      </c>
      <c r="F18" s="100">
        <v>2.49</v>
      </c>
    </row>
    <row r="19">
      <c r="D19" s="94">
        <v>7.0</v>
      </c>
      <c r="E19" s="100" t="s">
        <v>85</v>
      </c>
      <c r="F19" s="100">
        <v>1.99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4.0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5.0</v>
      </c>
      <c r="C2" s="71">
        <v>34.825</v>
      </c>
      <c r="D2" s="71">
        <v>80.0</v>
      </c>
      <c r="E2" s="87">
        <f t="shared" ref="E2:E9" si="1">C2/D2</f>
        <v>0.4353125</v>
      </c>
      <c r="F2" s="72">
        <v>2.0</v>
      </c>
      <c r="G2" s="94">
        <v>40.92</v>
      </c>
      <c r="H2" s="107" t="s">
        <v>440</v>
      </c>
    </row>
    <row r="3">
      <c r="A3" s="38" t="s">
        <v>86</v>
      </c>
      <c r="B3" s="71">
        <v>5.0</v>
      </c>
      <c r="C3" s="96">
        <v>49.815</v>
      </c>
      <c r="D3" s="71">
        <v>60.0</v>
      </c>
      <c r="E3" s="87">
        <f t="shared" si="1"/>
        <v>0.83025</v>
      </c>
      <c r="F3" s="72">
        <v>2.0</v>
      </c>
      <c r="G3" s="97">
        <v>25.0</v>
      </c>
      <c r="H3" s="107" t="s">
        <v>441</v>
      </c>
    </row>
    <row r="4">
      <c r="A4" s="38" t="s">
        <v>88</v>
      </c>
      <c r="B4" s="71">
        <v>5.0</v>
      </c>
      <c r="C4" s="71">
        <v>55.76</v>
      </c>
      <c r="D4" s="71">
        <v>80.0</v>
      </c>
      <c r="E4" s="87">
        <f t="shared" si="1"/>
        <v>0.697</v>
      </c>
      <c r="F4" s="72">
        <v>4.0</v>
      </c>
      <c r="G4" s="97">
        <v>54.63</v>
      </c>
      <c r="H4" s="107" t="s">
        <v>442</v>
      </c>
    </row>
    <row r="5">
      <c r="A5" s="38" t="s">
        <v>90</v>
      </c>
      <c r="B5" s="71">
        <v>12.0</v>
      </c>
      <c r="C5" s="71">
        <v>46.12</v>
      </c>
      <c r="D5" s="71">
        <v>56.25</v>
      </c>
      <c r="E5" s="87">
        <f t="shared" si="1"/>
        <v>0.8199111111</v>
      </c>
      <c r="F5" s="72">
        <v>0.0</v>
      </c>
      <c r="G5" s="94">
        <v>32.32</v>
      </c>
      <c r="H5" s="107" t="s">
        <v>443</v>
      </c>
    </row>
    <row r="6">
      <c r="A6" s="38" t="s">
        <v>91</v>
      </c>
      <c r="B6" s="71">
        <v>13.0</v>
      </c>
      <c r="C6" s="71">
        <v>36.536</v>
      </c>
      <c r="D6" s="71">
        <v>80.0</v>
      </c>
      <c r="E6" s="87">
        <f t="shared" si="1"/>
        <v>0.4567</v>
      </c>
      <c r="F6" s="72">
        <v>2.0</v>
      </c>
      <c r="G6" s="102">
        <v>43.2</v>
      </c>
      <c r="H6" s="107" t="s">
        <v>444</v>
      </c>
    </row>
    <row r="7">
      <c r="A7" s="38" t="s">
        <v>94</v>
      </c>
      <c r="B7" s="71">
        <v>13.0</v>
      </c>
      <c r="C7" s="71">
        <v>78.604</v>
      </c>
      <c r="D7" s="71">
        <v>75.0</v>
      </c>
      <c r="E7" s="87">
        <f t="shared" si="1"/>
        <v>1.048053333</v>
      </c>
      <c r="F7" s="72">
        <v>1.0</v>
      </c>
      <c r="G7" s="94">
        <v>51.33</v>
      </c>
      <c r="H7" s="107" t="s">
        <v>445</v>
      </c>
    </row>
    <row r="8">
      <c r="A8" s="7" t="s">
        <v>96</v>
      </c>
      <c r="B8" s="71">
        <v>18.0</v>
      </c>
      <c r="C8" s="79">
        <v>44.244</v>
      </c>
      <c r="D8" s="71">
        <v>64.0</v>
      </c>
      <c r="E8" s="87">
        <f t="shared" si="1"/>
        <v>0.6913125</v>
      </c>
      <c r="F8" s="72">
        <v>4.0</v>
      </c>
      <c r="G8" s="94">
        <v>22.08</v>
      </c>
      <c r="H8" s="107" t="s">
        <v>446</v>
      </c>
    </row>
    <row r="9">
      <c r="C9" s="39">
        <f t="shared" ref="C9:D9" si="2">SUM(C2:C8)</f>
        <v>345.904</v>
      </c>
      <c r="D9" s="39">
        <f t="shared" si="2"/>
        <v>495.25</v>
      </c>
      <c r="E9" s="87">
        <f t="shared" si="1"/>
        <v>0.6984432105</v>
      </c>
    </row>
    <row r="12">
      <c r="D12" s="94" t="s">
        <v>193</v>
      </c>
      <c r="E12" s="94" t="s">
        <v>194</v>
      </c>
      <c r="F12" s="94" t="s">
        <v>217</v>
      </c>
    </row>
    <row r="13">
      <c r="D13" s="94">
        <v>1.0</v>
      </c>
      <c r="E13" s="105" t="s">
        <v>94</v>
      </c>
      <c r="F13" s="94">
        <v>4.26</v>
      </c>
    </row>
    <row r="14">
      <c r="D14" s="97">
        <v>2.0</v>
      </c>
      <c r="E14" s="105" t="s">
        <v>90</v>
      </c>
      <c r="F14" s="100">
        <v>3.99</v>
      </c>
    </row>
    <row r="15">
      <c r="D15" s="97">
        <v>3.0</v>
      </c>
      <c r="E15" s="105" t="s">
        <v>96</v>
      </c>
      <c r="F15" s="100">
        <v>3.48</v>
      </c>
    </row>
    <row r="16">
      <c r="D16" s="94">
        <v>4.0</v>
      </c>
      <c r="E16" s="105" t="s">
        <v>108</v>
      </c>
      <c r="F16" s="100">
        <v>3.25</v>
      </c>
    </row>
    <row r="17">
      <c r="D17" s="94">
        <v>5.0</v>
      </c>
      <c r="E17" s="105" t="s">
        <v>88</v>
      </c>
      <c r="F17" s="100">
        <v>2.77</v>
      </c>
    </row>
    <row r="18">
      <c r="D18" s="94">
        <v>6.0</v>
      </c>
      <c r="E18" s="105" t="s">
        <v>91</v>
      </c>
      <c r="F18" s="100">
        <v>2.21</v>
      </c>
    </row>
    <row r="19">
      <c r="D19" s="94">
        <v>7.0</v>
      </c>
      <c r="E19" s="105" t="s">
        <v>85</v>
      </c>
      <c r="F19" s="100">
        <v>1.81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5.3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9.0</v>
      </c>
      <c r="C2" s="71">
        <v>65.591</v>
      </c>
      <c r="D2" s="71">
        <v>100.0</v>
      </c>
      <c r="E2" s="87">
        <f t="shared" ref="E2:E9" si="1">C2/D2</f>
        <v>0.65591</v>
      </c>
      <c r="F2" s="72">
        <v>4.0</v>
      </c>
      <c r="G2" s="94">
        <v>56.67</v>
      </c>
      <c r="H2" s="107" t="s">
        <v>447</v>
      </c>
    </row>
    <row r="3">
      <c r="A3" s="38" t="s">
        <v>86</v>
      </c>
      <c r="B3" s="71">
        <v>8.0</v>
      </c>
      <c r="C3" s="96">
        <v>46.76</v>
      </c>
      <c r="D3" s="71">
        <v>75.0</v>
      </c>
      <c r="E3" s="87">
        <f t="shared" si="1"/>
        <v>0.6234666667</v>
      </c>
      <c r="F3" s="72">
        <v>2.0</v>
      </c>
      <c r="G3" s="97">
        <v>44.75</v>
      </c>
      <c r="H3" s="107" t="s">
        <v>448</v>
      </c>
    </row>
    <row r="4">
      <c r="A4" s="38" t="s">
        <v>88</v>
      </c>
      <c r="B4" s="71">
        <v>17.0</v>
      </c>
      <c r="C4" s="71">
        <v>72.72</v>
      </c>
      <c r="D4" s="71">
        <v>100.0</v>
      </c>
      <c r="E4" s="87">
        <f t="shared" si="1"/>
        <v>0.7272</v>
      </c>
      <c r="F4" s="72">
        <v>3.0</v>
      </c>
      <c r="G4" s="97">
        <v>60.67</v>
      </c>
      <c r="H4" s="107" t="s">
        <v>449</v>
      </c>
    </row>
    <row r="5">
      <c r="A5" s="38" t="s">
        <v>90</v>
      </c>
      <c r="B5" s="71">
        <v>16.0</v>
      </c>
      <c r="C5" s="71">
        <v>59.22</v>
      </c>
      <c r="D5" s="71">
        <v>75.0</v>
      </c>
      <c r="E5" s="87">
        <f t="shared" si="1"/>
        <v>0.7896</v>
      </c>
      <c r="F5" s="72">
        <v>0.0</v>
      </c>
      <c r="G5" s="94">
        <v>50.97</v>
      </c>
      <c r="H5" s="107" t="s">
        <v>450</v>
      </c>
    </row>
    <row r="6">
      <c r="A6" s="38" t="s">
        <v>91</v>
      </c>
      <c r="B6" s="71">
        <v>9.0</v>
      </c>
      <c r="C6" s="71">
        <v>61.67</v>
      </c>
      <c r="D6" s="71">
        <v>100.0</v>
      </c>
      <c r="E6" s="87">
        <f t="shared" si="1"/>
        <v>0.6167</v>
      </c>
      <c r="F6" s="72">
        <v>2.0</v>
      </c>
      <c r="G6" s="102">
        <v>77.63</v>
      </c>
      <c r="H6" s="107" t="s">
        <v>451</v>
      </c>
    </row>
    <row r="7">
      <c r="A7" s="38" t="s">
        <v>94</v>
      </c>
      <c r="B7" s="71">
        <v>12.0</v>
      </c>
      <c r="C7" s="71">
        <v>101.78</v>
      </c>
      <c r="D7" s="71">
        <v>100.0</v>
      </c>
      <c r="E7" s="87">
        <f t="shared" si="1"/>
        <v>1.0178</v>
      </c>
      <c r="F7" s="72">
        <v>3.0</v>
      </c>
      <c r="G7" s="94">
        <v>51.83</v>
      </c>
      <c r="H7" s="107" t="s">
        <v>452</v>
      </c>
    </row>
    <row r="8">
      <c r="A8" s="7" t="s">
        <v>96</v>
      </c>
      <c r="B8" s="71">
        <v>29.0</v>
      </c>
      <c r="C8" s="79">
        <v>51.05</v>
      </c>
      <c r="D8" s="71">
        <v>72.0</v>
      </c>
      <c r="E8" s="87">
        <f t="shared" si="1"/>
        <v>0.7090277778</v>
      </c>
      <c r="F8" s="72">
        <v>5.0</v>
      </c>
      <c r="G8" s="94">
        <v>38.83</v>
      </c>
      <c r="H8" s="107" t="s">
        <v>453</v>
      </c>
    </row>
    <row r="9">
      <c r="C9" s="39">
        <f t="shared" ref="C9:D9" si="2">SUM(C2:C8)</f>
        <v>458.791</v>
      </c>
      <c r="D9" s="39">
        <f t="shared" si="2"/>
        <v>622</v>
      </c>
      <c r="E9" s="87">
        <f t="shared" si="1"/>
        <v>0.7376061093</v>
      </c>
    </row>
    <row r="11">
      <c r="D11" s="94">
        <v>1.0</v>
      </c>
      <c r="E11" s="105" t="s">
        <v>90</v>
      </c>
      <c r="F11" s="94">
        <v>4.02</v>
      </c>
    </row>
    <row r="12">
      <c r="D12" s="97">
        <v>2.0</v>
      </c>
      <c r="E12" s="105" t="s">
        <v>94</v>
      </c>
      <c r="F12" s="100">
        <v>3.7</v>
      </c>
    </row>
    <row r="13">
      <c r="D13" s="97">
        <v>3.0</v>
      </c>
      <c r="E13" s="105" t="s">
        <v>96</v>
      </c>
      <c r="F13" s="100">
        <v>3.34</v>
      </c>
    </row>
    <row r="14">
      <c r="D14" s="94">
        <v>4.0</v>
      </c>
      <c r="E14" s="105" t="s">
        <v>88</v>
      </c>
      <c r="F14" s="100">
        <v>3.31</v>
      </c>
    </row>
    <row r="15">
      <c r="D15" s="94">
        <v>5.0</v>
      </c>
      <c r="E15" s="105" t="s">
        <v>108</v>
      </c>
      <c r="F15" s="100">
        <v>3.04</v>
      </c>
      <c r="H15" s="109"/>
    </row>
    <row r="16">
      <c r="D16" s="94">
        <v>6.0</v>
      </c>
      <c r="E16" s="105" t="s">
        <v>91</v>
      </c>
      <c r="F16" s="100">
        <v>2.69</v>
      </c>
    </row>
    <row r="17">
      <c r="D17" s="94">
        <v>7.0</v>
      </c>
      <c r="E17" s="105" t="s">
        <v>85</v>
      </c>
      <c r="F17" s="100">
        <v>2.35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2.3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10.0</v>
      </c>
      <c r="C2" s="71">
        <v>42.458</v>
      </c>
      <c r="D2" s="71">
        <v>100.0</v>
      </c>
      <c r="E2" s="87">
        <f t="shared" ref="E2:E9" si="1">C2/D2</f>
        <v>0.42458</v>
      </c>
      <c r="F2" s="72">
        <v>2.0</v>
      </c>
      <c r="G2" s="94">
        <v>43.67</v>
      </c>
      <c r="H2" s="107" t="s">
        <v>454</v>
      </c>
    </row>
    <row r="3">
      <c r="A3" s="38" t="s">
        <v>86</v>
      </c>
      <c r="B3" s="71">
        <v>2.0</v>
      </c>
      <c r="C3" s="96">
        <v>63.58</v>
      </c>
      <c r="D3" s="71">
        <v>75.0</v>
      </c>
      <c r="E3" s="87">
        <f t="shared" si="1"/>
        <v>0.8477333333</v>
      </c>
      <c r="F3" s="72">
        <v>0.0</v>
      </c>
      <c r="G3" s="97">
        <v>85.5</v>
      </c>
      <c r="H3" s="107" t="s">
        <v>455</v>
      </c>
    </row>
    <row r="4">
      <c r="A4" s="38" t="s">
        <v>88</v>
      </c>
      <c r="B4" s="71">
        <v>16.0</v>
      </c>
      <c r="C4" s="71">
        <v>75.05</v>
      </c>
      <c r="D4" s="71">
        <v>100.0</v>
      </c>
      <c r="E4" s="87">
        <f t="shared" si="1"/>
        <v>0.7505</v>
      </c>
      <c r="F4" s="72">
        <v>3.0</v>
      </c>
      <c r="G4" s="97">
        <v>60.92</v>
      </c>
      <c r="H4" s="107" t="s">
        <v>456</v>
      </c>
    </row>
    <row r="5">
      <c r="A5" s="38" t="s">
        <v>90</v>
      </c>
      <c r="B5" s="71">
        <v>9.0</v>
      </c>
      <c r="C5" s="71">
        <v>69.092</v>
      </c>
      <c r="D5" s="71">
        <v>75.0</v>
      </c>
      <c r="E5" s="87">
        <f t="shared" si="1"/>
        <v>0.9212266667</v>
      </c>
      <c r="F5" s="72">
        <v>0.0</v>
      </c>
      <c r="G5" s="94">
        <v>54.58</v>
      </c>
      <c r="H5" s="107" t="s">
        <v>457</v>
      </c>
    </row>
    <row r="6">
      <c r="A6" s="38" t="s">
        <v>91</v>
      </c>
      <c r="B6" s="71">
        <v>11.0</v>
      </c>
      <c r="C6" s="71">
        <v>49.984</v>
      </c>
      <c r="D6" s="71">
        <v>100.0</v>
      </c>
      <c r="E6" s="87">
        <f t="shared" si="1"/>
        <v>0.49984</v>
      </c>
      <c r="F6" s="72">
        <v>3.0</v>
      </c>
      <c r="G6" s="102">
        <v>51.88</v>
      </c>
      <c r="H6" s="107" t="s">
        <v>458</v>
      </c>
    </row>
    <row r="7">
      <c r="A7" s="38" t="s">
        <v>94</v>
      </c>
      <c r="B7" s="71">
        <v>3.0</v>
      </c>
      <c r="C7" s="71">
        <v>186.76</v>
      </c>
      <c r="D7" s="71">
        <v>100.0</v>
      </c>
      <c r="E7" s="87">
        <f t="shared" si="1"/>
        <v>1.8676</v>
      </c>
      <c r="F7" s="72">
        <v>1.0</v>
      </c>
      <c r="G7" s="94">
        <v>129.55</v>
      </c>
      <c r="H7" s="107" t="s">
        <v>459</v>
      </c>
    </row>
    <row r="8">
      <c r="A8" s="7" t="s">
        <v>96</v>
      </c>
      <c r="B8" s="71">
        <v>13.0</v>
      </c>
      <c r="C8" s="79">
        <v>44.44</v>
      </c>
      <c r="D8" s="71">
        <v>72.0</v>
      </c>
      <c r="E8" s="87">
        <f t="shared" si="1"/>
        <v>0.6172222222</v>
      </c>
      <c r="F8" s="72">
        <v>2.0</v>
      </c>
      <c r="G8" s="94">
        <v>34.52</v>
      </c>
      <c r="H8" s="107" t="s">
        <v>460</v>
      </c>
    </row>
    <row r="9">
      <c r="C9" s="39">
        <f t="shared" ref="C9:D9" si="2">SUM(C2:C8)</f>
        <v>531.364</v>
      </c>
      <c r="D9" s="39">
        <f t="shared" si="2"/>
        <v>622</v>
      </c>
      <c r="E9" s="87">
        <f t="shared" si="1"/>
        <v>0.8542829582</v>
      </c>
    </row>
    <row r="11">
      <c r="D11" s="94">
        <v>1.0</v>
      </c>
      <c r="E11" s="105" t="s">
        <v>94</v>
      </c>
      <c r="F11" s="94">
        <v>4.52</v>
      </c>
    </row>
    <row r="12">
      <c r="D12" s="97">
        <v>2.0</v>
      </c>
      <c r="E12" s="105" t="s">
        <v>90</v>
      </c>
      <c r="F12" s="100">
        <v>4.47</v>
      </c>
    </row>
    <row r="13">
      <c r="D13" s="97">
        <v>3.0</v>
      </c>
      <c r="E13" s="105" t="s">
        <v>108</v>
      </c>
      <c r="F13" s="100">
        <v>4.41</v>
      </c>
    </row>
    <row r="14">
      <c r="D14" s="94">
        <v>4.0</v>
      </c>
      <c r="E14" s="105" t="s">
        <v>88</v>
      </c>
      <c r="F14" s="100">
        <v>3.4</v>
      </c>
    </row>
    <row r="15">
      <c r="D15" s="94">
        <v>5.0</v>
      </c>
      <c r="E15" s="105" t="s">
        <v>96</v>
      </c>
      <c r="F15" s="100">
        <v>3.33</v>
      </c>
      <c r="H15" s="109"/>
    </row>
    <row r="16">
      <c r="D16" s="94">
        <v>6.0</v>
      </c>
      <c r="E16" s="105" t="s">
        <v>91</v>
      </c>
      <c r="F16" s="100">
        <v>2.3</v>
      </c>
    </row>
    <row r="17">
      <c r="D17" s="94">
        <v>7.0</v>
      </c>
      <c r="E17" s="105" t="s">
        <v>85</v>
      </c>
      <c r="F17" s="100">
        <v>2.29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6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8.0</v>
      </c>
      <c r="C2" s="71">
        <v>86.81</v>
      </c>
      <c r="D2" s="71">
        <v>150.0</v>
      </c>
      <c r="E2" s="87">
        <f t="shared" ref="E2:E9" si="1">C2/D2</f>
        <v>0.5787333333</v>
      </c>
      <c r="F2" s="72">
        <v>1.0</v>
      </c>
      <c r="G2" s="94">
        <v>66.5</v>
      </c>
      <c r="H2" s="107" t="s">
        <v>461</v>
      </c>
    </row>
    <row r="3">
      <c r="A3" s="38" t="s">
        <v>86</v>
      </c>
      <c r="B3" s="71">
        <v>8.0</v>
      </c>
      <c r="C3" s="96">
        <v>54.985</v>
      </c>
      <c r="D3" s="71">
        <v>105.0</v>
      </c>
      <c r="E3" s="87">
        <f t="shared" si="1"/>
        <v>0.5236666667</v>
      </c>
      <c r="F3" s="72">
        <v>1.0</v>
      </c>
      <c r="G3" s="97">
        <v>45.5</v>
      </c>
      <c r="H3" s="107" t="s">
        <v>462</v>
      </c>
    </row>
    <row r="4">
      <c r="A4" s="38" t="s">
        <v>88</v>
      </c>
      <c r="B4" s="71">
        <v>10.0</v>
      </c>
      <c r="C4" s="71">
        <v>114.704</v>
      </c>
      <c r="D4" s="71">
        <v>150.0</v>
      </c>
      <c r="E4" s="87">
        <f t="shared" si="1"/>
        <v>0.7646933333</v>
      </c>
      <c r="F4" s="72">
        <v>1.0</v>
      </c>
      <c r="G4" s="97">
        <v>90.12</v>
      </c>
      <c r="H4" s="107" t="s">
        <v>463</v>
      </c>
    </row>
    <row r="5">
      <c r="A5" s="38" t="s">
        <v>90</v>
      </c>
      <c r="B5" s="71">
        <v>23.0</v>
      </c>
      <c r="C5" s="71">
        <v>96.779</v>
      </c>
      <c r="D5" s="71">
        <v>105.0</v>
      </c>
      <c r="E5" s="87">
        <f t="shared" si="1"/>
        <v>0.9217047619</v>
      </c>
      <c r="F5" s="72">
        <v>1.0</v>
      </c>
      <c r="G5" s="94">
        <v>73.22</v>
      </c>
      <c r="H5" s="107" t="s">
        <v>464</v>
      </c>
    </row>
    <row r="6">
      <c r="A6" s="38" t="s">
        <v>91</v>
      </c>
      <c r="B6" s="71">
        <v>11.0</v>
      </c>
      <c r="C6" s="71">
        <v>38.08</v>
      </c>
      <c r="D6" s="71">
        <v>150.0</v>
      </c>
      <c r="E6" s="87">
        <f t="shared" si="1"/>
        <v>0.2538666667</v>
      </c>
      <c r="F6" s="72">
        <v>5.0</v>
      </c>
      <c r="G6" s="102">
        <v>79.28</v>
      </c>
      <c r="H6" s="107" t="s">
        <v>465</v>
      </c>
    </row>
    <row r="7">
      <c r="A7" s="38" t="s">
        <v>94</v>
      </c>
      <c r="B7" s="71">
        <v>5.0</v>
      </c>
      <c r="C7" s="71">
        <v>119.8</v>
      </c>
      <c r="D7" s="71">
        <v>150.0</v>
      </c>
      <c r="E7" s="87">
        <f t="shared" si="1"/>
        <v>0.7986666667</v>
      </c>
      <c r="F7" s="72">
        <v>3.0</v>
      </c>
      <c r="G7" s="94">
        <v>96.2</v>
      </c>
      <c r="H7" s="107" t="s">
        <v>466</v>
      </c>
    </row>
    <row r="8">
      <c r="A8" s="7" t="s">
        <v>96</v>
      </c>
      <c r="B8" s="71">
        <v>19.0</v>
      </c>
      <c r="C8" s="79">
        <v>117.19</v>
      </c>
      <c r="D8" s="71">
        <v>120.0</v>
      </c>
      <c r="E8" s="87">
        <f t="shared" si="1"/>
        <v>0.9765833333</v>
      </c>
      <c r="F8" s="72">
        <v>6.0</v>
      </c>
      <c r="G8" s="94">
        <v>76.85</v>
      </c>
      <c r="H8" s="107" t="s">
        <v>467</v>
      </c>
    </row>
    <row r="9">
      <c r="C9" s="39">
        <f t="shared" ref="C9:D9" si="2">SUM(C2:C8)</f>
        <v>628.348</v>
      </c>
      <c r="D9" s="39">
        <f t="shared" si="2"/>
        <v>930</v>
      </c>
      <c r="E9" s="87">
        <f t="shared" si="1"/>
        <v>0.6756430108</v>
      </c>
    </row>
    <row r="11">
      <c r="D11" s="94">
        <v>1.0</v>
      </c>
      <c r="E11" s="105" t="s">
        <v>90</v>
      </c>
      <c r="F11" s="94">
        <v>4.23</v>
      </c>
    </row>
    <row r="12">
      <c r="D12" s="97">
        <v>2.0</v>
      </c>
      <c r="E12" s="105" t="s">
        <v>96</v>
      </c>
      <c r="F12" s="100">
        <v>4.2</v>
      </c>
    </row>
    <row r="13">
      <c r="D13" s="97">
        <v>3.0</v>
      </c>
      <c r="E13" s="105" t="s">
        <v>88</v>
      </c>
      <c r="F13" s="100">
        <v>3.49</v>
      </c>
    </row>
    <row r="14">
      <c r="D14" s="94">
        <v>4.0</v>
      </c>
      <c r="E14" s="105" t="s">
        <v>94</v>
      </c>
      <c r="F14" s="100">
        <v>3.26</v>
      </c>
    </row>
    <row r="15">
      <c r="D15" s="94">
        <v>5.0</v>
      </c>
      <c r="E15" s="105" t="s">
        <v>108</v>
      </c>
      <c r="F15" s="100">
        <v>3.06</v>
      </c>
      <c r="H15" s="109"/>
    </row>
    <row r="16">
      <c r="D16" s="94">
        <v>6.0</v>
      </c>
      <c r="E16" s="105" t="s">
        <v>85</v>
      </c>
      <c r="F16" s="100">
        <v>3.0</v>
      </c>
    </row>
    <row r="17">
      <c r="D17" s="94">
        <v>7.0</v>
      </c>
      <c r="E17" s="105" t="s">
        <v>91</v>
      </c>
      <c r="F17" s="100">
        <v>1.71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3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4.0</v>
      </c>
      <c r="C2" s="71">
        <v>76.6</v>
      </c>
      <c r="D2" s="71">
        <v>90.0</v>
      </c>
      <c r="E2" s="87">
        <f t="shared" ref="E2:E9" si="1">C2/D2</f>
        <v>0.8511111111</v>
      </c>
      <c r="F2" s="69">
        <v>1.0</v>
      </c>
      <c r="G2" s="94">
        <v>73.08</v>
      </c>
      <c r="H2" s="107" t="s">
        <v>468</v>
      </c>
    </row>
    <row r="3">
      <c r="A3" s="38" t="s">
        <v>86</v>
      </c>
      <c r="B3" s="71">
        <v>4.0</v>
      </c>
      <c r="C3" s="96">
        <v>38.332</v>
      </c>
      <c r="D3" s="71">
        <v>37.5</v>
      </c>
      <c r="E3" s="87">
        <f t="shared" si="1"/>
        <v>1.022186667</v>
      </c>
      <c r="F3" s="69">
        <v>0.0</v>
      </c>
      <c r="G3" s="97">
        <v>44.5</v>
      </c>
      <c r="H3" s="107" t="s">
        <v>469</v>
      </c>
    </row>
    <row r="4">
      <c r="A4" s="38" t="s">
        <v>88</v>
      </c>
      <c r="B4" s="71">
        <v>10.0</v>
      </c>
      <c r="C4" s="71">
        <v>69.57</v>
      </c>
      <c r="D4" s="71">
        <v>80.0</v>
      </c>
      <c r="E4" s="87">
        <f t="shared" si="1"/>
        <v>0.869625</v>
      </c>
      <c r="F4" s="69">
        <v>0.0</v>
      </c>
      <c r="G4" s="97">
        <v>45.93</v>
      </c>
      <c r="H4" s="107" t="s">
        <v>470</v>
      </c>
    </row>
    <row r="5">
      <c r="A5" s="38" t="s">
        <v>90</v>
      </c>
      <c r="B5" s="71">
        <v>2.0</v>
      </c>
      <c r="C5" s="71">
        <v>32.2</v>
      </c>
      <c r="D5" s="71">
        <v>30.0</v>
      </c>
      <c r="E5" s="87">
        <f t="shared" si="1"/>
        <v>1.073333333</v>
      </c>
      <c r="F5" s="69">
        <v>0.0</v>
      </c>
      <c r="G5" s="94">
        <v>34.05</v>
      </c>
      <c r="H5" s="107" t="s">
        <v>471</v>
      </c>
    </row>
    <row r="6">
      <c r="A6" s="38" t="s">
        <v>91</v>
      </c>
      <c r="B6" s="71">
        <v>5.0</v>
      </c>
      <c r="C6" s="71">
        <v>20.25</v>
      </c>
      <c r="D6" s="71">
        <v>40.0</v>
      </c>
      <c r="E6" s="87">
        <f t="shared" si="1"/>
        <v>0.50625</v>
      </c>
      <c r="F6" s="69">
        <v>1.0</v>
      </c>
      <c r="G6" s="102">
        <v>23.83</v>
      </c>
      <c r="H6" s="107" t="s">
        <v>472</v>
      </c>
    </row>
    <row r="7">
      <c r="A7" s="38" t="s">
        <v>94</v>
      </c>
      <c r="B7" s="71">
        <v>8.0</v>
      </c>
      <c r="C7" s="71">
        <v>55.38</v>
      </c>
      <c r="D7" s="71">
        <v>80.0</v>
      </c>
      <c r="E7" s="87">
        <f t="shared" si="1"/>
        <v>0.69225</v>
      </c>
      <c r="F7" s="69">
        <v>3.0</v>
      </c>
      <c r="G7" s="94">
        <v>45.77</v>
      </c>
      <c r="H7" s="107" t="s">
        <v>473</v>
      </c>
    </row>
    <row r="8">
      <c r="A8" s="7" t="s">
        <v>96</v>
      </c>
      <c r="B8" s="71">
        <v>9.0</v>
      </c>
      <c r="C8" s="75">
        <v>44.222</v>
      </c>
      <c r="D8" s="71">
        <v>72.0</v>
      </c>
      <c r="E8" s="87">
        <f t="shared" si="1"/>
        <v>0.6141944444</v>
      </c>
      <c r="F8" s="69">
        <v>2.0</v>
      </c>
      <c r="G8" s="94">
        <v>55.6</v>
      </c>
      <c r="H8" s="107" t="s">
        <v>474</v>
      </c>
    </row>
    <row r="9">
      <c r="C9" s="39">
        <f t="shared" ref="C9:D9" si="2">SUM(C2:C8)</f>
        <v>336.554</v>
      </c>
      <c r="D9" s="39">
        <f t="shared" si="2"/>
        <v>429.5</v>
      </c>
      <c r="E9" s="87">
        <f t="shared" si="1"/>
        <v>0.7835948778</v>
      </c>
    </row>
    <row r="11">
      <c r="D11" s="94">
        <v>1.0</v>
      </c>
      <c r="E11" s="105" t="s">
        <v>90</v>
      </c>
      <c r="F11" s="94">
        <v>4.94</v>
      </c>
    </row>
    <row r="12">
      <c r="D12" s="97">
        <v>2.0</v>
      </c>
      <c r="E12" s="105" t="s">
        <v>108</v>
      </c>
      <c r="F12" s="100">
        <v>4.83</v>
      </c>
    </row>
    <row r="13">
      <c r="D13" s="97">
        <v>3.0</v>
      </c>
      <c r="E13" s="105" t="s">
        <v>88</v>
      </c>
      <c r="F13" s="100">
        <v>4.04</v>
      </c>
    </row>
    <row r="14">
      <c r="D14" s="94">
        <v>4.0</v>
      </c>
      <c r="E14" s="105" t="s">
        <v>85</v>
      </c>
      <c r="F14" s="100">
        <v>3.54</v>
      </c>
    </row>
    <row r="15">
      <c r="D15" s="94">
        <v>5.0</v>
      </c>
      <c r="E15" s="105" t="s">
        <v>96</v>
      </c>
      <c r="F15" s="100">
        <v>3.32</v>
      </c>
    </row>
    <row r="16">
      <c r="D16" s="94">
        <v>6.0</v>
      </c>
      <c r="E16" s="105" t="s">
        <v>94</v>
      </c>
      <c r="F16" s="100">
        <v>2.66</v>
      </c>
    </row>
    <row r="17">
      <c r="D17" s="94">
        <v>7.0</v>
      </c>
      <c r="E17" s="105" t="s">
        <v>91</v>
      </c>
      <c r="F17" s="100">
        <v>1.9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2.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3.0</v>
      </c>
      <c r="C2" s="71">
        <v>71.055</v>
      </c>
      <c r="D2" s="71">
        <v>100.0</v>
      </c>
      <c r="E2" s="87">
        <f t="shared" ref="E2:E9" si="1">C2/D2</f>
        <v>0.71055</v>
      </c>
      <c r="F2" s="69">
        <v>2.0</v>
      </c>
      <c r="G2" s="94">
        <v>55.5</v>
      </c>
      <c r="H2" s="107" t="s">
        <v>475</v>
      </c>
    </row>
    <row r="3">
      <c r="A3" s="38" t="s">
        <v>86</v>
      </c>
      <c r="B3" s="71">
        <v>3.0</v>
      </c>
      <c r="C3" s="96">
        <v>32.08</v>
      </c>
      <c r="D3" s="71">
        <v>75.0</v>
      </c>
      <c r="E3" s="87">
        <f t="shared" si="1"/>
        <v>0.4277333333</v>
      </c>
      <c r="F3" s="69">
        <v>0.0</v>
      </c>
      <c r="G3" s="97">
        <v>9.5</v>
      </c>
      <c r="H3" s="107" t="s">
        <v>476</v>
      </c>
    </row>
    <row r="4">
      <c r="A4" s="38" t="s">
        <v>88</v>
      </c>
      <c r="B4" s="71">
        <v>9.0</v>
      </c>
      <c r="C4" s="71">
        <v>89.588</v>
      </c>
      <c r="D4" s="71">
        <v>85.0</v>
      </c>
      <c r="E4" s="87">
        <f t="shared" si="1"/>
        <v>1.053976471</v>
      </c>
      <c r="F4" s="69">
        <v>3.0</v>
      </c>
      <c r="G4" s="97">
        <v>64.37</v>
      </c>
      <c r="H4" s="107" t="s">
        <v>477</v>
      </c>
    </row>
    <row r="5">
      <c r="A5" s="38" t="s">
        <v>90</v>
      </c>
      <c r="B5" s="71">
        <v>5.0</v>
      </c>
      <c r="C5" s="71">
        <v>49.07</v>
      </c>
      <c r="D5" s="71">
        <v>37.5</v>
      </c>
      <c r="E5" s="87">
        <f t="shared" si="1"/>
        <v>1.308533333</v>
      </c>
      <c r="F5" s="69">
        <v>0.0</v>
      </c>
      <c r="G5" s="94">
        <v>38.6</v>
      </c>
      <c r="H5" s="107" t="s">
        <v>478</v>
      </c>
    </row>
    <row r="6">
      <c r="A6" s="38" t="s">
        <v>91</v>
      </c>
      <c r="B6" s="71">
        <v>9.0</v>
      </c>
      <c r="C6" s="71">
        <v>33.312</v>
      </c>
      <c r="D6" s="71">
        <v>100.0</v>
      </c>
      <c r="E6" s="87">
        <f t="shared" si="1"/>
        <v>0.33312</v>
      </c>
      <c r="F6" s="69">
        <v>2.0</v>
      </c>
      <c r="G6" s="102">
        <v>33.55</v>
      </c>
      <c r="H6" s="107" t="s">
        <v>479</v>
      </c>
    </row>
    <row r="7">
      <c r="A7" s="38" t="s">
        <v>94</v>
      </c>
      <c r="B7" s="71">
        <v>13.0</v>
      </c>
      <c r="C7" s="71">
        <v>82.711</v>
      </c>
      <c r="D7" s="71">
        <v>100.0</v>
      </c>
      <c r="E7" s="87">
        <f t="shared" si="1"/>
        <v>0.82711</v>
      </c>
      <c r="F7" s="69">
        <v>3.0</v>
      </c>
      <c r="G7" s="94">
        <v>67.6</v>
      </c>
      <c r="H7" s="107" t="s">
        <v>480</v>
      </c>
    </row>
    <row r="8">
      <c r="A8" s="7" t="s">
        <v>96</v>
      </c>
      <c r="B8" s="71">
        <v>6.0</v>
      </c>
      <c r="C8" s="75">
        <v>73.52</v>
      </c>
      <c r="D8" s="71">
        <v>80.0</v>
      </c>
      <c r="E8" s="87">
        <f t="shared" si="1"/>
        <v>0.919</v>
      </c>
      <c r="F8" s="69">
        <v>4.0</v>
      </c>
      <c r="G8" s="94">
        <v>45.25</v>
      </c>
      <c r="H8" s="107" t="s">
        <v>481</v>
      </c>
    </row>
    <row r="9">
      <c r="C9" s="39">
        <f t="shared" ref="C9:D9" si="2">SUM(C2:C8)</f>
        <v>431.336</v>
      </c>
      <c r="D9" s="39">
        <f t="shared" si="2"/>
        <v>577.5</v>
      </c>
      <c r="E9" s="87">
        <f t="shared" si="1"/>
        <v>0.7469021645</v>
      </c>
    </row>
    <row r="12">
      <c r="D12" s="94">
        <v>1.0</v>
      </c>
      <c r="E12" s="105" t="s">
        <v>90</v>
      </c>
      <c r="F12" s="94">
        <v>4.95</v>
      </c>
    </row>
    <row r="13">
      <c r="D13" s="97">
        <v>2.0</v>
      </c>
      <c r="E13" s="105" t="s">
        <v>88</v>
      </c>
      <c r="F13" s="100">
        <v>4.26</v>
      </c>
    </row>
    <row r="14">
      <c r="D14" s="97">
        <v>3.0</v>
      </c>
      <c r="E14" s="105" t="s">
        <v>96</v>
      </c>
      <c r="F14" s="100">
        <v>3.92</v>
      </c>
    </row>
    <row r="15">
      <c r="D15" s="94">
        <v>4.0</v>
      </c>
      <c r="E15" s="105" t="s">
        <v>94</v>
      </c>
      <c r="F15" s="100">
        <v>3.58</v>
      </c>
    </row>
    <row r="16">
      <c r="D16" s="94">
        <v>5.0</v>
      </c>
      <c r="E16" s="105" t="s">
        <v>85</v>
      </c>
      <c r="F16" s="100">
        <v>3.39</v>
      </c>
    </row>
    <row r="17">
      <c r="D17" s="94">
        <v>6.0</v>
      </c>
      <c r="E17" s="105" t="s">
        <v>108</v>
      </c>
      <c r="F17" s="100">
        <v>3.02</v>
      </c>
    </row>
    <row r="18">
      <c r="D18" s="94">
        <v>7.0</v>
      </c>
      <c r="E18" s="105" t="s">
        <v>91</v>
      </c>
      <c r="F18" s="100">
        <v>1.94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2.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5.0</v>
      </c>
      <c r="C2" s="71">
        <v>72.52</v>
      </c>
      <c r="D2" s="71">
        <v>100.0</v>
      </c>
      <c r="E2" s="87">
        <f t="shared" ref="E2:E9" si="1">C2/D2</f>
        <v>0.7252</v>
      </c>
      <c r="F2" s="69">
        <v>2.0</v>
      </c>
      <c r="G2" s="94">
        <v>86.5</v>
      </c>
      <c r="H2" s="107" t="s">
        <v>475</v>
      </c>
    </row>
    <row r="3">
      <c r="A3" s="38" t="s">
        <v>86</v>
      </c>
      <c r="B3" s="71">
        <v>1.0</v>
      </c>
      <c r="C3" s="96">
        <v>25.0</v>
      </c>
      <c r="D3" s="71">
        <v>37.5</v>
      </c>
      <c r="E3" s="87">
        <f t="shared" si="1"/>
        <v>0.6666666667</v>
      </c>
      <c r="F3" s="69">
        <v>0.0</v>
      </c>
      <c r="G3" s="97">
        <v>40.0</v>
      </c>
      <c r="H3" s="107" t="s">
        <v>476</v>
      </c>
    </row>
    <row r="4">
      <c r="A4" s="38" t="s">
        <v>88</v>
      </c>
      <c r="B4" s="71">
        <v>16.0</v>
      </c>
      <c r="C4" s="71">
        <v>69.565</v>
      </c>
      <c r="D4" s="71">
        <v>100.0</v>
      </c>
      <c r="E4" s="87">
        <f t="shared" si="1"/>
        <v>0.69565</v>
      </c>
      <c r="F4" s="69">
        <v>3.0</v>
      </c>
      <c r="G4" s="97">
        <v>71.38</v>
      </c>
      <c r="H4" s="107" t="s">
        <v>477</v>
      </c>
    </row>
    <row r="5">
      <c r="A5" s="38" t="s">
        <v>90</v>
      </c>
      <c r="B5" s="71">
        <v>12.0</v>
      </c>
      <c r="C5" s="71">
        <v>58.08</v>
      </c>
      <c r="D5" s="71">
        <v>75.0</v>
      </c>
      <c r="E5" s="87">
        <f t="shared" si="1"/>
        <v>0.7744</v>
      </c>
      <c r="F5" s="69">
        <v>0.0</v>
      </c>
      <c r="G5" s="94">
        <v>55.6</v>
      </c>
      <c r="H5" s="107" t="s">
        <v>478</v>
      </c>
    </row>
    <row r="6">
      <c r="A6" s="38" t="s">
        <v>91</v>
      </c>
      <c r="B6" s="71">
        <v>8.0</v>
      </c>
      <c r="C6" s="71">
        <v>38.85</v>
      </c>
      <c r="D6" s="71">
        <v>100.0</v>
      </c>
      <c r="E6" s="87">
        <f t="shared" si="1"/>
        <v>0.3885</v>
      </c>
      <c r="F6" s="69">
        <v>2.0</v>
      </c>
      <c r="G6" s="102">
        <v>50.62</v>
      </c>
      <c r="H6" s="107" t="s">
        <v>479</v>
      </c>
    </row>
    <row r="7">
      <c r="A7" s="38" t="s">
        <v>94</v>
      </c>
      <c r="B7" s="71">
        <v>3.0</v>
      </c>
      <c r="C7" s="71">
        <v>68.9</v>
      </c>
      <c r="D7" s="71">
        <v>100.0</v>
      </c>
      <c r="E7" s="87">
        <f t="shared" si="1"/>
        <v>0.689</v>
      </c>
      <c r="F7" s="69">
        <v>3.0</v>
      </c>
      <c r="G7" s="94">
        <v>121.85</v>
      </c>
      <c r="H7" s="107" t="s">
        <v>480</v>
      </c>
    </row>
    <row r="8">
      <c r="A8" s="7" t="s">
        <v>96</v>
      </c>
      <c r="B8" s="71">
        <v>11.0</v>
      </c>
      <c r="C8" s="75">
        <v>64.22</v>
      </c>
      <c r="D8" s="71">
        <v>80.0</v>
      </c>
      <c r="E8" s="87">
        <f t="shared" si="1"/>
        <v>0.80275</v>
      </c>
      <c r="F8" s="69">
        <v>4.0</v>
      </c>
      <c r="G8" s="94">
        <v>26.77</v>
      </c>
      <c r="H8" s="107" t="s">
        <v>481</v>
      </c>
    </row>
    <row r="9">
      <c r="C9" s="39">
        <f t="shared" ref="C9:D9" si="2">SUM(C2:C8)</f>
        <v>397.135</v>
      </c>
      <c r="D9" s="39">
        <f t="shared" si="2"/>
        <v>592.5</v>
      </c>
      <c r="E9" s="87">
        <f t="shared" si="1"/>
        <v>0.6702700422</v>
      </c>
    </row>
    <row r="14">
      <c r="F14" s="55" t="s">
        <v>482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4.3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5.0</v>
      </c>
      <c r="C2" s="71">
        <v>60.25</v>
      </c>
      <c r="D2" s="71">
        <v>80.0</v>
      </c>
      <c r="E2" s="87">
        <f t="shared" ref="E2:E9" si="1">C2/D2</f>
        <v>0.753125</v>
      </c>
      <c r="F2" s="69">
        <v>2.0</v>
      </c>
      <c r="G2" s="94">
        <v>39.67</v>
      </c>
      <c r="H2" s="107" t="s">
        <v>483</v>
      </c>
    </row>
    <row r="3">
      <c r="A3" s="38" t="s">
        <v>86</v>
      </c>
      <c r="B3" s="71">
        <v>1.0</v>
      </c>
      <c r="C3" s="96">
        <v>56.16</v>
      </c>
      <c r="D3" s="71">
        <v>67.5</v>
      </c>
      <c r="E3" s="87">
        <f t="shared" si="1"/>
        <v>0.832</v>
      </c>
      <c r="F3" s="69">
        <v>0.0</v>
      </c>
      <c r="G3" s="97">
        <v>56.0</v>
      </c>
      <c r="H3" s="107" t="s">
        <v>484</v>
      </c>
    </row>
    <row r="4">
      <c r="A4" s="38" t="s">
        <v>88</v>
      </c>
      <c r="B4" s="71">
        <v>21.0</v>
      </c>
      <c r="C4" s="71">
        <v>58.785</v>
      </c>
      <c r="D4" s="71">
        <v>90.0</v>
      </c>
      <c r="E4" s="87">
        <f t="shared" si="1"/>
        <v>0.6531666667</v>
      </c>
      <c r="F4" s="69">
        <v>2.0</v>
      </c>
      <c r="G4" s="97">
        <v>23.83</v>
      </c>
      <c r="H4" s="107" t="s">
        <v>485</v>
      </c>
    </row>
    <row r="5">
      <c r="A5" s="38" t="s">
        <v>90</v>
      </c>
      <c r="B5" s="71">
        <v>8.0</v>
      </c>
      <c r="C5" s="71">
        <v>83.824</v>
      </c>
      <c r="D5" s="71">
        <v>67.5</v>
      </c>
      <c r="E5" s="87">
        <f t="shared" si="1"/>
        <v>1.241837037</v>
      </c>
      <c r="F5" s="69">
        <v>0.0</v>
      </c>
      <c r="G5" s="94">
        <v>75.28</v>
      </c>
      <c r="H5" s="107" t="s">
        <v>486</v>
      </c>
    </row>
    <row r="6">
      <c r="A6" s="38" t="s">
        <v>91</v>
      </c>
      <c r="B6" s="71">
        <v>12.0</v>
      </c>
      <c r="C6" s="71">
        <v>58.656</v>
      </c>
      <c r="D6" s="71">
        <v>90.0</v>
      </c>
      <c r="E6" s="87">
        <f t="shared" si="1"/>
        <v>0.6517333333</v>
      </c>
      <c r="F6" s="69">
        <v>1.0</v>
      </c>
      <c r="G6" s="102">
        <v>44.65</v>
      </c>
      <c r="H6" s="107" t="s">
        <v>487</v>
      </c>
    </row>
    <row r="7">
      <c r="A7" s="38" t="s">
        <v>94</v>
      </c>
      <c r="B7" s="71">
        <v>2.0</v>
      </c>
      <c r="C7" s="71">
        <v>103.24</v>
      </c>
      <c r="D7" s="71">
        <v>90.0</v>
      </c>
      <c r="E7" s="87">
        <f t="shared" si="1"/>
        <v>1.147111111</v>
      </c>
      <c r="F7" s="69">
        <v>2.0</v>
      </c>
      <c r="G7" s="94">
        <v>21.6</v>
      </c>
      <c r="H7" s="107" t="s">
        <v>488</v>
      </c>
    </row>
    <row r="8">
      <c r="A8" s="7" t="s">
        <v>96</v>
      </c>
      <c r="B8" s="71">
        <v>4.0</v>
      </c>
      <c r="C8" s="75">
        <v>39.91</v>
      </c>
      <c r="D8" s="71">
        <v>72.0</v>
      </c>
      <c r="E8" s="87">
        <f t="shared" si="1"/>
        <v>0.5543055556</v>
      </c>
      <c r="F8" s="69">
        <v>2.0</v>
      </c>
      <c r="G8" s="94">
        <v>24.83</v>
      </c>
      <c r="H8" s="107" t="s">
        <v>489</v>
      </c>
    </row>
    <row r="9">
      <c r="C9" s="39">
        <f t="shared" ref="C9:D9" si="2">SUM(C2:C8)</f>
        <v>460.825</v>
      </c>
      <c r="D9" s="39">
        <f t="shared" si="2"/>
        <v>557</v>
      </c>
      <c r="E9" s="87">
        <f t="shared" si="1"/>
        <v>0.8273339318</v>
      </c>
    </row>
    <row r="12">
      <c r="D12" s="94">
        <v>1.0</v>
      </c>
      <c r="E12" s="105" t="s">
        <v>90</v>
      </c>
      <c r="F12" s="94">
        <v>5.23</v>
      </c>
    </row>
    <row r="13">
      <c r="D13" s="97">
        <v>2.0</v>
      </c>
      <c r="E13" s="105" t="s">
        <v>108</v>
      </c>
      <c r="F13" s="100">
        <v>4.47</v>
      </c>
    </row>
    <row r="14">
      <c r="D14" s="97">
        <v>3.0</v>
      </c>
      <c r="E14" s="105" t="s">
        <v>94</v>
      </c>
      <c r="F14" s="100">
        <v>3.64</v>
      </c>
    </row>
    <row r="15">
      <c r="D15" s="94">
        <v>4.0</v>
      </c>
      <c r="E15" s="105" t="s">
        <v>88</v>
      </c>
      <c r="F15" s="100">
        <v>3.04</v>
      </c>
    </row>
    <row r="16">
      <c r="D16" s="94">
        <v>5.0</v>
      </c>
      <c r="E16" s="105" t="s">
        <v>91</v>
      </c>
      <c r="F16" s="94">
        <v>2.92</v>
      </c>
    </row>
    <row r="17">
      <c r="D17" s="94">
        <v>6.0</v>
      </c>
      <c r="E17" s="105" t="s">
        <v>85</v>
      </c>
      <c r="F17" s="100">
        <v>2.39</v>
      </c>
    </row>
    <row r="18">
      <c r="D18" s="94">
        <v>7.0</v>
      </c>
      <c r="E18" s="105" t="s">
        <v>96</v>
      </c>
      <c r="F18" s="100">
        <v>2.27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3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4.0</v>
      </c>
      <c r="C2" s="71">
        <v>41.0</v>
      </c>
      <c r="D2" s="71">
        <v>100.0</v>
      </c>
      <c r="E2" s="87">
        <f t="shared" ref="E2:E9" si="1">C2/D2</f>
        <v>0.41</v>
      </c>
      <c r="F2" s="69">
        <v>1.0</v>
      </c>
      <c r="G2" s="94">
        <v>51.5</v>
      </c>
      <c r="H2" s="107" t="s">
        <v>490</v>
      </c>
    </row>
    <row r="3">
      <c r="A3" s="38" t="s">
        <v>86</v>
      </c>
      <c r="B3" s="71">
        <v>1.0</v>
      </c>
      <c r="C3" s="96">
        <v>60.0</v>
      </c>
      <c r="D3" s="71">
        <v>67.5</v>
      </c>
      <c r="E3" s="87">
        <f t="shared" si="1"/>
        <v>0.8888888889</v>
      </c>
      <c r="F3" s="69">
        <v>0.0</v>
      </c>
      <c r="G3" s="97">
        <v>72.0</v>
      </c>
      <c r="H3" s="107" t="s">
        <v>491</v>
      </c>
    </row>
    <row r="4">
      <c r="A4" s="38" t="s">
        <v>88</v>
      </c>
      <c r="B4" s="71">
        <v>13.0</v>
      </c>
      <c r="C4" s="71">
        <v>36.32</v>
      </c>
      <c r="D4" s="71">
        <v>70.0</v>
      </c>
      <c r="E4" s="87">
        <f t="shared" si="1"/>
        <v>0.5188571429</v>
      </c>
      <c r="F4" s="69">
        <v>1.0</v>
      </c>
      <c r="G4" s="97">
        <v>43.82</v>
      </c>
      <c r="H4" s="107" t="s">
        <v>492</v>
      </c>
    </row>
    <row r="5">
      <c r="A5" s="38" t="s">
        <v>90</v>
      </c>
      <c r="B5" s="71">
        <v>5.0</v>
      </c>
      <c r="C5" s="71">
        <v>59.672</v>
      </c>
      <c r="D5" s="71">
        <v>90.0</v>
      </c>
      <c r="E5" s="87">
        <f t="shared" si="1"/>
        <v>0.6630222222</v>
      </c>
      <c r="F5" s="69">
        <v>0.0</v>
      </c>
      <c r="G5" s="94">
        <v>97.32</v>
      </c>
      <c r="H5" s="107" t="s">
        <v>493</v>
      </c>
    </row>
    <row r="6">
      <c r="A6" s="38" t="s">
        <v>91</v>
      </c>
      <c r="B6" s="71">
        <v>5.0</v>
      </c>
      <c r="C6" s="71">
        <v>45.744</v>
      </c>
      <c r="D6" s="71">
        <v>120.0</v>
      </c>
      <c r="E6" s="87">
        <f t="shared" si="1"/>
        <v>0.3812</v>
      </c>
      <c r="F6" s="69">
        <v>2.0</v>
      </c>
      <c r="G6" s="102">
        <v>58.87</v>
      </c>
      <c r="H6" s="107" t="s">
        <v>494</v>
      </c>
    </row>
    <row r="7">
      <c r="A7" s="38" t="s">
        <v>94</v>
      </c>
      <c r="B7" s="71">
        <v>5.0</v>
      </c>
      <c r="C7" s="71">
        <v>104.01</v>
      </c>
      <c r="D7" s="71">
        <v>120.0</v>
      </c>
      <c r="E7" s="87">
        <f t="shared" si="1"/>
        <v>0.86675</v>
      </c>
      <c r="F7" s="69">
        <v>1.0</v>
      </c>
      <c r="G7" s="94">
        <v>71.0</v>
      </c>
      <c r="H7" s="107" t="s">
        <v>495</v>
      </c>
    </row>
    <row r="8">
      <c r="A8" s="7" t="s">
        <v>96</v>
      </c>
      <c r="B8" s="71">
        <v>2.0</v>
      </c>
      <c r="C8" s="75">
        <v>45.0</v>
      </c>
      <c r="D8" s="71">
        <v>92.0</v>
      </c>
      <c r="E8" s="87">
        <f t="shared" si="1"/>
        <v>0.4891304348</v>
      </c>
      <c r="F8" s="69">
        <v>1.0</v>
      </c>
      <c r="G8" s="94">
        <v>41.57</v>
      </c>
      <c r="H8" s="107" t="s">
        <v>496</v>
      </c>
    </row>
    <row r="9">
      <c r="C9" s="39">
        <f t="shared" ref="C9:D9" si="2">SUM(C2:C8)</f>
        <v>391.746</v>
      </c>
      <c r="D9" s="39">
        <f t="shared" si="2"/>
        <v>659.5</v>
      </c>
      <c r="E9" s="87">
        <f t="shared" si="1"/>
        <v>0.5940045489</v>
      </c>
    </row>
    <row r="12">
      <c r="D12" s="94">
        <v>1.0</v>
      </c>
      <c r="E12" s="94" t="s">
        <v>108</v>
      </c>
      <c r="F12" s="94">
        <v>4.46</v>
      </c>
    </row>
    <row r="13">
      <c r="D13" s="110">
        <v>2.0</v>
      </c>
      <c r="E13" s="100" t="s">
        <v>90</v>
      </c>
      <c r="F13" s="100">
        <v>4.04</v>
      </c>
    </row>
    <row r="14">
      <c r="D14" s="110">
        <v>3.0</v>
      </c>
      <c r="E14" s="94" t="s">
        <v>94</v>
      </c>
      <c r="F14" s="100">
        <v>3.55</v>
      </c>
    </row>
    <row r="15">
      <c r="D15" s="111">
        <v>4.0</v>
      </c>
      <c r="E15" s="100" t="s">
        <v>88</v>
      </c>
      <c r="F15" s="94">
        <v>2.58</v>
      </c>
    </row>
    <row r="16">
      <c r="D16" s="111">
        <v>5.0</v>
      </c>
      <c r="E16" s="100" t="s">
        <v>96</v>
      </c>
      <c r="F16" s="100">
        <v>2.33</v>
      </c>
    </row>
    <row r="17">
      <c r="D17" s="111">
        <v>6.0</v>
      </c>
      <c r="E17" s="100" t="s">
        <v>85</v>
      </c>
      <c r="F17" s="100">
        <v>2.02</v>
      </c>
    </row>
    <row r="18">
      <c r="D18" s="111">
        <v>7.0</v>
      </c>
      <c r="E18" s="100" t="s">
        <v>91</v>
      </c>
      <c r="F18" s="100">
        <v>1.81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3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4.0</v>
      </c>
      <c r="C2" s="71">
        <v>60.692</v>
      </c>
      <c r="D2" s="71">
        <v>100.0</v>
      </c>
      <c r="E2" s="87">
        <f t="shared" ref="E2:E9" si="1">C2/D2</f>
        <v>0.60692</v>
      </c>
      <c r="F2" s="69">
        <v>1.0</v>
      </c>
      <c r="G2" s="94">
        <v>49.5</v>
      </c>
      <c r="H2" s="107" t="s">
        <v>497</v>
      </c>
    </row>
    <row r="3">
      <c r="A3" s="38" t="s">
        <v>86</v>
      </c>
      <c r="B3" s="112">
        <v>6.0</v>
      </c>
      <c r="C3" s="113">
        <v>71.934</v>
      </c>
      <c r="D3" s="112">
        <v>75.0</v>
      </c>
      <c r="E3" s="87">
        <f t="shared" si="1"/>
        <v>0.95912</v>
      </c>
      <c r="F3" s="69">
        <v>2.0</v>
      </c>
      <c r="G3" s="110">
        <v>65.0</v>
      </c>
      <c r="H3" s="107" t="s">
        <v>498</v>
      </c>
    </row>
    <row r="4">
      <c r="A4" s="38" t="s">
        <v>88</v>
      </c>
      <c r="B4" s="112">
        <v>17.0</v>
      </c>
      <c r="C4" s="112">
        <v>70.86</v>
      </c>
      <c r="D4" s="112">
        <v>100.0</v>
      </c>
      <c r="E4" s="87">
        <f t="shared" si="1"/>
        <v>0.7086</v>
      </c>
      <c r="F4" s="69">
        <v>0.0</v>
      </c>
      <c r="G4" s="110">
        <v>72.62</v>
      </c>
      <c r="H4" s="107" t="s">
        <v>499</v>
      </c>
    </row>
    <row r="5">
      <c r="A5" s="38" t="s">
        <v>90</v>
      </c>
      <c r="B5" s="112">
        <v>2.0</v>
      </c>
      <c r="C5" s="112">
        <v>80.872</v>
      </c>
      <c r="D5" s="112">
        <v>75.0</v>
      </c>
      <c r="E5" s="87">
        <f t="shared" si="1"/>
        <v>1.078293333</v>
      </c>
      <c r="F5" s="69">
        <v>0.0</v>
      </c>
      <c r="G5" s="111">
        <v>102.61</v>
      </c>
      <c r="H5" s="107" t="s">
        <v>500</v>
      </c>
    </row>
    <row r="6">
      <c r="A6" s="38" t="s">
        <v>91</v>
      </c>
      <c r="B6" s="112">
        <v>12.0</v>
      </c>
      <c r="C6" s="112">
        <v>47.8</v>
      </c>
      <c r="D6" s="112">
        <v>100.0</v>
      </c>
      <c r="E6" s="87">
        <f t="shared" si="1"/>
        <v>0.478</v>
      </c>
      <c r="F6" s="69">
        <v>1.0</v>
      </c>
      <c r="G6" s="114">
        <v>51.2</v>
      </c>
      <c r="H6" s="107" t="s">
        <v>501</v>
      </c>
    </row>
    <row r="7">
      <c r="A7" s="38" t="s">
        <v>94</v>
      </c>
      <c r="B7" s="112">
        <v>5.0</v>
      </c>
      <c r="C7" s="112">
        <v>70.14</v>
      </c>
      <c r="D7" s="112">
        <v>100.0</v>
      </c>
      <c r="E7" s="87">
        <f t="shared" si="1"/>
        <v>0.7014</v>
      </c>
      <c r="F7" s="69">
        <v>2.0</v>
      </c>
      <c r="G7" s="111">
        <v>88.0</v>
      </c>
      <c r="H7" s="107" t="s">
        <v>502</v>
      </c>
    </row>
    <row r="8">
      <c r="A8" s="7" t="s">
        <v>96</v>
      </c>
      <c r="B8" s="112">
        <v>6.0</v>
      </c>
      <c r="C8" s="115">
        <v>62.77</v>
      </c>
      <c r="D8" s="112">
        <v>80.0</v>
      </c>
      <c r="E8" s="87">
        <f t="shared" si="1"/>
        <v>0.784625</v>
      </c>
      <c r="F8" s="69">
        <v>1.0</v>
      </c>
      <c r="G8" s="111">
        <v>67.42</v>
      </c>
      <c r="H8" s="107" t="s">
        <v>503</v>
      </c>
    </row>
    <row r="9">
      <c r="C9" s="39">
        <f t="shared" ref="C9:D9" si="2">SUM(C2:C8)</f>
        <v>465.068</v>
      </c>
      <c r="D9" s="39">
        <f t="shared" si="2"/>
        <v>630</v>
      </c>
      <c r="E9" s="87">
        <f t="shared" si="1"/>
        <v>0.7382031746</v>
      </c>
    </row>
    <row r="12">
      <c r="D12" s="94">
        <v>1.0</v>
      </c>
      <c r="E12" s="116" t="s">
        <v>90</v>
      </c>
      <c r="F12" s="116">
        <v>5.17</v>
      </c>
    </row>
    <row r="13">
      <c r="D13" s="110">
        <v>2.0</v>
      </c>
      <c r="E13" s="117" t="s">
        <v>108</v>
      </c>
      <c r="F13" s="117">
        <v>4.09</v>
      </c>
    </row>
    <row r="14">
      <c r="D14" s="110">
        <v>3.0</v>
      </c>
      <c r="E14" s="118" t="s">
        <v>96</v>
      </c>
      <c r="F14" s="117">
        <v>4.05</v>
      </c>
    </row>
    <row r="15">
      <c r="D15" s="111">
        <v>4.0</v>
      </c>
      <c r="E15" s="117" t="s">
        <v>88</v>
      </c>
      <c r="F15" s="118">
        <v>3.57</v>
      </c>
    </row>
    <row r="16">
      <c r="D16" s="111">
        <v>5.0</v>
      </c>
      <c r="E16" s="117" t="s">
        <v>85</v>
      </c>
      <c r="F16" s="117">
        <v>2.81</v>
      </c>
    </row>
    <row r="17">
      <c r="D17" s="111">
        <v>6.0</v>
      </c>
      <c r="E17" s="117" t="s">
        <v>91</v>
      </c>
      <c r="F17" s="117">
        <v>2.71</v>
      </c>
    </row>
    <row r="18">
      <c r="D18" s="111">
        <v>7.0</v>
      </c>
      <c r="E18" s="117" t="s">
        <v>94</v>
      </c>
      <c r="F18" s="117">
        <v>2.61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  <col customWidth="1" min="8" max="8" width="91.7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1.0</v>
      </c>
      <c r="C2" s="71">
        <v>45.0</v>
      </c>
      <c r="D2" s="71">
        <v>100.0</v>
      </c>
      <c r="E2" s="87">
        <f t="shared" ref="E2:E9" si="1">C2/D2</f>
        <v>0.45</v>
      </c>
      <c r="F2" s="69">
        <v>1.0</v>
      </c>
      <c r="G2" s="94">
        <v>80.0</v>
      </c>
      <c r="H2" s="107" t="s">
        <v>504</v>
      </c>
    </row>
    <row r="3">
      <c r="A3" s="38" t="s">
        <v>86</v>
      </c>
      <c r="B3" s="112">
        <v>3.0</v>
      </c>
      <c r="C3" s="113">
        <v>17.6</v>
      </c>
      <c r="D3" s="112">
        <v>75.0</v>
      </c>
      <c r="E3" s="87">
        <f t="shared" si="1"/>
        <v>0.2346666667</v>
      </c>
      <c r="F3" s="69">
        <v>2.0</v>
      </c>
      <c r="G3" s="110">
        <v>14.5</v>
      </c>
      <c r="H3" s="107" t="s">
        <v>505</v>
      </c>
    </row>
    <row r="4">
      <c r="A4" s="38" t="s">
        <v>88</v>
      </c>
      <c r="B4" s="112">
        <v>9.0</v>
      </c>
      <c r="C4" s="112">
        <v>25.65</v>
      </c>
      <c r="D4" s="112">
        <v>100.0</v>
      </c>
      <c r="E4" s="87">
        <f t="shared" si="1"/>
        <v>0.2565</v>
      </c>
      <c r="F4" s="69">
        <v>0.0</v>
      </c>
      <c r="G4" s="110">
        <v>56.5</v>
      </c>
      <c r="H4" s="107" t="s">
        <v>506</v>
      </c>
    </row>
    <row r="5">
      <c r="A5" s="38" t="s">
        <v>90</v>
      </c>
      <c r="B5" s="112">
        <v>1.0</v>
      </c>
      <c r="C5" s="112">
        <v>68.64</v>
      </c>
      <c r="D5" s="112">
        <v>75.0</v>
      </c>
      <c r="E5" s="87">
        <f t="shared" si="1"/>
        <v>0.9152</v>
      </c>
      <c r="F5" s="69">
        <v>0.0</v>
      </c>
      <c r="G5" s="111">
        <v>80.0</v>
      </c>
      <c r="H5" s="107" t="s">
        <v>507</v>
      </c>
    </row>
    <row r="6">
      <c r="A6" s="38" t="s">
        <v>91</v>
      </c>
      <c r="B6" s="112">
        <v>9.0</v>
      </c>
      <c r="C6" s="112">
        <v>75.325</v>
      </c>
      <c r="D6" s="112">
        <v>100.0</v>
      </c>
      <c r="E6" s="87">
        <f t="shared" si="1"/>
        <v>0.75325</v>
      </c>
      <c r="F6" s="69">
        <v>2.0</v>
      </c>
      <c r="G6" s="114">
        <v>48.23</v>
      </c>
      <c r="H6" s="107" t="s">
        <v>508</v>
      </c>
    </row>
    <row r="7">
      <c r="A7" s="38" t="s">
        <v>94</v>
      </c>
      <c r="B7" s="112">
        <v>1.0</v>
      </c>
      <c r="C7" s="112">
        <v>22.176</v>
      </c>
      <c r="D7" s="112">
        <v>50.0</v>
      </c>
      <c r="E7" s="87">
        <f t="shared" si="1"/>
        <v>0.44352</v>
      </c>
      <c r="F7" s="69">
        <v>0.0</v>
      </c>
      <c r="G7" s="111">
        <v>20.0</v>
      </c>
      <c r="H7" s="107" t="s">
        <v>509</v>
      </c>
    </row>
    <row r="8">
      <c r="A8" s="7" t="s">
        <v>96</v>
      </c>
      <c r="B8" s="112">
        <v>11.0</v>
      </c>
      <c r="C8" s="115">
        <v>49.67</v>
      </c>
      <c r="D8" s="112">
        <v>80.0</v>
      </c>
      <c r="E8" s="87">
        <f t="shared" si="1"/>
        <v>0.620875</v>
      </c>
      <c r="F8" s="69">
        <v>2.0</v>
      </c>
      <c r="G8" s="111">
        <v>35.62</v>
      </c>
      <c r="H8" s="107" t="s">
        <v>510</v>
      </c>
    </row>
    <row r="9">
      <c r="C9" s="39">
        <f t="shared" ref="C9:D9" si="2">SUM(C2:C8)</f>
        <v>304.061</v>
      </c>
      <c r="D9" s="39">
        <f t="shared" si="2"/>
        <v>580</v>
      </c>
      <c r="E9" s="87">
        <f t="shared" si="1"/>
        <v>0.5242431034</v>
      </c>
    </row>
    <row r="12">
      <c r="D12" s="94">
        <v>1.0</v>
      </c>
      <c r="E12" s="116" t="s">
        <v>90</v>
      </c>
      <c r="F12" s="116">
        <v>4.76</v>
      </c>
    </row>
    <row r="13">
      <c r="D13" s="110">
        <v>2.0</v>
      </c>
      <c r="E13" s="117" t="s">
        <v>96</v>
      </c>
      <c r="F13" s="117">
        <v>3.37</v>
      </c>
    </row>
    <row r="14">
      <c r="D14" s="110">
        <v>3.0</v>
      </c>
      <c r="E14" s="118" t="s">
        <v>91</v>
      </c>
      <c r="F14" s="117">
        <v>3.26</v>
      </c>
    </row>
    <row r="15">
      <c r="D15" s="111">
        <v>4.0</v>
      </c>
      <c r="E15" s="117" t="s">
        <v>94</v>
      </c>
      <c r="F15" s="118">
        <v>2.67</v>
      </c>
    </row>
    <row r="16">
      <c r="D16" s="111">
        <v>5.0</v>
      </c>
      <c r="E16" s="117" t="s">
        <v>85</v>
      </c>
      <c r="F16" s="117">
        <v>2.59</v>
      </c>
    </row>
    <row r="17">
      <c r="D17" s="111">
        <v>6.0</v>
      </c>
      <c r="E17" s="117" t="s">
        <v>88</v>
      </c>
      <c r="F17" s="117">
        <v>2.21</v>
      </c>
    </row>
    <row r="18">
      <c r="D18" s="111">
        <v>7.0</v>
      </c>
      <c r="E18" s="117" t="s">
        <v>108</v>
      </c>
      <c r="F18" s="117">
        <v>2.08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1.7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8.0</v>
      </c>
      <c r="C2" s="71">
        <v>114.596</v>
      </c>
      <c r="D2" s="71">
        <v>95.0</v>
      </c>
      <c r="E2" s="87">
        <f t="shared" ref="E2:E9" si="1">C2/D2</f>
        <v>1.206273684</v>
      </c>
      <c r="F2" s="69">
        <v>3.0</v>
      </c>
      <c r="G2" s="94">
        <v>70.08</v>
      </c>
      <c r="H2" s="107" t="s">
        <v>511</v>
      </c>
    </row>
    <row r="3">
      <c r="A3" s="38" t="s">
        <v>86</v>
      </c>
      <c r="B3" s="112">
        <v>4.0</v>
      </c>
      <c r="C3" s="113">
        <v>50.542</v>
      </c>
      <c r="D3" s="112">
        <v>75.0</v>
      </c>
      <c r="E3" s="87">
        <f t="shared" si="1"/>
        <v>0.6738933333</v>
      </c>
      <c r="F3" s="69">
        <v>3.0</v>
      </c>
      <c r="G3" s="110">
        <v>74.0</v>
      </c>
      <c r="H3" s="107" t="s">
        <v>512</v>
      </c>
    </row>
    <row r="4">
      <c r="A4" s="38" t="s">
        <v>88</v>
      </c>
      <c r="B4" s="112">
        <v>12.0</v>
      </c>
      <c r="C4" s="112">
        <v>82.44</v>
      </c>
      <c r="D4" s="112">
        <v>100.0</v>
      </c>
      <c r="E4" s="87">
        <f t="shared" si="1"/>
        <v>0.8244</v>
      </c>
      <c r="F4" s="69">
        <v>1.0</v>
      </c>
      <c r="G4" s="110">
        <v>73.15</v>
      </c>
      <c r="H4" s="107" t="s">
        <v>513</v>
      </c>
    </row>
    <row r="5">
      <c r="A5" s="38" t="s">
        <v>90</v>
      </c>
      <c r="B5" s="112">
        <v>5.0</v>
      </c>
      <c r="C5" s="112">
        <v>51.82</v>
      </c>
      <c r="D5" s="112">
        <v>75.0</v>
      </c>
      <c r="E5" s="87">
        <f t="shared" si="1"/>
        <v>0.6909333333</v>
      </c>
      <c r="F5" s="69"/>
      <c r="G5" s="111">
        <v>49.07</v>
      </c>
      <c r="H5" s="107" t="s">
        <v>514</v>
      </c>
    </row>
    <row r="6">
      <c r="A6" s="38" t="s">
        <v>91</v>
      </c>
      <c r="B6" s="112">
        <v>11.0</v>
      </c>
      <c r="C6" s="112">
        <v>88.871</v>
      </c>
      <c r="D6" s="112">
        <v>100.0</v>
      </c>
      <c r="E6" s="87">
        <f t="shared" si="1"/>
        <v>0.88871</v>
      </c>
      <c r="F6" s="69">
        <v>3.0</v>
      </c>
      <c r="G6" s="114">
        <v>78.22</v>
      </c>
      <c r="H6" s="107" t="s">
        <v>515</v>
      </c>
    </row>
    <row r="7">
      <c r="A7" s="38" t="s">
        <v>94</v>
      </c>
      <c r="B7" s="112">
        <v>4.0</v>
      </c>
      <c r="C7" s="112">
        <v>104.604</v>
      </c>
      <c r="D7" s="112">
        <v>100.0</v>
      </c>
      <c r="E7" s="87">
        <f t="shared" si="1"/>
        <v>1.04604</v>
      </c>
      <c r="F7" s="69">
        <v>1.0</v>
      </c>
      <c r="G7" s="111">
        <v>83.3</v>
      </c>
      <c r="H7" s="107" t="s">
        <v>516</v>
      </c>
    </row>
    <row r="8">
      <c r="A8" s="7" t="s">
        <v>96</v>
      </c>
      <c r="B8" s="112">
        <v>17.0</v>
      </c>
      <c r="C8" s="115">
        <v>69.93</v>
      </c>
      <c r="D8" s="112">
        <v>72.0</v>
      </c>
      <c r="E8" s="87">
        <f t="shared" si="1"/>
        <v>0.97125</v>
      </c>
      <c r="F8" s="69">
        <v>5.0</v>
      </c>
      <c r="G8" s="111">
        <v>62.55</v>
      </c>
      <c r="H8" s="107" t="s">
        <v>517</v>
      </c>
    </row>
    <row r="9">
      <c r="C9" s="39">
        <f t="shared" ref="C9:D9" si="2">SUM(C2:C8)</f>
        <v>562.803</v>
      </c>
      <c r="D9" s="39">
        <f t="shared" si="2"/>
        <v>617</v>
      </c>
      <c r="E9" s="87">
        <f t="shared" si="1"/>
        <v>0.9121604538</v>
      </c>
    </row>
    <row r="11">
      <c r="C11" s="94">
        <v>1.0</v>
      </c>
      <c r="D11" s="116" t="s">
        <v>85</v>
      </c>
      <c r="E11" s="116">
        <v>4.54</v>
      </c>
    </row>
    <row r="12">
      <c r="C12" s="110">
        <v>2.0</v>
      </c>
      <c r="D12" s="117" t="s">
        <v>96</v>
      </c>
      <c r="E12" s="117">
        <v>4.43</v>
      </c>
    </row>
    <row r="13">
      <c r="C13" s="110">
        <v>3.0</v>
      </c>
      <c r="D13" s="118" t="s">
        <v>94</v>
      </c>
      <c r="E13" s="117">
        <v>4.25</v>
      </c>
    </row>
    <row r="14">
      <c r="C14" s="111">
        <v>4.0</v>
      </c>
      <c r="D14" s="117" t="s">
        <v>90</v>
      </c>
      <c r="E14" s="118">
        <v>4.25</v>
      </c>
    </row>
    <row r="15">
      <c r="C15" s="111">
        <v>5.0</v>
      </c>
      <c r="D15" s="117" t="s">
        <v>88</v>
      </c>
      <c r="E15" s="117">
        <v>3.76</v>
      </c>
    </row>
    <row r="16">
      <c r="C16" s="111">
        <v>6.0</v>
      </c>
      <c r="D16" s="117" t="s">
        <v>91</v>
      </c>
      <c r="E16" s="117">
        <v>3.64</v>
      </c>
    </row>
    <row r="17">
      <c r="C17" s="111">
        <v>7.0</v>
      </c>
      <c r="D17" s="117" t="s">
        <v>108</v>
      </c>
      <c r="E17" s="117">
        <v>3.05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8" max="8" width="89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  <c r="O1" s="119"/>
      <c r="P1" s="68"/>
    </row>
    <row r="2">
      <c r="A2" s="38" t="s">
        <v>85</v>
      </c>
      <c r="B2" s="71">
        <v>6.0</v>
      </c>
      <c r="C2" s="71">
        <v>35.375</v>
      </c>
      <c r="D2" s="71">
        <v>75.0</v>
      </c>
      <c r="E2" s="87">
        <f t="shared" ref="E2:E9" si="1">C2/D2</f>
        <v>0.4716666667</v>
      </c>
      <c r="F2" s="69">
        <v>2.0</v>
      </c>
      <c r="G2" s="94">
        <v>40.5</v>
      </c>
      <c r="H2" s="107" t="s">
        <v>518</v>
      </c>
      <c r="O2" s="119"/>
      <c r="P2" s="120"/>
      <c r="Q2" s="121"/>
    </row>
    <row r="3">
      <c r="A3" s="38" t="s">
        <v>86</v>
      </c>
      <c r="B3" s="71">
        <v>3.0</v>
      </c>
      <c r="C3" s="113">
        <v>17.38</v>
      </c>
      <c r="D3" s="112">
        <v>45.0</v>
      </c>
      <c r="E3" s="87">
        <f t="shared" si="1"/>
        <v>0.3862222222</v>
      </c>
      <c r="F3" s="69">
        <v>0.0</v>
      </c>
      <c r="G3" s="110">
        <v>11.0</v>
      </c>
      <c r="H3" s="107" t="s">
        <v>519</v>
      </c>
      <c r="O3" s="119"/>
      <c r="P3" s="122"/>
      <c r="Q3" s="121"/>
    </row>
    <row r="4">
      <c r="A4" s="38" t="s">
        <v>88</v>
      </c>
      <c r="B4" s="71">
        <v>12.0</v>
      </c>
      <c r="C4" s="112">
        <v>50.37</v>
      </c>
      <c r="D4" s="112">
        <v>80.0</v>
      </c>
      <c r="E4" s="87">
        <f t="shared" si="1"/>
        <v>0.629625</v>
      </c>
      <c r="F4" s="69">
        <v>0.0</v>
      </c>
      <c r="G4" s="110">
        <v>49.55</v>
      </c>
      <c r="H4" s="107" t="s">
        <v>520</v>
      </c>
      <c r="O4" s="119"/>
      <c r="P4" s="122"/>
      <c r="Q4" s="121"/>
    </row>
    <row r="5">
      <c r="A5" s="38" t="s">
        <v>90</v>
      </c>
      <c r="B5" s="71">
        <v>2.0</v>
      </c>
      <c r="C5" s="112">
        <v>53.37</v>
      </c>
      <c r="D5" s="112">
        <v>60.0</v>
      </c>
      <c r="E5" s="87">
        <f t="shared" si="1"/>
        <v>0.8895</v>
      </c>
      <c r="F5" s="69">
        <v>0.0</v>
      </c>
      <c r="G5" s="111">
        <v>50.15</v>
      </c>
      <c r="H5" s="107" t="s">
        <v>521</v>
      </c>
      <c r="O5" s="119"/>
      <c r="P5" s="120"/>
      <c r="Q5" s="121"/>
    </row>
    <row r="6">
      <c r="A6" s="38" t="s">
        <v>91</v>
      </c>
      <c r="B6" s="71">
        <v>10.0</v>
      </c>
      <c r="C6" s="112">
        <v>31.45</v>
      </c>
      <c r="D6" s="112">
        <v>65.0</v>
      </c>
      <c r="E6" s="87">
        <f t="shared" si="1"/>
        <v>0.4838461538</v>
      </c>
      <c r="F6" s="69">
        <v>3.0</v>
      </c>
      <c r="G6" s="114">
        <v>39.62</v>
      </c>
      <c r="H6" s="107" t="s">
        <v>522</v>
      </c>
      <c r="O6" s="119"/>
      <c r="P6" s="123"/>
      <c r="Q6" s="121"/>
    </row>
    <row r="7">
      <c r="A7" s="38" t="s">
        <v>94</v>
      </c>
      <c r="B7" s="71">
        <v>7.0</v>
      </c>
      <c r="C7" s="112">
        <v>67.72</v>
      </c>
      <c r="D7" s="112">
        <v>80.0</v>
      </c>
      <c r="E7" s="87">
        <f t="shared" si="1"/>
        <v>0.8465</v>
      </c>
      <c r="F7" s="69">
        <v>0.0</v>
      </c>
      <c r="G7" s="111">
        <v>44.82</v>
      </c>
      <c r="H7" s="107" t="s">
        <v>523</v>
      </c>
      <c r="O7" s="119"/>
      <c r="P7" s="120"/>
      <c r="Q7" s="121"/>
    </row>
    <row r="8">
      <c r="A8" s="7" t="s">
        <v>96</v>
      </c>
      <c r="B8" s="71">
        <v>10.0</v>
      </c>
      <c r="C8" s="115">
        <v>56.278</v>
      </c>
      <c r="D8" s="112">
        <v>64.0</v>
      </c>
      <c r="E8" s="87">
        <f t="shared" si="1"/>
        <v>0.87934375</v>
      </c>
      <c r="F8" s="69">
        <v>1.0</v>
      </c>
      <c r="G8" s="111">
        <v>57.85</v>
      </c>
      <c r="H8" s="107" t="s">
        <v>524</v>
      </c>
      <c r="O8" s="119"/>
      <c r="P8" s="120"/>
      <c r="Q8" s="121"/>
    </row>
    <row r="9">
      <c r="C9" s="39">
        <f t="shared" ref="C9:D9" si="2">SUM(C2:C8)</f>
        <v>311.943</v>
      </c>
      <c r="D9" s="39">
        <f t="shared" si="2"/>
        <v>469</v>
      </c>
      <c r="E9" s="87">
        <f t="shared" si="1"/>
        <v>0.6651236674</v>
      </c>
    </row>
    <row r="10">
      <c r="A10" s="55" t="s">
        <v>525</v>
      </c>
    </row>
    <row r="13">
      <c r="C13" s="94">
        <v>1.0</v>
      </c>
      <c r="D13" s="94" t="s">
        <v>90</v>
      </c>
      <c r="E13" s="116">
        <v>4.54</v>
      </c>
    </row>
    <row r="14">
      <c r="C14" s="110">
        <v>2.0</v>
      </c>
      <c r="D14" s="111" t="s">
        <v>96</v>
      </c>
      <c r="E14" s="117">
        <v>4.33</v>
      </c>
    </row>
    <row r="15">
      <c r="C15" s="110">
        <v>3.0</v>
      </c>
      <c r="D15" s="124" t="s">
        <v>94</v>
      </c>
      <c r="E15" s="118">
        <v>3.9</v>
      </c>
    </row>
    <row r="16">
      <c r="C16" s="111">
        <v>4.0</v>
      </c>
      <c r="D16" s="124" t="s">
        <v>88</v>
      </c>
      <c r="E16" s="117">
        <v>3.32</v>
      </c>
    </row>
    <row r="17">
      <c r="C17" s="111">
        <v>5.0</v>
      </c>
      <c r="D17" s="124" t="s">
        <v>108</v>
      </c>
      <c r="E17" s="117">
        <v>3.07</v>
      </c>
    </row>
    <row r="18">
      <c r="C18" s="111">
        <v>6.0</v>
      </c>
      <c r="D18" s="124" t="s">
        <v>91</v>
      </c>
      <c r="E18" s="117">
        <v>2.22</v>
      </c>
    </row>
    <row r="19">
      <c r="C19" s="111">
        <v>7.0</v>
      </c>
      <c r="D19" s="111" t="s">
        <v>85</v>
      </c>
      <c r="E19" s="118">
        <v>2.1</v>
      </c>
    </row>
    <row r="24">
      <c r="B24" s="119"/>
      <c r="D24" s="119"/>
      <c r="F24" s="119"/>
      <c r="G24" s="68"/>
      <c r="K24" s="119"/>
      <c r="L24" s="55"/>
      <c r="M24" s="119"/>
      <c r="N24" s="55"/>
      <c r="O24" s="119"/>
      <c r="P24" s="68"/>
      <c r="Q24" s="55"/>
    </row>
    <row r="25">
      <c r="B25" s="106"/>
      <c r="C25" s="106"/>
      <c r="D25" s="106"/>
      <c r="E25" s="85"/>
      <c r="F25" s="119"/>
      <c r="G25" s="120"/>
      <c r="H25" s="121"/>
      <c r="K25" s="106"/>
      <c r="L25" s="106"/>
      <c r="M25" s="106"/>
      <c r="N25" s="85"/>
      <c r="O25" s="119"/>
      <c r="P25" s="120"/>
      <c r="Q25" s="121"/>
    </row>
    <row r="26">
      <c r="B26" s="106"/>
      <c r="C26" s="96"/>
      <c r="D26" s="106"/>
      <c r="E26" s="85"/>
      <c r="F26" s="119"/>
      <c r="G26" s="122"/>
      <c r="H26" s="121"/>
      <c r="K26" s="106"/>
      <c r="L26" s="96"/>
      <c r="M26" s="106"/>
      <c r="N26" s="85"/>
      <c r="O26" s="119"/>
      <c r="P26" s="122"/>
      <c r="Q26" s="121"/>
    </row>
    <row r="27">
      <c r="B27" s="106"/>
      <c r="C27" s="106"/>
      <c r="D27" s="106"/>
      <c r="E27" s="85"/>
      <c r="F27" s="119"/>
      <c r="G27" s="122"/>
      <c r="H27" s="121"/>
      <c r="K27" s="106"/>
      <c r="L27" s="106"/>
      <c r="M27" s="106"/>
      <c r="N27" s="85"/>
      <c r="O27" s="119"/>
      <c r="P27" s="122"/>
      <c r="Q27" s="121"/>
    </row>
    <row r="28">
      <c r="B28" s="106"/>
      <c r="C28" s="106"/>
      <c r="D28" s="106"/>
      <c r="E28" s="85"/>
      <c r="F28" s="119"/>
      <c r="G28" s="120"/>
      <c r="H28" s="121"/>
      <c r="K28" s="106"/>
      <c r="L28" s="106"/>
      <c r="M28" s="106"/>
      <c r="N28" s="85"/>
      <c r="O28" s="119"/>
      <c r="P28" s="120"/>
      <c r="Q28" s="121"/>
    </row>
    <row r="29">
      <c r="B29" s="106"/>
      <c r="C29" s="106"/>
      <c r="D29" s="106"/>
      <c r="E29" s="85"/>
      <c r="F29" s="119"/>
      <c r="G29" s="123"/>
      <c r="H29" s="121"/>
      <c r="K29" s="106"/>
      <c r="L29" s="106"/>
      <c r="M29" s="106"/>
      <c r="N29" s="85"/>
      <c r="O29" s="119"/>
      <c r="P29" s="123"/>
      <c r="Q29" s="121"/>
    </row>
    <row r="30">
      <c r="B30" s="106"/>
      <c r="C30" s="106"/>
      <c r="D30" s="106"/>
      <c r="E30" s="85"/>
      <c r="F30" s="119"/>
      <c r="G30" s="120"/>
      <c r="H30" s="121"/>
      <c r="K30" s="106"/>
      <c r="L30" s="106"/>
      <c r="M30" s="106"/>
      <c r="N30" s="85"/>
      <c r="O30" s="119"/>
      <c r="P30" s="120"/>
      <c r="Q30" s="121"/>
    </row>
    <row r="31">
      <c r="B31" s="106"/>
      <c r="C31" s="125"/>
      <c r="D31" s="106"/>
      <c r="E31" s="85"/>
      <c r="F31" s="119"/>
      <c r="G31" s="120"/>
      <c r="H31" s="121"/>
      <c r="J31" s="55"/>
      <c r="K31" s="106"/>
      <c r="L31" s="125"/>
      <c r="M31" s="106"/>
      <c r="N31" s="85"/>
      <c r="O31" s="119"/>
      <c r="P31" s="120"/>
      <c r="Q31" s="121"/>
    </row>
    <row r="37">
      <c r="C37" s="120"/>
      <c r="D37" s="120"/>
      <c r="E37" s="120"/>
      <c r="L37" s="120"/>
      <c r="M37" s="120"/>
      <c r="N37" s="120"/>
    </row>
    <row r="38">
      <c r="C38" s="122"/>
      <c r="D38" s="120"/>
      <c r="E38" s="126"/>
      <c r="L38" s="122"/>
      <c r="M38" s="120"/>
      <c r="N38" s="126"/>
    </row>
    <row r="39">
      <c r="C39" s="122"/>
      <c r="D39" s="126"/>
      <c r="E39" s="120"/>
      <c r="L39" s="122"/>
      <c r="M39" s="126"/>
      <c r="N39" s="120"/>
    </row>
    <row r="40">
      <c r="C40" s="120"/>
      <c r="D40" s="126"/>
      <c r="E40" s="126"/>
      <c r="L40" s="120"/>
      <c r="M40" s="126"/>
      <c r="N40" s="126"/>
    </row>
    <row r="41">
      <c r="C41" s="120"/>
      <c r="D41" s="126"/>
      <c r="E41" s="126"/>
      <c r="L41" s="120"/>
      <c r="M41" s="126"/>
      <c r="N41" s="126"/>
    </row>
    <row r="42">
      <c r="C42" s="120"/>
      <c r="D42" s="126"/>
      <c r="E42" s="126"/>
      <c r="L42" s="120"/>
      <c r="M42" s="126"/>
      <c r="N42" s="126"/>
    </row>
    <row r="43">
      <c r="C43" s="120"/>
      <c r="D43" s="120"/>
      <c r="E43" s="120"/>
      <c r="L43" s="120"/>
      <c r="M43" s="120"/>
      <c r="N43" s="120"/>
    </row>
    <row r="48">
      <c r="B48" s="119"/>
      <c r="D48" s="119"/>
      <c r="F48" s="119"/>
      <c r="G48" s="68"/>
      <c r="K48" s="119"/>
      <c r="L48" s="55"/>
      <c r="M48" s="119"/>
      <c r="N48" s="55"/>
      <c r="O48" s="119"/>
      <c r="P48" s="68"/>
      <c r="Q48" s="55"/>
    </row>
    <row r="49">
      <c r="B49" s="106"/>
      <c r="C49" s="106"/>
      <c r="D49" s="106"/>
      <c r="E49" s="85"/>
      <c r="F49" s="119"/>
      <c r="G49" s="120"/>
      <c r="H49" s="121"/>
      <c r="K49" s="106"/>
      <c r="L49" s="106"/>
      <c r="M49" s="106"/>
      <c r="N49" s="85"/>
      <c r="O49" s="119"/>
      <c r="P49" s="120"/>
      <c r="Q49" s="121"/>
    </row>
    <row r="50">
      <c r="B50" s="106"/>
      <c r="C50" s="96"/>
      <c r="D50" s="106"/>
      <c r="E50" s="85"/>
      <c r="F50" s="119"/>
      <c r="G50" s="122"/>
      <c r="H50" s="121"/>
      <c r="K50" s="106"/>
      <c r="L50" s="96"/>
      <c r="M50" s="106"/>
      <c r="N50" s="85"/>
      <c r="O50" s="119"/>
      <c r="P50" s="122"/>
      <c r="Q50" s="121"/>
    </row>
    <row r="51">
      <c r="B51" s="106"/>
      <c r="C51" s="106"/>
      <c r="D51" s="106"/>
      <c r="E51" s="85"/>
      <c r="F51" s="119"/>
      <c r="G51" s="122"/>
      <c r="H51" s="121"/>
      <c r="K51" s="106"/>
      <c r="L51" s="106"/>
      <c r="M51" s="106"/>
      <c r="N51" s="85"/>
      <c r="O51" s="119"/>
      <c r="P51" s="122"/>
      <c r="Q51" s="121"/>
    </row>
    <row r="52">
      <c r="B52" s="106"/>
      <c r="C52" s="106"/>
      <c r="D52" s="106"/>
      <c r="E52" s="85"/>
      <c r="F52" s="119"/>
      <c r="G52" s="120"/>
      <c r="H52" s="121"/>
      <c r="K52" s="106"/>
      <c r="L52" s="106"/>
      <c r="M52" s="106"/>
      <c r="N52" s="85"/>
      <c r="O52" s="119"/>
      <c r="P52" s="120"/>
      <c r="Q52" s="121"/>
    </row>
    <row r="53">
      <c r="B53" s="106"/>
      <c r="C53" s="106"/>
      <c r="D53" s="106"/>
      <c r="E53" s="85"/>
      <c r="F53" s="119"/>
      <c r="G53" s="123"/>
      <c r="H53" s="121"/>
      <c r="K53" s="106"/>
      <c r="L53" s="106"/>
      <c r="M53" s="106"/>
      <c r="N53" s="85"/>
      <c r="O53" s="119"/>
      <c r="P53" s="123"/>
      <c r="Q53" s="121"/>
    </row>
    <row r="54">
      <c r="B54" s="106"/>
      <c r="C54" s="106"/>
      <c r="D54" s="106"/>
      <c r="E54" s="85"/>
      <c r="F54" s="119"/>
      <c r="G54" s="120"/>
      <c r="H54" s="121"/>
      <c r="K54" s="106"/>
      <c r="L54" s="106"/>
      <c r="M54" s="106"/>
      <c r="N54" s="85"/>
      <c r="O54" s="119"/>
      <c r="P54" s="120"/>
      <c r="Q54" s="121"/>
    </row>
    <row r="55">
      <c r="B55" s="106"/>
      <c r="C55" s="125"/>
      <c r="D55" s="106"/>
      <c r="E55" s="85"/>
      <c r="F55" s="119"/>
      <c r="G55" s="120"/>
      <c r="H55" s="121"/>
      <c r="J55" s="55"/>
      <c r="K55" s="106"/>
      <c r="L55" s="125"/>
      <c r="M55" s="106"/>
      <c r="N55" s="85"/>
      <c r="O55" s="119"/>
      <c r="P55" s="120"/>
      <c r="Q55" s="121"/>
    </row>
    <row r="61">
      <c r="C61" s="120"/>
      <c r="D61" s="120"/>
      <c r="E61" s="120"/>
      <c r="L61" s="120"/>
      <c r="M61" s="120"/>
      <c r="N61" s="120"/>
    </row>
    <row r="62">
      <c r="C62" s="122"/>
      <c r="D62" s="120"/>
      <c r="E62" s="126"/>
      <c r="L62" s="122"/>
      <c r="M62" s="120"/>
      <c r="N62" s="126"/>
    </row>
    <row r="63">
      <c r="C63" s="122"/>
      <c r="D63" s="126"/>
      <c r="E63" s="120"/>
      <c r="L63" s="122"/>
      <c r="M63" s="126"/>
      <c r="N63" s="120"/>
    </row>
    <row r="64">
      <c r="C64" s="120"/>
      <c r="D64" s="126"/>
      <c r="E64" s="126"/>
      <c r="L64" s="120"/>
      <c r="M64" s="126"/>
      <c r="N64" s="126"/>
    </row>
    <row r="65">
      <c r="C65" s="120"/>
      <c r="D65" s="126"/>
      <c r="E65" s="126"/>
      <c r="L65" s="120"/>
      <c r="M65" s="126"/>
      <c r="N65" s="126"/>
    </row>
    <row r="66">
      <c r="C66" s="120"/>
      <c r="D66" s="126"/>
      <c r="E66" s="126"/>
      <c r="L66" s="120"/>
      <c r="M66" s="126"/>
      <c r="N66" s="126"/>
    </row>
    <row r="67">
      <c r="C67" s="120"/>
      <c r="D67" s="120"/>
      <c r="E67" s="120"/>
      <c r="L67" s="120"/>
      <c r="M67" s="120"/>
      <c r="N67" s="120"/>
    </row>
    <row r="72">
      <c r="B72" s="119"/>
      <c r="D72" s="119"/>
      <c r="F72" s="119"/>
      <c r="G72" s="68"/>
      <c r="K72" s="119"/>
      <c r="L72" s="55"/>
      <c r="M72" s="119"/>
      <c r="N72" s="55"/>
      <c r="O72" s="119"/>
      <c r="P72" s="68"/>
      <c r="Q72" s="55"/>
    </row>
    <row r="73">
      <c r="B73" s="106"/>
      <c r="C73" s="106"/>
      <c r="D73" s="106"/>
      <c r="E73" s="85"/>
      <c r="F73" s="119"/>
      <c r="G73" s="120"/>
      <c r="H73" s="121"/>
      <c r="K73" s="106"/>
      <c r="L73" s="106"/>
      <c r="M73" s="106"/>
      <c r="N73" s="85"/>
      <c r="O73" s="119"/>
      <c r="P73" s="120"/>
      <c r="Q73" s="121"/>
    </row>
    <row r="74">
      <c r="B74" s="106"/>
      <c r="C74" s="96"/>
      <c r="D74" s="106"/>
      <c r="E74" s="85"/>
      <c r="F74" s="119"/>
      <c r="G74" s="122"/>
      <c r="H74" s="121"/>
      <c r="K74" s="106"/>
      <c r="L74" s="96"/>
      <c r="M74" s="106"/>
      <c r="N74" s="85"/>
      <c r="O74" s="119"/>
      <c r="P74" s="122"/>
      <c r="Q74" s="121"/>
    </row>
    <row r="75">
      <c r="B75" s="106"/>
      <c r="C75" s="106"/>
      <c r="D75" s="106"/>
      <c r="E75" s="85"/>
      <c r="F75" s="119"/>
      <c r="G75" s="122"/>
      <c r="H75" s="121"/>
      <c r="K75" s="106"/>
      <c r="L75" s="106"/>
      <c r="M75" s="106"/>
      <c r="N75" s="85"/>
      <c r="O75" s="119"/>
      <c r="P75" s="122"/>
      <c r="Q75" s="121"/>
    </row>
    <row r="76">
      <c r="B76" s="106"/>
      <c r="C76" s="106"/>
      <c r="D76" s="106"/>
      <c r="E76" s="85"/>
      <c r="F76" s="119"/>
      <c r="G76" s="120"/>
      <c r="H76" s="121"/>
      <c r="K76" s="106"/>
      <c r="L76" s="106"/>
      <c r="M76" s="106"/>
      <c r="N76" s="85"/>
      <c r="O76" s="119"/>
      <c r="P76" s="120"/>
      <c r="Q76" s="121"/>
    </row>
    <row r="77">
      <c r="B77" s="106"/>
      <c r="C77" s="106"/>
      <c r="D77" s="106"/>
      <c r="E77" s="85"/>
      <c r="F77" s="119"/>
      <c r="G77" s="123"/>
      <c r="H77" s="121"/>
      <c r="K77" s="106"/>
      <c r="L77" s="106"/>
      <c r="M77" s="106"/>
      <c r="N77" s="85"/>
      <c r="O77" s="119"/>
      <c r="P77" s="123"/>
      <c r="Q77" s="121"/>
    </row>
    <row r="78">
      <c r="B78" s="106"/>
      <c r="C78" s="106"/>
      <c r="D78" s="106"/>
      <c r="E78" s="85"/>
      <c r="F78" s="119"/>
      <c r="G78" s="120"/>
      <c r="H78" s="121"/>
      <c r="K78" s="106"/>
      <c r="L78" s="106"/>
      <c r="M78" s="106"/>
      <c r="N78" s="85"/>
      <c r="O78" s="119"/>
      <c r="P78" s="120"/>
      <c r="Q78" s="121"/>
    </row>
    <row r="79">
      <c r="B79" s="106"/>
      <c r="C79" s="125"/>
      <c r="D79" s="106"/>
      <c r="E79" s="85"/>
      <c r="F79" s="119"/>
      <c r="G79" s="120"/>
      <c r="H79" s="121"/>
      <c r="J79" s="55"/>
      <c r="K79" s="106"/>
      <c r="L79" s="125"/>
      <c r="M79" s="106"/>
      <c r="N79" s="85"/>
      <c r="O79" s="119"/>
      <c r="P79" s="120"/>
      <c r="Q79" s="121"/>
    </row>
    <row r="85">
      <c r="C85" s="120"/>
      <c r="D85" s="120"/>
      <c r="E85" s="120"/>
      <c r="L85" s="120"/>
      <c r="M85" s="120"/>
      <c r="N85" s="120"/>
    </row>
    <row r="86">
      <c r="C86" s="122"/>
      <c r="D86" s="120"/>
      <c r="E86" s="126"/>
      <c r="L86" s="122"/>
      <c r="M86" s="120"/>
      <c r="N86" s="126"/>
    </row>
    <row r="87">
      <c r="C87" s="122"/>
      <c r="D87" s="126"/>
      <c r="E87" s="120"/>
      <c r="L87" s="122"/>
      <c r="M87" s="126"/>
      <c r="N87" s="120"/>
    </row>
    <row r="88">
      <c r="C88" s="120"/>
      <c r="D88" s="126"/>
      <c r="E88" s="126"/>
      <c r="L88" s="120"/>
      <c r="M88" s="126"/>
      <c r="N88" s="126"/>
    </row>
    <row r="89">
      <c r="C89" s="120"/>
      <c r="D89" s="126"/>
      <c r="E89" s="126"/>
      <c r="L89" s="120"/>
      <c r="M89" s="126"/>
      <c r="N89" s="126"/>
    </row>
    <row r="90">
      <c r="C90" s="120"/>
      <c r="D90" s="126"/>
      <c r="E90" s="126"/>
      <c r="L90" s="120"/>
      <c r="M90" s="126"/>
      <c r="N90" s="126"/>
    </row>
    <row r="91">
      <c r="C91" s="120"/>
      <c r="D91" s="120"/>
      <c r="E91" s="120"/>
      <c r="L91" s="120"/>
      <c r="M91" s="120"/>
      <c r="N91" s="120"/>
    </row>
    <row r="96">
      <c r="B96" s="119"/>
      <c r="D96" s="119"/>
      <c r="F96" s="119"/>
      <c r="G96" s="68"/>
      <c r="K96" s="119"/>
      <c r="L96" s="55"/>
      <c r="M96" s="119"/>
      <c r="N96" s="55"/>
      <c r="O96" s="119"/>
      <c r="P96" s="68"/>
      <c r="Q96" s="55"/>
    </row>
    <row r="97">
      <c r="B97" s="106"/>
      <c r="C97" s="106"/>
      <c r="D97" s="106"/>
      <c r="E97" s="85"/>
      <c r="F97" s="119"/>
      <c r="G97" s="120"/>
      <c r="H97" s="121"/>
      <c r="K97" s="106"/>
      <c r="L97" s="106"/>
      <c r="M97" s="106"/>
      <c r="N97" s="85"/>
      <c r="O97" s="119"/>
      <c r="P97" s="120"/>
      <c r="Q97" s="121"/>
    </row>
    <row r="98">
      <c r="B98" s="106"/>
      <c r="C98" s="96"/>
      <c r="D98" s="106"/>
      <c r="E98" s="85"/>
      <c r="F98" s="119"/>
      <c r="G98" s="122"/>
      <c r="H98" s="121"/>
      <c r="K98" s="106"/>
      <c r="L98" s="96"/>
      <c r="M98" s="106"/>
      <c r="N98" s="85"/>
      <c r="O98" s="119"/>
      <c r="P98" s="122"/>
      <c r="Q98" s="121"/>
    </row>
    <row r="99">
      <c r="B99" s="106"/>
      <c r="C99" s="106"/>
      <c r="D99" s="106"/>
      <c r="E99" s="85"/>
      <c r="F99" s="119"/>
      <c r="G99" s="122"/>
      <c r="H99" s="121"/>
      <c r="K99" s="106"/>
      <c r="L99" s="106"/>
      <c r="M99" s="106"/>
      <c r="N99" s="85"/>
      <c r="O99" s="119"/>
      <c r="P99" s="122"/>
      <c r="Q99" s="121"/>
    </row>
    <row r="100">
      <c r="B100" s="106"/>
      <c r="C100" s="106"/>
      <c r="D100" s="106"/>
      <c r="E100" s="85"/>
      <c r="F100" s="119"/>
      <c r="G100" s="120"/>
      <c r="H100" s="121"/>
      <c r="K100" s="106"/>
      <c r="L100" s="106"/>
      <c r="M100" s="106"/>
      <c r="N100" s="85"/>
      <c r="O100" s="119"/>
      <c r="P100" s="120"/>
      <c r="Q100" s="121"/>
    </row>
    <row r="101">
      <c r="B101" s="106"/>
      <c r="C101" s="106"/>
      <c r="D101" s="106"/>
      <c r="E101" s="85"/>
      <c r="F101" s="119"/>
      <c r="G101" s="123"/>
      <c r="H101" s="121"/>
      <c r="K101" s="106"/>
      <c r="L101" s="106"/>
      <c r="M101" s="106"/>
      <c r="N101" s="85"/>
      <c r="O101" s="119"/>
      <c r="P101" s="123"/>
      <c r="Q101" s="121"/>
    </row>
    <row r="102">
      <c r="B102" s="106"/>
      <c r="C102" s="106"/>
      <c r="D102" s="106"/>
      <c r="E102" s="85"/>
      <c r="F102" s="119"/>
      <c r="G102" s="120"/>
      <c r="H102" s="121"/>
      <c r="K102" s="106"/>
      <c r="L102" s="106"/>
      <c r="M102" s="106"/>
      <c r="N102" s="85"/>
      <c r="O102" s="119"/>
      <c r="P102" s="120"/>
      <c r="Q102" s="121"/>
    </row>
    <row r="103">
      <c r="B103" s="106"/>
      <c r="C103" s="125"/>
      <c r="D103" s="106"/>
      <c r="E103" s="85"/>
      <c r="F103" s="119"/>
      <c r="G103" s="120"/>
      <c r="H103" s="121"/>
      <c r="J103" s="55"/>
      <c r="K103" s="106"/>
      <c r="L103" s="125"/>
      <c r="M103" s="106"/>
      <c r="N103" s="85"/>
      <c r="O103" s="119"/>
      <c r="P103" s="120"/>
      <c r="Q103" s="121"/>
    </row>
    <row r="109">
      <c r="C109" s="120"/>
      <c r="D109" s="120"/>
      <c r="E109" s="120"/>
      <c r="L109" s="120"/>
      <c r="M109" s="120"/>
      <c r="N109" s="120"/>
    </row>
    <row r="110">
      <c r="C110" s="122"/>
      <c r="D110" s="120"/>
      <c r="E110" s="126"/>
      <c r="L110" s="122"/>
      <c r="M110" s="120"/>
      <c r="N110" s="126"/>
    </row>
    <row r="111">
      <c r="C111" s="122"/>
      <c r="D111" s="126"/>
      <c r="E111" s="120"/>
      <c r="L111" s="122"/>
      <c r="M111" s="126"/>
      <c r="N111" s="120"/>
    </row>
    <row r="112">
      <c r="C112" s="120"/>
      <c r="D112" s="126"/>
      <c r="E112" s="126"/>
      <c r="L112" s="120"/>
      <c r="M112" s="126"/>
      <c r="N112" s="126"/>
    </row>
    <row r="113">
      <c r="C113" s="120"/>
      <c r="D113" s="126"/>
      <c r="E113" s="126"/>
      <c r="L113" s="120"/>
      <c r="M113" s="126"/>
      <c r="N113" s="126"/>
    </row>
    <row r="114">
      <c r="C114" s="120"/>
      <c r="D114" s="126"/>
      <c r="E114" s="126"/>
      <c r="L114" s="120"/>
      <c r="M114" s="126"/>
      <c r="N114" s="126"/>
    </row>
    <row r="115">
      <c r="C115" s="120"/>
      <c r="D115" s="120"/>
      <c r="E115" s="120"/>
      <c r="L115" s="120"/>
      <c r="M115" s="120"/>
      <c r="N115" s="120"/>
    </row>
    <row r="120">
      <c r="B120" s="119"/>
      <c r="D120" s="119"/>
      <c r="F120" s="119"/>
      <c r="G120" s="68"/>
      <c r="K120" s="119"/>
      <c r="L120" s="55"/>
      <c r="M120" s="119"/>
      <c r="N120" s="55"/>
      <c r="O120" s="119"/>
      <c r="P120" s="68"/>
      <c r="Q120" s="55"/>
    </row>
    <row r="121">
      <c r="B121" s="106"/>
      <c r="C121" s="106"/>
      <c r="D121" s="106"/>
      <c r="E121" s="85"/>
      <c r="F121" s="119"/>
      <c r="G121" s="120"/>
      <c r="H121" s="121"/>
      <c r="K121" s="106"/>
      <c r="L121" s="106"/>
      <c r="M121" s="106"/>
      <c r="N121" s="85"/>
      <c r="O121" s="119"/>
      <c r="P121" s="120"/>
      <c r="Q121" s="121"/>
    </row>
    <row r="122">
      <c r="B122" s="106"/>
      <c r="C122" s="96"/>
      <c r="D122" s="106"/>
      <c r="E122" s="85"/>
      <c r="F122" s="119"/>
      <c r="G122" s="122"/>
      <c r="H122" s="121"/>
      <c r="K122" s="106"/>
      <c r="L122" s="96"/>
      <c r="M122" s="106"/>
      <c r="N122" s="85"/>
      <c r="O122" s="119"/>
      <c r="P122" s="122"/>
      <c r="Q122" s="121"/>
    </row>
    <row r="123">
      <c r="B123" s="106"/>
      <c r="C123" s="106"/>
      <c r="D123" s="106"/>
      <c r="E123" s="85"/>
      <c r="F123" s="119"/>
      <c r="G123" s="122"/>
      <c r="H123" s="121"/>
      <c r="K123" s="106"/>
      <c r="L123" s="106"/>
      <c r="M123" s="106"/>
      <c r="N123" s="85"/>
      <c r="O123" s="119"/>
      <c r="P123" s="122"/>
      <c r="Q123" s="121"/>
    </row>
    <row r="124">
      <c r="B124" s="106"/>
      <c r="C124" s="106"/>
      <c r="D124" s="106"/>
      <c r="E124" s="85"/>
      <c r="F124" s="119"/>
      <c r="G124" s="120"/>
      <c r="H124" s="121"/>
      <c r="K124" s="106"/>
      <c r="L124" s="106"/>
      <c r="M124" s="106"/>
      <c r="N124" s="85"/>
      <c r="O124" s="119"/>
      <c r="P124" s="120"/>
      <c r="Q124" s="121"/>
    </row>
    <row r="125">
      <c r="B125" s="106"/>
      <c r="C125" s="106"/>
      <c r="D125" s="106"/>
      <c r="E125" s="85"/>
      <c r="F125" s="119"/>
      <c r="G125" s="123"/>
      <c r="H125" s="121"/>
      <c r="K125" s="106"/>
      <c r="L125" s="106"/>
      <c r="M125" s="106"/>
      <c r="N125" s="85"/>
      <c r="O125" s="119"/>
      <c r="P125" s="123"/>
      <c r="Q125" s="121"/>
    </row>
    <row r="126">
      <c r="B126" s="106"/>
      <c r="C126" s="106"/>
      <c r="D126" s="106"/>
      <c r="E126" s="85"/>
      <c r="F126" s="119"/>
      <c r="G126" s="120"/>
      <c r="H126" s="121"/>
      <c r="K126" s="106"/>
      <c r="L126" s="106"/>
      <c r="M126" s="106"/>
      <c r="N126" s="85"/>
      <c r="O126" s="119"/>
      <c r="P126" s="120"/>
      <c r="Q126" s="121"/>
    </row>
    <row r="127">
      <c r="B127" s="106"/>
      <c r="C127" s="125"/>
      <c r="D127" s="106"/>
      <c r="E127" s="85"/>
      <c r="F127" s="119"/>
      <c r="G127" s="120"/>
      <c r="H127" s="121"/>
      <c r="J127" s="55"/>
      <c r="K127" s="106"/>
      <c r="L127" s="125"/>
      <c r="M127" s="106"/>
      <c r="N127" s="85"/>
      <c r="O127" s="119"/>
      <c r="P127" s="120"/>
      <c r="Q127" s="121"/>
    </row>
    <row r="133">
      <c r="C133" s="120"/>
      <c r="D133" s="120"/>
      <c r="E133" s="120"/>
      <c r="L133" s="120"/>
      <c r="M133" s="120"/>
      <c r="N133" s="120"/>
    </row>
    <row r="134">
      <c r="C134" s="122"/>
      <c r="D134" s="120"/>
      <c r="E134" s="126"/>
      <c r="L134" s="122"/>
      <c r="M134" s="120"/>
      <c r="N134" s="126"/>
    </row>
    <row r="135">
      <c r="C135" s="122"/>
      <c r="D135" s="126"/>
      <c r="E135" s="120"/>
      <c r="L135" s="122"/>
      <c r="M135" s="126"/>
      <c r="N135" s="120"/>
    </row>
    <row r="136">
      <c r="C136" s="120"/>
      <c r="D136" s="126"/>
      <c r="E136" s="126"/>
      <c r="L136" s="120"/>
      <c r="M136" s="126"/>
      <c r="N136" s="126"/>
    </row>
    <row r="137">
      <c r="C137" s="120"/>
      <c r="D137" s="126"/>
      <c r="E137" s="126"/>
      <c r="L137" s="120"/>
      <c r="M137" s="126"/>
      <c r="N137" s="126"/>
    </row>
    <row r="138">
      <c r="C138" s="120"/>
      <c r="D138" s="126"/>
      <c r="E138" s="126"/>
      <c r="L138" s="120"/>
      <c r="M138" s="126"/>
      <c r="N138" s="126"/>
    </row>
    <row r="139">
      <c r="C139" s="120"/>
      <c r="D139" s="120"/>
      <c r="E139" s="120"/>
      <c r="L139" s="120"/>
      <c r="M139" s="120"/>
      <c r="N139" s="120"/>
    </row>
    <row r="144">
      <c r="B144" s="119"/>
      <c r="C144" s="55"/>
      <c r="D144" s="119"/>
      <c r="E144" s="55"/>
      <c r="F144" s="119"/>
      <c r="G144" s="68"/>
      <c r="H144" s="55"/>
      <c r="K144" s="119"/>
      <c r="L144" s="55"/>
      <c r="M144" s="119"/>
      <c r="N144" s="55"/>
      <c r="O144" s="119"/>
      <c r="P144" s="68"/>
      <c r="Q144" s="55"/>
    </row>
    <row r="145">
      <c r="B145" s="106"/>
      <c r="C145" s="106"/>
      <c r="D145" s="106"/>
      <c r="E145" s="85"/>
      <c r="F145" s="119"/>
      <c r="G145" s="120"/>
      <c r="H145" s="121"/>
      <c r="K145" s="106"/>
      <c r="L145" s="106"/>
      <c r="M145" s="106"/>
      <c r="N145" s="85"/>
      <c r="O145" s="119"/>
      <c r="P145" s="120"/>
      <c r="Q145" s="121"/>
    </row>
    <row r="146">
      <c r="B146" s="106"/>
      <c r="C146" s="96"/>
      <c r="D146" s="106"/>
      <c r="E146" s="85"/>
      <c r="F146" s="119"/>
      <c r="G146" s="122"/>
      <c r="H146" s="121"/>
      <c r="K146" s="106"/>
      <c r="L146" s="96"/>
      <c r="M146" s="106"/>
      <c r="N146" s="85"/>
      <c r="O146" s="119"/>
      <c r="P146" s="122"/>
      <c r="Q146" s="121"/>
    </row>
    <row r="147">
      <c r="B147" s="106"/>
      <c r="C147" s="106"/>
      <c r="D147" s="106"/>
      <c r="E147" s="85"/>
      <c r="F147" s="119"/>
      <c r="G147" s="122"/>
      <c r="H147" s="121"/>
      <c r="K147" s="106"/>
      <c r="L147" s="106"/>
      <c r="M147" s="106"/>
      <c r="N147" s="85"/>
      <c r="O147" s="119"/>
      <c r="P147" s="122"/>
      <c r="Q147" s="121"/>
    </row>
    <row r="148">
      <c r="B148" s="106"/>
      <c r="C148" s="106"/>
      <c r="D148" s="106"/>
      <c r="E148" s="85"/>
      <c r="F148" s="119"/>
      <c r="G148" s="120"/>
      <c r="H148" s="121"/>
      <c r="K148" s="106"/>
      <c r="L148" s="106"/>
      <c r="M148" s="106"/>
      <c r="N148" s="85"/>
      <c r="O148" s="119"/>
      <c r="P148" s="120"/>
      <c r="Q148" s="121"/>
    </row>
    <row r="149">
      <c r="B149" s="106"/>
      <c r="C149" s="106"/>
      <c r="D149" s="106"/>
      <c r="E149" s="85"/>
      <c r="F149" s="119"/>
      <c r="G149" s="123"/>
      <c r="H149" s="121"/>
      <c r="K149" s="106"/>
      <c r="L149" s="106"/>
      <c r="M149" s="106"/>
      <c r="N149" s="85"/>
      <c r="O149" s="119"/>
      <c r="P149" s="123"/>
      <c r="Q149" s="121"/>
    </row>
    <row r="150">
      <c r="B150" s="106"/>
      <c r="C150" s="106"/>
      <c r="D150" s="106"/>
      <c r="E150" s="85"/>
      <c r="F150" s="119"/>
      <c r="G150" s="120"/>
      <c r="H150" s="121"/>
      <c r="K150" s="106"/>
      <c r="L150" s="106"/>
      <c r="M150" s="106"/>
      <c r="N150" s="85"/>
      <c r="O150" s="119"/>
      <c r="P150" s="120"/>
      <c r="Q150" s="121"/>
    </row>
    <row r="151">
      <c r="A151" s="55"/>
      <c r="B151" s="106"/>
      <c r="C151" s="125"/>
      <c r="D151" s="106"/>
      <c r="E151" s="85"/>
      <c r="F151" s="119"/>
      <c r="G151" s="120"/>
      <c r="H151" s="121"/>
      <c r="J151" s="55"/>
      <c r="K151" s="106"/>
      <c r="L151" s="125"/>
      <c r="M151" s="106"/>
      <c r="N151" s="85"/>
      <c r="O151" s="119"/>
      <c r="P151" s="120"/>
      <c r="Q151" s="121"/>
    </row>
    <row r="157">
      <c r="C157" s="120"/>
      <c r="D157" s="120"/>
      <c r="E157" s="120"/>
      <c r="L157" s="120"/>
      <c r="M157" s="120"/>
      <c r="N157" s="120"/>
    </row>
    <row r="158">
      <c r="C158" s="122"/>
      <c r="D158" s="120"/>
      <c r="E158" s="126"/>
      <c r="L158" s="122"/>
      <c r="M158" s="120"/>
      <c r="N158" s="126"/>
    </row>
    <row r="159">
      <c r="C159" s="122"/>
      <c r="D159" s="126"/>
      <c r="E159" s="120"/>
      <c r="L159" s="122"/>
      <c r="M159" s="126"/>
      <c r="N159" s="120"/>
    </row>
    <row r="160">
      <c r="C160" s="120"/>
      <c r="D160" s="126"/>
      <c r="E160" s="126"/>
      <c r="L160" s="120"/>
      <c r="M160" s="126"/>
      <c r="N160" s="126"/>
    </row>
    <row r="161">
      <c r="C161" s="120"/>
      <c r="D161" s="126"/>
      <c r="E161" s="126"/>
      <c r="L161" s="120"/>
      <c r="M161" s="126"/>
      <c r="N161" s="126"/>
    </row>
    <row r="162">
      <c r="C162" s="120"/>
      <c r="D162" s="126"/>
      <c r="E162" s="126"/>
      <c r="L162" s="120"/>
      <c r="M162" s="126"/>
      <c r="N162" s="126"/>
    </row>
    <row r="163">
      <c r="C163" s="120"/>
      <c r="D163" s="120"/>
      <c r="E163" s="120"/>
      <c r="L163" s="120"/>
      <c r="M163" s="120"/>
      <c r="N163" s="120"/>
    </row>
    <row r="168">
      <c r="B168" s="119"/>
      <c r="C168" s="55"/>
      <c r="D168" s="119"/>
      <c r="E168" s="55"/>
      <c r="F168" s="119"/>
      <c r="G168" s="68"/>
      <c r="H168" s="55"/>
      <c r="K168" s="119"/>
      <c r="L168" s="55"/>
      <c r="M168" s="119"/>
      <c r="N168" s="55"/>
      <c r="O168" s="119"/>
      <c r="P168" s="68"/>
      <c r="Q168" s="55"/>
    </row>
    <row r="169">
      <c r="B169" s="106"/>
      <c r="C169" s="106"/>
      <c r="D169" s="106"/>
      <c r="E169" s="85"/>
      <c r="F169" s="119"/>
      <c r="G169" s="120"/>
      <c r="H169" s="121"/>
      <c r="K169" s="106"/>
      <c r="L169" s="106"/>
      <c r="M169" s="106"/>
      <c r="N169" s="85"/>
      <c r="O169" s="119"/>
      <c r="P169" s="120"/>
      <c r="Q169" s="121"/>
    </row>
    <row r="170">
      <c r="B170" s="106"/>
      <c r="C170" s="96"/>
      <c r="D170" s="106"/>
      <c r="E170" s="85"/>
      <c r="F170" s="119"/>
      <c r="G170" s="122"/>
      <c r="H170" s="121"/>
      <c r="K170" s="106"/>
      <c r="L170" s="96"/>
      <c r="M170" s="106"/>
      <c r="N170" s="85"/>
      <c r="O170" s="119"/>
      <c r="P170" s="122"/>
      <c r="Q170" s="121"/>
    </row>
    <row r="171">
      <c r="B171" s="106"/>
      <c r="C171" s="106"/>
      <c r="D171" s="106"/>
      <c r="E171" s="85"/>
      <c r="F171" s="119"/>
      <c r="G171" s="122"/>
      <c r="H171" s="121"/>
      <c r="K171" s="106"/>
      <c r="L171" s="106"/>
      <c r="M171" s="106"/>
      <c r="N171" s="85"/>
      <c r="O171" s="119"/>
      <c r="P171" s="122"/>
      <c r="Q171" s="121"/>
    </row>
    <row r="172">
      <c r="B172" s="106"/>
      <c r="C172" s="106"/>
      <c r="D172" s="106"/>
      <c r="E172" s="85"/>
      <c r="F172" s="119"/>
      <c r="G172" s="120"/>
      <c r="H172" s="121"/>
      <c r="K172" s="106"/>
      <c r="L172" s="106"/>
      <c r="M172" s="106"/>
      <c r="N172" s="85"/>
      <c r="O172" s="119"/>
      <c r="P172" s="120"/>
      <c r="Q172" s="121"/>
    </row>
    <row r="173">
      <c r="B173" s="106"/>
      <c r="C173" s="106"/>
      <c r="D173" s="106"/>
      <c r="E173" s="85"/>
      <c r="F173" s="119"/>
      <c r="G173" s="123"/>
      <c r="H173" s="121"/>
      <c r="K173" s="106"/>
      <c r="L173" s="106"/>
      <c r="M173" s="106"/>
      <c r="N173" s="85"/>
      <c r="O173" s="119"/>
      <c r="P173" s="123"/>
      <c r="Q173" s="121"/>
    </row>
    <row r="174">
      <c r="B174" s="106"/>
      <c r="C174" s="106"/>
      <c r="D174" s="106"/>
      <c r="E174" s="85"/>
      <c r="F174" s="119"/>
      <c r="G174" s="120"/>
      <c r="H174" s="121"/>
      <c r="K174" s="106"/>
      <c r="L174" s="106"/>
      <c r="M174" s="106"/>
      <c r="N174" s="85"/>
      <c r="O174" s="119"/>
      <c r="P174" s="120"/>
      <c r="Q174" s="121"/>
    </row>
    <row r="175">
      <c r="A175" s="55"/>
      <c r="B175" s="106"/>
      <c r="C175" s="125"/>
      <c r="D175" s="106"/>
      <c r="E175" s="85"/>
      <c r="F175" s="119"/>
      <c r="G175" s="120"/>
      <c r="H175" s="121"/>
      <c r="J175" s="55"/>
      <c r="K175" s="106"/>
      <c r="L175" s="125"/>
      <c r="M175" s="106"/>
      <c r="N175" s="85"/>
      <c r="O175" s="119"/>
      <c r="P175" s="120"/>
      <c r="Q175" s="121"/>
    </row>
    <row r="181">
      <c r="C181" s="120"/>
      <c r="D181" s="120"/>
      <c r="E181" s="120"/>
      <c r="L181" s="120"/>
      <c r="M181" s="120"/>
      <c r="N181" s="120"/>
    </row>
    <row r="182">
      <c r="C182" s="122"/>
      <c r="D182" s="120"/>
      <c r="E182" s="126"/>
      <c r="L182" s="122"/>
      <c r="M182" s="120"/>
      <c r="N182" s="126"/>
    </row>
    <row r="183">
      <c r="C183" s="122"/>
      <c r="D183" s="126"/>
      <c r="E183" s="120"/>
      <c r="L183" s="122"/>
      <c r="M183" s="126"/>
      <c r="N183" s="120"/>
    </row>
    <row r="184">
      <c r="C184" s="120"/>
      <c r="D184" s="126"/>
      <c r="E184" s="126"/>
      <c r="L184" s="120"/>
      <c r="M184" s="126"/>
      <c r="N184" s="126"/>
    </row>
    <row r="185">
      <c r="C185" s="120"/>
      <c r="D185" s="126"/>
      <c r="E185" s="126"/>
      <c r="L185" s="120"/>
      <c r="M185" s="126"/>
      <c r="N185" s="126"/>
    </row>
    <row r="186">
      <c r="C186" s="120"/>
      <c r="D186" s="126"/>
      <c r="E186" s="126"/>
      <c r="L186" s="120"/>
      <c r="M186" s="126"/>
      <c r="N186" s="126"/>
    </row>
    <row r="187">
      <c r="C187" s="120"/>
      <c r="D187" s="120"/>
      <c r="E187" s="120"/>
      <c r="L187" s="120"/>
      <c r="M187" s="120"/>
      <c r="N187" s="120"/>
    </row>
    <row r="192">
      <c r="B192" s="119"/>
      <c r="C192" s="55"/>
      <c r="D192" s="119"/>
      <c r="E192" s="55"/>
      <c r="F192" s="119"/>
      <c r="G192" s="68"/>
      <c r="H192" s="55"/>
      <c r="K192" s="119"/>
      <c r="L192" s="55"/>
      <c r="M192" s="119"/>
      <c r="N192" s="55"/>
      <c r="O192" s="119"/>
      <c r="P192" s="68"/>
      <c r="Q192" s="55"/>
    </row>
    <row r="193">
      <c r="B193" s="106"/>
      <c r="C193" s="106"/>
      <c r="D193" s="106"/>
      <c r="E193" s="85"/>
      <c r="F193" s="119"/>
      <c r="G193" s="120"/>
      <c r="H193" s="121"/>
      <c r="K193" s="106"/>
      <c r="L193" s="106"/>
      <c r="M193" s="106"/>
      <c r="N193" s="85"/>
      <c r="O193" s="119"/>
      <c r="P193" s="120"/>
      <c r="Q193" s="121"/>
    </row>
    <row r="194">
      <c r="B194" s="106"/>
      <c r="C194" s="96"/>
      <c r="D194" s="106"/>
      <c r="E194" s="85"/>
      <c r="F194" s="119"/>
      <c r="G194" s="122"/>
      <c r="H194" s="121"/>
      <c r="K194" s="106"/>
      <c r="L194" s="96"/>
      <c r="M194" s="106"/>
      <c r="N194" s="85"/>
      <c r="O194" s="119"/>
      <c r="P194" s="122"/>
      <c r="Q194" s="121"/>
    </row>
    <row r="195">
      <c r="B195" s="106"/>
      <c r="C195" s="106"/>
      <c r="D195" s="106"/>
      <c r="E195" s="85"/>
      <c r="F195" s="119"/>
      <c r="G195" s="122"/>
      <c r="H195" s="121"/>
      <c r="K195" s="106"/>
      <c r="L195" s="106"/>
      <c r="M195" s="106"/>
      <c r="N195" s="85"/>
      <c r="O195" s="119"/>
      <c r="P195" s="122"/>
      <c r="Q195" s="121"/>
    </row>
    <row r="196">
      <c r="B196" s="106"/>
      <c r="C196" s="106"/>
      <c r="D196" s="106"/>
      <c r="E196" s="85"/>
      <c r="F196" s="119"/>
      <c r="G196" s="120"/>
      <c r="H196" s="121"/>
      <c r="K196" s="106"/>
      <c r="L196" s="106"/>
      <c r="M196" s="106"/>
      <c r="N196" s="85"/>
      <c r="O196" s="119"/>
      <c r="P196" s="120"/>
      <c r="Q196" s="121"/>
    </row>
    <row r="197">
      <c r="B197" s="106"/>
      <c r="C197" s="106"/>
      <c r="D197" s="106"/>
      <c r="E197" s="85"/>
      <c r="F197" s="119"/>
      <c r="G197" s="123"/>
      <c r="H197" s="121"/>
      <c r="K197" s="106"/>
      <c r="L197" s="106"/>
      <c r="M197" s="106"/>
      <c r="N197" s="85"/>
      <c r="O197" s="119"/>
      <c r="P197" s="123"/>
      <c r="Q197" s="121"/>
    </row>
    <row r="198">
      <c r="B198" s="106"/>
      <c r="C198" s="106"/>
      <c r="D198" s="106"/>
      <c r="E198" s="85"/>
      <c r="F198" s="119"/>
      <c r="G198" s="120"/>
      <c r="H198" s="121"/>
      <c r="K198" s="106"/>
      <c r="L198" s="106"/>
      <c r="M198" s="106"/>
      <c r="N198" s="85"/>
      <c r="O198" s="119"/>
      <c r="P198" s="120"/>
      <c r="Q198" s="121"/>
    </row>
    <row r="199">
      <c r="A199" s="55"/>
      <c r="B199" s="106"/>
      <c r="C199" s="125"/>
      <c r="D199" s="106"/>
      <c r="E199" s="85"/>
      <c r="F199" s="119"/>
      <c r="G199" s="120"/>
      <c r="H199" s="121"/>
      <c r="J199" s="55"/>
      <c r="K199" s="106"/>
      <c r="L199" s="125"/>
      <c r="M199" s="106"/>
      <c r="N199" s="85"/>
      <c r="O199" s="119"/>
      <c r="P199" s="120"/>
      <c r="Q199" s="121"/>
    </row>
    <row r="205">
      <c r="C205" s="120"/>
      <c r="D205" s="120"/>
      <c r="E205" s="120"/>
      <c r="L205" s="120"/>
      <c r="M205" s="120"/>
      <c r="N205" s="120"/>
    </row>
    <row r="206">
      <c r="C206" s="122"/>
      <c r="D206" s="120"/>
      <c r="E206" s="126"/>
      <c r="L206" s="122"/>
      <c r="M206" s="120"/>
      <c r="N206" s="126"/>
    </row>
    <row r="207">
      <c r="C207" s="122"/>
      <c r="D207" s="126"/>
      <c r="E207" s="120"/>
      <c r="L207" s="122"/>
      <c r="M207" s="126"/>
      <c r="N207" s="120"/>
    </row>
    <row r="208">
      <c r="C208" s="120"/>
      <c r="D208" s="126"/>
      <c r="E208" s="126"/>
      <c r="L208" s="120"/>
      <c r="M208" s="126"/>
      <c r="N208" s="126"/>
    </row>
    <row r="209">
      <c r="C209" s="120"/>
      <c r="D209" s="126"/>
      <c r="E209" s="126"/>
      <c r="L209" s="120"/>
      <c r="M209" s="126"/>
      <c r="N209" s="126"/>
    </row>
    <row r="210">
      <c r="C210" s="120"/>
      <c r="D210" s="126"/>
      <c r="E210" s="126"/>
      <c r="L210" s="120"/>
      <c r="M210" s="126"/>
      <c r="N210" s="126"/>
    </row>
    <row r="211">
      <c r="C211" s="120"/>
      <c r="D211" s="120"/>
      <c r="E211" s="120"/>
      <c r="L211" s="120"/>
      <c r="M211" s="120"/>
      <c r="N211" s="120"/>
    </row>
    <row r="216">
      <c r="B216" s="119"/>
      <c r="C216" s="55"/>
      <c r="D216" s="119"/>
      <c r="E216" s="55"/>
      <c r="F216" s="119"/>
      <c r="G216" s="68"/>
      <c r="H216" s="55"/>
      <c r="K216" s="119"/>
      <c r="L216" s="55"/>
      <c r="M216" s="119"/>
      <c r="N216" s="55"/>
      <c r="O216" s="119"/>
      <c r="P216" s="68"/>
      <c r="Q216" s="55"/>
    </row>
    <row r="217">
      <c r="B217" s="106"/>
      <c r="C217" s="106"/>
      <c r="D217" s="106"/>
      <c r="E217" s="85"/>
      <c r="F217" s="119"/>
      <c r="G217" s="120"/>
      <c r="H217" s="121"/>
      <c r="K217" s="106"/>
      <c r="L217" s="106"/>
      <c r="M217" s="106"/>
      <c r="N217" s="85"/>
      <c r="O217" s="119"/>
      <c r="P217" s="120"/>
      <c r="Q217" s="121"/>
    </row>
    <row r="218">
      <c r="B218" s="106"/>
      <c r="C218" s="96"/>
      <c r="D218" s="106"/>
      <c r="E218" s="85"/>
      <c r="F218" s="119"/>
      <c r="G218" s="122"/>
      <c r="H218" s="121"/>
      <c r="K218" s="106"/>
      <c r="L218" s="96"/>
      <c r="M218" s="106"/>
      <c r="N218" s="85"/>
      <c r="O218" s="119"/>
      <c r="P218" s="122"/>
      <c r="Q218" s="121"/>
    </row>
    <row r="219">
      <c r="B219" s="106"/>
      <c r="C219" s="106"/>
      <c r="D219" s="106"/>
      <c r="E219" s="85"/>
      <c r="F219" s="119"/>
      <c r="G219" s="122"/>
      <c r="H219" s="121"/>
      <c r="K219" s="106"/>
      <c r="L219" s="106"/>
      <c r="M219" s="106"/>
      <c r="N219" s="85"/>
      <c r="O219" s="119"/>
      <c r="P219" s="122"/>
      <c r="Q219" s="121"/>
    </row>
    <row r="220">
      <c r="B220" s="106"/>
      <c r="C220" s="106"/>
      <c r="D220" s="106"/>
      <c r="E220" s="85"/>
      <c r="F220" s="119"/>
      <c r="G220" s="120"/>
      <c r="H220" s="121"/>
      <c r="K220" s="106"/>
      <c r="L220" s="106"/>
      <c r="M220" s="106"/>
      <c r="N220" s="85"/>
      <c r="O220" s="119"/>
      <c r="P220" s="120"/>
      <c r="Q220" s="121"/>
    </row>
    <row r="221">
      <c r="B221" s="106"/>
      <c r="C221" s="106"/>
      <c r="D221" s="106"/>
      <c r="E221" s="85"/>
      <c r="F221" s="119"/>
      <c r="G221" s="123"/>
      <c r="H221" s="121"/>
      <c r="K221" s="106"/>
      <c r="L221" s="106"/>
      <c r="M221" s="106"/>
      <c r="N221" s="85"/>
      <c r="O221" s="119"/>
      <c r="P221" s="123"/>
      <c r="Q221" s="121"/>
    </row>
    <row r="222">
      <c r="B222" s="106"/>
      <c r="C222" s="106"/>
      <c r="D222" s="106"/>
      <c r="E222" s="85"/>
      <c r="F222" s="119"/>
      <c r="G222" s="120"/>
      <c r="H222" s="121"/>
      <c r="K222" s="106"/>
      <c r="L222" s="106"/>
      <c r="M222" s="106"/>
      <c r="N222" s="85"/>
      <c r="O222" s="119"/>
      <c r="P222" s="120"/>
      <c r="Q222" s="121"/>
    </row>
    <row r="223">
      <c r="A223" s="55"/>
      <c r="B223" s="106"/>
      <c r="C223" s="125"/>
      <c r="D223" s="106"/>
      <c r="E223" s="85"/>
      <c r="F223" s="119"/>
      <c r="G223" s="120"/>
      <c r="H223" s="121"/>
      <c r="J223" s="55"/>
      <c r="K223" s="106"/>
      <c r="L223" s="125"/>
      <c r="M223" s="106"/>
      <c r="N223" s="85"/>
      <c r="O223" s="119"/>
      <c r="P223" s="120"/>
      <c r="Q223" s="121"/>
    </row>
    <row r="229">
      <c r="C229" s="120"/>
      <c r="D229" s="120"/>
      <c r="E229" s="120"/>
      <c r="L229" s="120"/>
      <c r="M229" s="120"/>
      <c r="N229" s="120"/>
    </row>
    <row r="230">
      <c r="C230" s="122"/>
      <c r="D230" s="120"/>
      <c r="E230" s="126"/>
      <c r="L230" s="122"/>
      <c r="M230" s="120"/>
      <c r="N230" s="126"/>
    </row>
    <row r="231">
      <c r="C231" s="122"/>
      <c r="D231" s="126"/>
      <c r="E231" s="120"/>
      <c r="L231" s="122"/>
      <c r="M231" s="126"/>
      <c r="N231" s="120"/>
    </row>
    <row r="232">
      <c r="C232" s="120"/>
      <c r="D232" s="126"/>
      <c r="E232" s="126"/>
      <c r="L232" s="120"/>
      <c r="M232" s="126"/>
      <c r="N232" s="126"/>
    </row>
    <row r="233">
      <c r="C233" s="120"/>
      <c r="D233" s="126"/>
      <c r="E233" s="126"/>
      <c r="L233" s="120"/>
      <c r="M233" s="126"/>
      <c r="N233" s="126"/>
    </row>
    <row r="234">
      <c r="C234" s="120"/>
      <c r="D234" s="126"/>
      <c r="E234" s="126"/>
      <c r="L234" s="120"/>
      <c r="M234" s="126"/>
      <c r="N234" s="126"/>
    </row>
    <row r="235">
      <c r="C235" s="120"/>
      <c r="D235" s="120"/>
      <c r="E235" s="120"/>
      <c r="L235" s="120"/>
      <c r="M235" s="120"/>
      <c r="N235" s="120"/>
    </row>
    <row r="240">
      <c r="B240" s="119"/>
      <c r="C240" s="55"/>
      <c r="D240" s="119"/>
      <c r="E240" s="55"/>
      <c r="F240" s="119"/>
      <c r="G240" s="68"/>
      <c r="H240" s="55"/>
      <c r="K240" s="119"/>
      <c r="L240" s="55"/>
      <c r="M240" s="119"/>
      <c r="N240" s="55"/>
      <c r="O240" s="119"/>
      <c r="P240" s="68"/>
      <c r="Q240" s="55"/>
    </row>
    <row r="241">
      <c r="B241" s="106"/>
      <c r="C241" s="106"/>
      <c r="D241" s="106"/>
      <c r="E241" s="85"/>
      <c r="F241" s="119"/>
      <c r="G241" s="120"/>
      <c r="H241" s="121"/>
      <c r="K241" s="106"/>
      <c r="L241" s="106"/>
      <c r="M241" s="106"/>
      <c r="N241" s="85"/>
      <c r="O241" s="119"/>
      <c r="P241" s="120"/>
      <c r="Q241" s="121"/>
    </row>
    <row r="242">
      <c r="B242" s="106"/>
      <c r="C242" s="96"/>
      <c r="D242" s="106"/>
      <c r="E242" s="85"/>
      <c r="F242" s="119"/>
      <c r="G242" s="122"/>
      <c r="H242" s="121"/>
      <c r="K242" s="106"/>
      <c r="L242" s="96"/>
      <c r="M242" s="106"/>
      <c r="N242" s="85"/>
      <c r="O242" s="119"/>
      <c r="P242" s="122"/>
      <c r="Q242" s="121"/>
    </row>
    <row r="243">
      <c r="B243" s="106"/>
      <c r="C243" s="106"/>
      <c r="D243" s="106"/>
      <c r="E243" s="85"/>
      <c r="F243" s="119"/>
      <c r="G243" s="122"/>
      <c r="H243" s="121"/>
      <c r="K243" s="106"/>
      <c r="L243" s="106"/>
      <c r="M243" s="106"/>
      <c r="N243" s="85"/>
      <c r="O243" s="119"/>
      <c r="P243" s="122"/>
      <c r="Q243" s="121"/>
    </row>
    <row r="244">
      <c r="B244" s="106"/>
      <c r="C244" s="106"/>
      <c r="D244" s="106"/>
      <c r="E244" s="85"/>
      <c r="F244" s="119"/>
      <c r="G244" s="120"/>
      <c r="H244" s="121"/>
      <c r="K244" s="106"/>
      <c r="L244" s="106"/>
      <c r="M244" s="106"/>
      <c r="N244" s="85"/>
      <c r="O244" s="119"/>
      <c r="P244" s="120"/>
      <c r="Q244" s="121"/>
    </row>
    <row r="245">
      <c r="B245" s="106"/>
      <c r="C245" s="106"/>
      <c r="D245" s="106"/>
      <c r="E245" s="85"/>
      <c r="F245" s="119"/>
      <c r="G245" s="123"/>
      <c r="H245" s="121"/>
      <c r="K245" s="106"/>
      <c r="L245" s="106"/>
      <c r="M245" s="106"/>
      <c r="N245" s="85"/>
      <c r="O245" s="119"/>
      <c r="P245" s="123"/>
      <c r="Q245" s="121"/>
    </row>
    <row r="246">
      <c r="B246" s="106"/>
      <c r="C246" s="106"/>
      <c r="D246" s="106"/>
      <c r="E246" s="85"/>
      <c r="F246" s="119"/>
      <c r="G246" s="120"/>
      <c r="H246" s="121"/>
      <c r="K246" s="106"/>
      <c r="L246" s="106"/>
      <c r="M246" s="106"/>
      <c r="N246" s="85"/>
      <c r="O246" s="119"/>
      <c r="P246" s="120"/>
      <c r="Q246" s="121"/>
    </row>
    <row r="247">
      <c r="A247" s="55"/>
      <c r="B247" s="106"/>
      <c r="C247" s="125"/>
      <c r="D247" s="106"/>
      <c r="E247" s="85"/>
      <c r="F247" s="119"/>
      <c r="G247" s="120"/>
      <c r="H247" s="121"/>
      <c r="J247" s="55"/>
      <c r="K247" s="106"/>
      <c r="L247" s="125"/>
      <c r="M247" s="106"/>
      <c r="N247" s="85"/>
      <c r="O247" s="119"/>
      <c r="P247" s="120"/>
      <c r="Q247" s="121"/>
    </row>
    <row r="253">
      <c r="C253" s="120"/>
      <c r="D253" s="120"/>
      <c r="E253" s="120"/>
      <c r="L253" s="120"/>
      <c r="M253" s="120"/>
      <c r="N253" s="120"/>
    </row>
    <row r="254">
      <c r="C254" s="122"/>
      <c r="D254" s="120"/>
      <c r="E254" s="126"/>
      <c r="L254" s="122"/>
      <c r="M254" s="120"/>
      <c r="N254" s="126"/>
    </row>
    <row r="255">
      <c r="C255" s="122"/>
      <c r="D255" s="126"/>
      <c r="E255" s="120"/>
      <c r="L255" s="122"/>
      <c r="M255" s="126"/>
      <c r="N255" s="120"/>
    </row>
    <row r="256">
      <c r="C256" s="120"/>
      <c r="D256" s="126"/>
      <c r="E256" s="126"/>
      <c r="L256" s="120"/>
      <c r="M256" s="126"/>
      <c r="N256" s="126"/>
    </row>
    <row r="257">
      <c r="C257" s="120"/>
      <c r="D257" s="126"/>
      <c r="E257" s="126"/>
      <c r="L257" s="120"/>
      <c r="M257" s="126"/>
      <c r="N257" s="126"/>
    </row>
    <row r="258">
      <c r="C258" s="120"/>
      <c r="D258" s="126"/>
      <c r="E258" s="126"/>
      <c r="L258" s="120"/>
      <c r="M258" s="126"/>
      <c r="N258" s="126"/>
    </row>
    <row r="259">
      <c r="C259" s="120"/>
      <c r="D259" s="120"/>
      <c r="E259" s="120"/>
      <c r="L259" s="120"/>
      <c r="M259" s="120"/>
      <c r="N259" s="120"/>
    </row>
    <row r="264">
      <c r="B264" s="119"/>
      <c r="C264" s="55"/>
      <c r="D264" s="119"/>
      <c r="E264" s="55"/>
      <c r="F264" s="119"/>
      <c r="G264" s="68"/>
      <c r="H264" s="55"/>
      <c r="K264" s="119"/>
      <c r="L264" s="55"/>
      <c r="M264" s="119"/>
      <c r="N264" s="55"/>
      <c r="O264" s="119"/>
      <c r="P264" s="68"/>
      <c r="Q264" s="55"/>
    </row>
    <row r="265">
      <c r="B265" s="106"/>
      <c r="C265" s="106"/>
      <c r="D265" s="106"/>
      <c r="E265" s="85"/>
      <c r="F265" s="119"/>
      <c r="G265" s="120"/>
      <c r="H265" s="121"/>
      <c r="K265" s="106"/>
      <c r="L265" s="106"/>
      <c r="M265" s="106"/>
      <c r="N265" s="85"/>
      <c r="O265" s="119"/>
      <c r="P265" s="120"/>
      <c r="Q265" s="121"/>
    </row>
    <row r="266">
      <c r="B266" s="106"/>
      <c r="C266" s="96"/>
      <c r="D266" s="106"/>
      <c r="E266" s="85"/>
      <c r="F266" s="119"/>
      <c r="G266" s="122"/>
      <c r="H266" s="121"/>
      <c r="K266" s="106"/>
      <c r="L266" s="96"/>
      <c r="M266" s="106"/>
      <c r="N266" s="85"/>
      <c r="O266" s="119"/>
      <c r="P266" s="122"/>
      <c r="Q266" s="121"/>
    </row>
    <row r="267">
      <c r="B267" s="106"/>
      <c r="C267" s="106"/>
      <c r="D267" s="106"/>
      <c r="E267" s="85"/>
      <c r="F267" s="119"/>
      <c r="G267" s="122"/>
      <c r="H267" s="121"/>
      <c r="K267" s="106"/>
      <c r="L267" s="106"/>
      <c r="M267" s="106"/>
      <c r="N267" s="85"/>
      <c r="O267" s="119"/>
      <c r="P267" s="122"/>
      <c r="Q267" s="121"/>
    </row>
    <row r="268">
      <c r="B268" s="106"/>
      <c r="C268" s="106"/>
      <c r="D268" s="106"/>
      <c r="E268" s="85"/>
      <c r="F268" s="119"/>
      <c r="G268" s="120"/>
      <c r="H268" s="121"/>
      <c r="K268" s="106"/>
      <c r="L268" s="106"/>
      <c r="M268" s="106"/>
      <c r="N268" s="85"/>
      <c r="O268" s="119"/>
      <c r="P268" s="120"/>
      <c r="Q268" s="121"/>
    </row>
    <row r="269">
      <c r="B269" s="106"/>
      <c r="C269" s="106"/>
      <c r="D269" s="106"/>
      <c r="E269" s="85"/>
      <c r="F269" s="119"/>
      <c r="G269" s="123"/>
      <c r="H269" s="121"/>
      <c r="K269" s="106"/>
      <c r="L269" s="106"/>
      <c r="M269" s="106"/>
      <c r="N269" s="85"/>
      <c r="O269" s="119"/>
      <c r="P269" s="123"/>
      <c r="Q269" s="121"/>
    </row>
    <row r="270">
      <c r="B270" s="106"/>
      <c r="C270" s="106"/>
      <c r="D270" s="106"/>
      <c r="E270" s="85"/>
      <c r="F270" s="119"/>
      <c r="G270" s="120"/>
      <c r="H270" s="121"/>
      <c r="K270" s="106"/>
      <c r="L270" s="106"/>
      <c r="M270" s="106"/>
      <c r="N270" s="85"/>
      <c r="O270" s="119"/>
      <c r="P270" s="120"/>
      <c r="Q270" s="121"/>
    </row>
    <row r="271">
      <c r="A271" s="55"/>
      <c r="B271" s="106"/>
      <c r="C271" s="125"/>
      <c r="D271" s="106"/>
      <c r="E271" s="85"/>
      <c r="F271" s="119"/>
      <c r="G271" s="120"/>
      <c r="H271" s="121"/>
      <c r="J271" s="55"/>
      <c r="K271" s="106"/>
      <c r="L271" s="125"/>
      <c r="M271" s="106"/>
      <c r="N271" s="85"/>
      <c r="O271" s="119"/>
      <c r="P271" s="120"/>
      <c r="Q271" s="121"/>
    </row>
    <row r="277">
      <c r="C277" s="120"/>
      <c r="D277" s="120"/>
      <c r="E277" s="120"/>
      <c r="L277" s="120"/>
      <c r="M277" s="120"/>
      <c r="N277" s="120"/>
    </row>
    <row r="278">
      <c r="C278" s="122"/>
      <c r="D278" s="120"/>
      <c r="E278" s="126"/>
      <c r="L278" s="122"/>
      <c r="M278" s="120"/>
      <c r="N278" s="126"/>
    </row>
    <row r="279">
      <c r="C279" s="122"/>
      <c r="D279" s="126"/>
      <c r="E279" s="120"/>
      <c r="L279" s="122"/>
      <c r="M279" s="126"/>
      <c r="N279" s="120"/>
    </row>
    <row r="280">
      <c r="C280" s="120"/>
      <c r="D280" s="126"/>
      <c r="E280" s="126"/>
      <c r="L280" s="120"/>
      <c r="M280" s="126"/>
      <c r="N280" s="126"/>
    </row>
    <row r="281">
      <c r="C281" s="120"/>
      <c r="D281" s="126"/>
      <c r="E281" s="126"/>
      <c r="L281" s="120"/>
      <c r="M281" s="126"/>
      <c r="N281" s="126"/>
    </row>
    <row r="282">
      <c r="C282" s="120"/>
      <c r="D282" s="126"/>
      <c r="E282" s="126"/>
      <c r="L282" s="120"/>
      <c r="M282" s="126"/>
      <c r="N282" s="126"/>
    </row>
    <row r="283">
      <c r="C283" s="120"/>
      <c r="D283" s="120"/>
      <c r="E283" s="120"/>
      <c r="L283" s="120"/>
      <c r="M283" s="120"/>
      <c r="N283" s="120"/>
    </row>
    <row r="288">
      <c r="B288" s="119"/>
      <c r="C288" s="55"/>
      <c r="D288" s="119"/>
      <c r="E288" s="55"/>
      <c r="F288" s="119"/>
      <c r="G288" s="68"/>
      <c r="H288" s="55"/>
      <c r="K288" s="119"/>
      <c r="L288" s="55"/>
      <c r="M288" s="119"/>
      <c r="N288" s="55"/>
      <c r="O288" s="119"/>
      <c r="P288" s="68"/>
      <c r="Q288" s="55"/>
    </row>
    <row r="289">
      <c r="B289" s="106"/>
      <c r="C289" s="106"/>
      <c r="D289" s="106"/>
      <c r="E289" s="85"/>
      <c r="F289" s="119"/>
      <c r="G289" s="120"/>
      <c r="H289" s="121"/>
      <c r="K289" s="106"/>
      <c r="L289" s="106"/>
      <c r="M289" s="106"/>
      <c r="N289" s="85"/>
      <c r="O289" s="119"/>
      <c r="P289" s="120"/>
      <c r="Q289" s="121"/>
    </row>
    <row r="290">
      <c r="B290" s="106"/>
      <c r="C290" s="96"/>
      <c r="D290" s="106"/>
      <c r="E290" s="85"/>
      <c r="F290" s="119"/>
      <c r="G290" s="122"/>
      <c r="H290" s="121"/>
      <c r="K290" s="106"/>
      <c r="L290" s="96"/>
      <c r="M290" s="106"/>
      <c r="N290" s="85"/>
      <c r="O290" s="119"/>
      <c r="P290" s="122"/>
      <c r="Q290" s="121"/>
    </row>
    <row r="291">
      <c r="B291" s="106"/>
      <c r="C291" s="106"/>
      <c r="D291" s="106"/>
      <c r="E291" s="85"/>
      <c r="F291" s="119"/>
      <c r="G291" s="122"/>
      <c r="H291" s="121"/>
      <c r="K291" s="106"/>
      <c r="L291" s="106"/>
      <c r="M291" s="106"/>
      <c r="N291" s="85"/>
      <c r="O291" s="119"/>
      <c r="P291" s="122"/>
      <c r="Q291" s="121"/>
    </row>
    <row r="292">
      <c r="B292" s="106"/>
      <c r="C292" s="106"/>
      <c r="D292" s="106"/>
      <c r="E292" s="85"/>
      <c r="F292" s="119"/>
      <c r="G292" s="120"/>
      <c r="H292" s="121"/>
      <c r="K292" s="106"/>
      <c r="L292" s="106"/>
      <c r="M292" s="106"/>
      <c r="N292" s="85"/>
      <c r="O292" s="119"/>
      <c r="P292" s="120"/>
      <c r="Q292" s="121"/>
    </row>
    <row r="293">
      <c r="B293" s="106"/>
      <c r="C293" s="106"/>
      <c r="D293" s="106"/>
      <c r="E293" s="85"/>
      <c r="F293" s="119"/>
      <c r="G293" s="123"/>
      <c r="H293" s="121"/>
      <c r="K293" s="106"/>
      <c r="L293" s="106"/>
      <c r="M293" s="106"/>
      <c r="N293" s="85"/>
      <c r="O293" s="119"/>
      <c r="P293" s="123"/>
      <c r="Q293" s="121"/>
    </row>
    <row r="294">
      <c r="B294" s="106"/>
      <c r="C294" s="106"/>
      <c r="D294" s="106"/>
      <c r="E294" s="85"/>
      <c r="F294" s="119"/>
      <c r="G294" s="120"/>
      <c r="H294" s="121"/>
      <c r="K294" s="106"/>
      <c r="L294" s="106"/>
      <c r="M294" s="106"/>
      <c r="N294" s="85"/>
      <c r="O294" s="119"/>
      <c r="P294" s="120"/>
      <c r="Q294" s="121"/>
    </row>
    <row r="295">
      <c r="A295" s="55"/>
      <c r="B295" s="106"/>
      <c r="C295" s="125"/>
      <c r="D295" s="106"/>
      <c r="E295" s="85"/>
      <c r="F295" s="119"/>
      <c r="G295" s="120"/>
      <c r="H295" s="121"/>
      <c r="J295" s="55"/>
      <c r="K295" s="106"/>
      <c r="L295" s="125"/>
      <c r="M295" s="106"/>
      <c r="N295" s="85"/>
      <c r="O295" s="119"/>
      <c r="P295" s="120"/>
      <c r="Q295" s="121"/>
    </row>
    <row r="301">
      <c r="C301" s="120"/>
      <c r="D301" s="120"/>
      <c r="E301" s="120"/>
      <c r="L301" s="120"/>
      <c r="M301" s="120"/>
      <c r="N301" s="120"/>
    </row>
    <row r="302">
      <c r="C302" s="122"/>
      <c r="D302" s="120"/>
      <c r="E302" s="126"/>
      <c r="L302" s="122"/>
      <c r="M302" s="120"/>
      <c r="N302" s="126"/>
    </row>
    <row r="303">
      <c r="C303" s="122"/>
      <c r="D303" s="126"/>
      <c r="E303" s="120"/>
      <c r="L303" s="122"/>
      <c r="M303" s="126"/>
      <c r="N303" s="120"/>
    </row>
    <row r="304">
      <c r="C304" s="120"/>
      <c r="D304" s="126"/>
      <c r="E304" s="126"/>
      <c r="L304" s="120"/>
      <c r="M304" s="126"/>
      <c r="N304" s="126"/>
    </row>
    <row r="305">
      <c r="C305" s="120"/>
      <c r="D305" s="126"/>
      <c r="E305" s="126"/>
      <c r="L305" s="120"/>
      <c r="M305" s="126"/>
      <c r="N305" s="126"/>
    </row>
    <row r="306">
      <c r="C306" s="120"/>
      <c r="D306" s="126"/>
      <c r="E306" s="126"/>
      <c r="L306" s="120"/>
      <c r="M306" s="126"/>
      <c r="N306" s="126"/>
    </row>
    <row r="307">
      <c r="C307" s="120"/>
      <c r="D307" s="120"/>
      <c r="E307" s="120"/>
      <c r="L307" s="120"/>
      <c r="M307" s="120"/>
      <c r="N307" s="120"/>
    </row>
    <row r="312">
      <c r="B312" s="119"/>
      <c r="C312" s="55"/>
      <c r="D312" s="119"/>
      <c r="E312" s="55"/>
      <c r="F312" s="119"/>
      <c r="G312" s="68"/>
      <c r="H312" s="55"/>
      <c r="K312" s="119"/>
      <c r="L312" s="55"/>
      <c r="M312" s="119"/>
      <c r="N312" s="55"/>
      <c r="O312" s="119"/>
      <c r="P312" s="68"/>
      <c r="Q312" s="55"/>
    </row>
    <row r="313">
      <c r="B313" s="106"/>
      <c r="C313" s="106"/>
      <c r="D313" s="106"/>
      <c r="E313" s="85"/>
      <c r="F313" s="119"/>
      <c r="G313" s="120"/>
      <c r="H313" s="121"/>
      <c r="K313" s="106"/>
      <c r="L313" s="106"/>
      <c r="M313" s="106"/>
      <c r="N313" s="85"/>
      <c r="O313" s="119"/>
      <c r="P313" s="120"/>
      <c r="Q313" s="121"/>
    </row>
    <row r="314">
      <c r="B314" s="106"/>
      <c r="C314" s="96"/>
      <c r="D314" s="106"/>
      <c r="E314" s="85"/>
      <c r="F314" s="119"/>
      <c r="G314" s="122"/>
      <c r="H314" s="121"/>
      <c r="K314" s="106"/>
      <c r="L314" s="96"/>
      <c r="M314" s="106"/>
      <c r="N314" s="85"/>
      <c r="O314" s="119"/>
      <c r="P314" s="122"/>
      <c r="Q314" s="121"/>
    </row>
    <row r="315">
      <c r="B315" s="106"/>
      <c r="C315" s="106"/>
      <c r="D315" s="106"/>
      <c r="E315" s="85"/>
      <c r="F315" s="119"/>
      <c r="G315" s="122"/>
      <c r="H315" s="121"/>
      <c r="K315" s="106"/>
      <c r="L315" s="106"/>
      <c r="M315" s="106"/>
      <c r="N315" s="85"/>
      <c r="O315" s="119"/>
      <c r="P315" s="122"/>
      <c r="Q315" s="121"/>
    </row>
    <row r="316">
      <c r="B316" s="106"/>
      <c r="C316" s="106"/>
      <c r="D316" s="106"/>
      <c r="E316" s="85"/>
      <c r="F316" s="119"/>
      <c r="G316" s="120"/>
      <c r="H316" s="121"/>
      <c r="K316" s="106"/>
      <c r="L316" s="106"/>
      <c r="M316" s="106"/>
      <c r="N316" s="85"/>
      <c r="O316" s="119"/>
      <c r="P316" s="120"/>
      <c r="Q316" s="121"/>
    </row>
    <row r="317">
      <c r="B317" s="106"/>
      <c r="C317" s="106"/>
      <c r="D317" s="106"/>
      <c r="E317" s="85"/>
      <c r="F317" s="119"/>
      <c r="G317" s="123"/>
      <c r="H317" s="121"/>
      <c r="K317" s="106"/>
      <c r="L317" s="106"/>
      <c r="M317" s="106"/>
      <c r="N317" s="85"/>
      <c r="O317" s="119"/>
      <c r="P317" s="123"/>
      <c r="Q317" s="121"/>
    </row>
    <row r="318">
      <c r="B318" s="106"/>
      <c r="C318" s="106"/>
      <c r="D318" s="106"/>
      <c r="E318" s="85"/>
      <c r="F318" s="119"/>
      <c r="G318" s="120"/>
      <c r="H318" s="121"/>
      <c r="K318" s="106"/>
      <c r="L318" s="106"/>
      <c r="M318" s="106"/>
      <c r="N318" s="85"/>
      <c r="O318" s="119"/>
      <c r="P318" s="120"/>
      <c r="Q318" s="121"/>
    </row>
    <row r="319">
      <c r="A319" s="55"/>
      <c r="B319" s="106"/>
      <c r="C319" s="125"/>
      <c r="D319" s="106"/>
      <c r="E319" s="85"/>
      <c r="F319" s="119"/>
      <c r="G319" s="120"/>
      <c r="H319" s="121"/>
      <c r="J319" s="55"/>
      <c r="K319" s="106"/>
      <c r="L319" s="125"/>
      <c r="M319" s="106"/>
      <c r="N319" s="85"/>
      <c r="O319" s="119"/>
      <c r="P319" s="120"/>
      <c r="Q319" s="121"/>
    </row>
    <row r="325">
      <c r="C325" s="120"/>
      <c r="D325" s="120"/>
      <c r="E325" s="120"/>
      <c r="L325" s="120"/>
      <c r="M325" s="120"/>
      <c r="N325" s="120"/>
    </row>
    <row r="326">
      <c r="C326" s="122"/>
      <c r="D326" s="120"/>
      <c r="E326" s="126"/>
      <c r="L326" s="122"/>
      <c r="M326" s="120"/>
      <c r="N326" s="126"/>
    </row>
    <row r="327">
      <c r="C327" s="122"/>
      <c r="D327" s="126"/>
      <c r="E327" s="120"/>
      <c r="L327" s="122"/>
      <c r="M327" s="126"/>
      <c r="N327" s="120"/>
    </row>
    <row r="328">
      <c r="C328" s="120"/>
      <c r="D328" s="126"/>
      <c r="E328" s="126"/>
      <c r="L328" s="120"/>
      <c r="M328" s="126"/>
      <c r="N328" s="126"/>
    </row>
    <row r="329">
      <c r="C329" s="120"/>
      <c r="D329" s="126"/>
      <c r="E329" s="126"/>
      <c r="L329" s="120"/>
      <c r="M329" s="126"/>
      <c r="N329" s="126"/>
    </row>
    <row r="330">
      <c r="C330" s="120"/>
      <c r="D330" s="126"/>
      <c r="E330" s="126"/>
      <c r="L330" s="120"/>
      <c r="M330" s="126"/>
      <c r="N330" s="126"/>
    </row>
    <row r="331">
      <c r="C331" s="120"/>
      <c r="D331" s="120"/>
      <c r="E331" s="120"/>
      <c r="L331" s="120"/>
      <c r="M331" s="120"/>
      <c r="N331" s="120"/>
    </row>
    <row r="336">
      <c r="B336" s="119"/>
      <c r="C336" s="55"/>
      <c r="D336" s="119"/>
      <c r="E336" s="55"/>
      <c r="F336" s="119"/>
      <c r="G336" s="68"/>
      <c r="H336" s="55"/>
      <c r="K336" s="119"/>
      <c r="L336" s="55"/>
      <c r="M336" s="119"/>
      <c r="N336" s="55"/>
      <c r="O336" s="119"/>
      <c r="P336" s="68"/>
      <c r="Q336" s="55"/>
    </row>
    <row r="337">
      <c r="B337" s="106"/>
      <c r="C337" s="106"/>
      <c r="D337" s="106"/>
      <c r="E337" s="85"/>
      <c r="F337" s="119"/>
      <c r="G337" s="120"/>
      <c r="H337" s="121"/>
      <c r="K337" s="106"/>
      <c r="L337" s="106"/>
      <c r="M337" s="106"/>
      <c r="N337" s="85"/>
      <c r="O337" s="119"/>
      <c r="P337" s="120"/>
      <c r="Q337" s="121"/>
    </row>
    <row r="338">
      <c r="B338" s="106"/>
      <c r="C338" s="96"/>
      <c r="D338" s="106"/>
      <c r="E338" s="85"/>
      <c r="F338" s="119"/>
      <c r="G338" s="122"/>
      <c r="H338" s="121"/>
      <c r="K338" s="106"/>
      <c r="L338" s="96"/>
      <c r="M338" s="106"/>
      <c r="N338" s="85"/>
      <c r="O338" s="119"/>
      <c r="P338" s="122"/>
      <c r="Q338" s="121"/>
    </row>
    <row r="339">
      <c r="B339" s="106"/>
      <c r="C339" s="106"/>
      <c r="D339" s="106"/>
      <c r="E339" s="85"/>
      <c r="F339" s="119"/>
      <c r="G339" s="122"/>
      <c r="H339" s="121"/>
      <c r="K339" s="106"/>
      <c r="L339" s="106"/>
      <c r="M339" s="106"/>
      <c r="N339" s="85"/>
      <c r="O339" s="119"/>
      <c r="P339" s="122"/>
      <c r="Q339" s="121"/>
    </row>
    <row r="340">
      <c r="B340" s="106"/>
      <c r="C340" s="106"/>
      <c r="D340" s="106"/>
      <c r="E340" s="85"/>
      <c r="F340" s="119"/>
      <c r="G340" s="120"/>
      <c r="H340" s="121"/>
      <c r="K340" s="106"/>
      <c r="L340" s="106"/>
      <c r="M340" s="106"/>
      <c r="N340" s="85"/>
      <c r="O340" s="119"/>
      <c r="P340" s="120"/>
      <c r="Q340" s="121"/>
    </row>
    <row r="341">
      <c r="B341" s="106"/>
      <c r="C341" s="106"/>
      <c r="D341" s="106"/>
      <c r="E341" s="85"/>
      <c r="F341" s="119"/>
      <c r="G341" s="123"/>
      <c r="H341" s="121"/>
      <c r="K341" s="106"/>
      <c r="L341" s="106"/>
      <c r="M341" s="106"/>
      <c r="N341" s="85"/>
      <c r="O341" s="119"/>
      <c r="P341" s="123"/>
      <c r="Q341" s="121"/>
    </row>
    <row r="342">
      <c r="B342" s="106"/>
      <c r="C342" s="106"/>
      <c r="D342" s="106"/>
      <c r="E342" s="85"/>
      <c r="F342" s="119"/>
      <c r="G342" s="120"/>
      <c r="H342" s="121"/>
      <c r="K342" s="106"/>
      <c r="L342" s="106"/>
      <c r="M342" s="106"/>
      <c r="N342" s="85"/>
      <c r="O342" s="119"/>
      <c r="P342" s="120"/>
      <c r="Q342" s="121"/>
    </row>
    <row r="343">
      <c r="A343" s="55"/>
      <c r="B343" s="106"/>
      <c r="C343" s="125"/>
      <c r="D343" s="106"/>
      <c r="E343" s="85"/>
      <c r="F343" s="119"/>
      <c r="G343" s="120"/>
      <c r="H343" s="121"/>
      <c r="J343" s="55"/>
      <c r="K343" s="106"/>
      <c r="L343" s="125"/>
      <c r="M343" s="106"/>
      <c r="N343" s="85"/>
      <c r="O343" s="119"/>
      <c r="P343" s="120"/>
      <c r="Q343" s="121"/>
    </row>
    <row r="349">
      <c r="C349" s="120"/>
      <c r="D349" s="120"/>
      <c r="E349" s="120"/>
      <c r="L349" s="120"/>
      <c r="M349" s="120"/>
      <c r="N349" s="120"/>
    </row>
    <row r="350">
      <c r="C350" s="122"/>
      <c r="D350" s="120"/>
      <c r="E350" s="126"/>
      <c r="L350" s="122"/>
      <c r="M350" s="120"/>
      <c r="N350" s="126"/>
    </row>
    <row r="351">
      <c r="C351" s="122"/>
      <c r="D351" s="126"/>
      <c r="E351" s="120"/>
      <c r="L351" s="122"/>
      <c r="M351" s="126"/>
      <c r="N351" s="120"/>
    </row>
    <row r="352">
      <c r="C352" s="120"/>
      <c r="D352" s="126"/>
      <c r="E352" s="126"/>
      <c r="L352" s="120"/>
      <c r="M352" s="126"/>
      <c r="N352" s="126"/>
    </row>
    <row r="353">
      <c r="C353" s="120"/>
      <c r="D353" s="126"/>
      <c r="E353" s="126"/>
      <c r="L353" s="120"/>
      <c r="M353" s="126"/>
      <c r="N353" s="126"/>
    </row>
    <row r="354">
      <c r="C354" s="120"/>
      <c r="D354" s="126"/>
      <c r="E354" s="126"/>
      <c r="L354" s="120"/>
      <c r="M354" s="126"/>
      <c r="N354" s="126"/>
    </row>
    <row r="355">
      <c r="C355" s="120"/>
      <c r="D355" s="120"/>
      <c r="E355" s="120"/>
      <c r="L355" s="120"/>
      <c r="M355" s="120"/>
      <c r="N355" s="120"/>
    </row>
    <row r="360">
      <c r="B360" s="119"/>
      <c r="C360" s="55"/>
      <c r="D360" s="119"/>
      <c r="E360" s="55"/>
      <c r="F360" s="119"/>
      <c r="G360" s="68"/>
      <c r="H360" s="55"/>
      <c r="K360" s="119"/>
      <c r="L360" s="55"/>
      <c r="M360" s="119"/>
      <c r="N360" s="55"/>
      <c r="O360" s="119"/>
      <c r="P360" s="68"/>
      <c r="Q360" s="55"/>
    </row>
    <row r="361">
      <c r="B361" s="106"/>
      <c r="C361" s="106"/>
      <c r="D361" s="106"/>
      <c r="E361" s="85"/>
      <c r="F361" s="119"/>
      <c r="G361" s="120"/>
      <c r="H361" s="121"/>
      <c r="K361" s="106"/>
      <c r="L361" s="106"/>
      <c r="M361" s="106"/>
      <c r="N361" s="85"/>
      <c r="O361" s="119"/>
      <c r="P361" s="120"/>
      <c r="Q361" s="121"/>
    </row>
    <row r="362">
      <c r="B362" s="106"/>
      <c r="C362" s="96"/>
      <c r="D362" s="106"/>
      <c r="E362" s="85"/>
      <c r="F362" s="119"/>
      <c r="G362" s="122"/>
      <c r="H362" s="121"/>
      <c r="K362" s="106"/>
      <c r="L362" s="96"/>
      <c r="M362" s="106"/>
      <c r="N362" s="85"/>
      <c r="O362" s="119"/>
      <c r="P362" s="122"/>
      <c r="Q362" s="121"/>
    </row>
    <row r="363">
      <c r="B363" s="106"/>
      <c r="C363" s="106"/>
      <c r="D363" s="106"/>
      <c r="E363" s="85"/>
      <c r="F363" s="119"/>
      <c r="G363" s="122"/>
      <c r="H363" s="121"/>
      <c r="K363" s="106"/>
      <c r="L363" s="106"/>
      <c r="M363" s="106"/>
      <c r="N363" s="85"/>
      <c r="O363" s="119"/>
      <c r="P363" s="122"/>
      <c r="Q363" s="121"/>
    </row>
    <row r="364">
      <c r="B364" s="106"/>
      <c r="C364" s="106"/>
      <c r="D364" s="106"/>
      <c r="E364" s="85"/>
      <c r="F364" s="119"/>
      <c r="G364" s="120"/>
      <c r="H364" s="121"/>
      <c r="K364" s="106"/>
      <c r="L364" s="106"/>
      <c r="M364" s="106"/>
      <c r="N364" s="85"/>
      <c r="O364" s="119"/>
      <c r="P364" s="120"/>
      <c r="Q364" s="121"/>
    </row>
    <row r="365">
      <c r="B365" s="106"/>
      <c r="C365" s="106"/>
      <c r="D365" s="106"/>
      <c r="E365" s="85"/>
      <c r="F365" s="119"/>
      <c r="G365" s="123"/>
      <c r="H365" s="121"/>
      <c r="K365" s="106"/>
      <c r="L365" s="106"/>
      <c r="M365" s="106"/>
      <c r="N365" s="85"/>
      <c r="O365" s="119"/>
      <c r="P365" s="123"/>
      <c r="Q365" s="121"/>
    </row>
    <row r="366">
      <c r="B366" s="106"/>
      <c r="C366" s="106"/>
      <c r="D366" s="106"/>
      <c r="E366" s="85"/>
      <c r="F366" s="119"/>
      <c r="G366" s="120"/>
      <c r="H366" s="121"/>
      <c r="K366" s="106"/>
      <c r="L366" s="106"/>
      <c r="M366" s="106"/>
      <c r="N366" s="85"/>
      <c r="O366" s="119"/>
      <c r="P366" s="120"/>
      <c r="Q366" s="121"/>
    </row>
    <row r="367">
      <c r="A367" s="55"/>
      <c r="B367" s="106"/>
      <c r="C367" s="125"/>
      <c r="D367" s="106"/>
      <c r="E367" s="85"/>
      <c r="F367" s="119"/>
      <c r="G367" s="120"/>
      <c r="H367" s="121"/>
      <c r="J367" s="55"/>
      <c r="K367" s="106"/>
      <c r="L367" s="125"/>
      <c r="M367" s="106"/>
      <c r="N367" s="85"/>
      <c r="O367" s="119"/>
      <c r="P367" s="120"/>
      <c r="Q367" s="121"/>
    </row>
    <row r="373">
      <c r="C373" s="120"/>
      <c r="D373" s="120"/>
      <c r="E373" s="120"/>
      <c r="L373" s="120"/>
      <c r="M373" s="120"/>
      <c r="N373" s="120"/>
    </row>
    <row r="374">
      <c r="C374" s="122"/>
      <c r="D374" s="120"/>
      <c r="E374" s="126"/>
      <c r="L374" s="122"/>
      <c r="M374" s="120"/>
      <c r="N374" s="126"/>
    </row>
    <row r="375">
      <c r="C375" s="122"/>
      <c r="D375" s="126"/>
      <c r="E375" s="120"/>
      <c r="L375" s="122"/>
      <c r="M375" s="126"/>
      <c r="N375" s="120"/>
    </row>
    <row r="376">
      <c r="C376" s="120"/>
      <c r="D376" s="126"/>
      <c r="E376" s="126"/>
      <c r="L376" s="120"/>
      <c r="M376" s="126"/>
      <c r="N376" s="126"/>
    </row>
    <row r="377">
      <c r="C377" s="120"/>
      <c r="D377" s="126"/>
      <c r="E377" s="126"/>
      <c r="L377" s="120"/>
      <c r="M377" s="126"/>
      <c r="N377" s="126"/>
    </row>
    <row r="378">
      <c r="C378" s="120"/>
      <c r="D378" s="126"/>
      <c r="E378" s="126"/>
      <c r="L378" s="120"/>
      <c r="M378" s="126"/>
      <c r="N378" s="126"/>
    </row>
    <row r="379">
      <c r="C379" s="120"/>
      <c r="D379" s="120"/>
      <c r="E379" s="120"/>
      <c r="L379" s="120"/>
      <c r="M379" s="120"/>
      <c r="N379" s="120"/>
    </row>
    <row r="384">
      <c r="B384" s="119"/>
      <c r="C384" s="55"/>
      <c r="D384" s="119"/>
      <c r="E384" s="55"/>
      <c r="F384" s="119"/>
      <c r="G384" s="68"/>
      <c r="H384" s="55"/>
      <c r="K384" s="119"/>
      <c r="L384" s="55"/>
      <c r="M384" s="119"/>
      <c r="N384" s="55"/>
      <c r="O384" s="119"/>
      <c r="P384" s="68"/>
      <c r="Q384" s="55"/>
    </row>
    <row r="385">
      <c r="B385" s="106"/>
      <c r="C385" s="106"/>
      <c r="D385" s="106"/>
      <c r="E385" s="85"/>
      <c r="F385" s="119"/>
      <c r="G385" s="120"/>
      <c r="H385" s="121"/>
      <c r="K385" s="106"/>
      <c r="L385" s="106"/>
      <c r="M385" s="106"/>
      <c r="N385" s="85"/>
      <c r="O385" s="119"/>
      <c r="P385" s="120"/>
      <c r="Q385" s="121"/>
    </row>
    <row r="386">
      <c r="B386" s="106"/>
      <c r="C386" s="96"/>
      <c r="D386" s="106"/>
      <c r="E386" s="85"/>
      <c r="F386" s="119"/>
      <c r="G386" s="122"/>
      <c r="H386" s="121"/>
      <c r="K386" s="106"/>
      <c r="L386" s="96"/>
      <c r="M386" s="106"/>
      <c r="N386" s="85"/>
      <c r="O386" s="119"/>
      <c r="P386" s="122"/>
      <c r="Q386" s="121"/>
    </row>
    <row r="387">
      <c r="B387" s="106"/>
      <c r="C387" s="106"/>
      <c r="D387" s="106"/>
      <c r="E387" s="85"/>
      <c r="F387" s="119"/>
      <c r="G387" s="122"/>
      <c r="H387" s="121"/>
      <c r="K387" s="106"/>
      <c r="L387" s="106"/>
      <c r="M387" s="106"/>
      <c r="N387" s="85"/>
      <c r="O387" s="119"/>
      <c r="P387" s="122"/>
      <c r="Q387" s="121"/>
    </row>
    <row r="388">
      <c r="B388" s="106"/>
      <c r="C388" s="106"/>
      <c r="D388" s="106"/>
      <c r="E388" s="85"/>
      <c r="F388" s="119"/>
      <c r="G388" s="120"/>
      <c r="H388" s="121"/>
      <c r="K388" s="106"/>
      <c r="L388" s="106"/>
      <c r="M388" s="106"/>
      <c r="N388" s="85"/>
      <c r="O388" s="119"/>
      <c r="P388" s="120"/>
      <c r="Q388" s="121"/>
    </row>
    <row r="389">
      <c r="B389" s="106"/>
      <c r="C389" s="106"/>
      <c r="D389" s="106"/>
      <c r="E389" s="85"/>
      <c r="F389" s="119"/>
      <c r="G389" s="123"/>
      <c r="H389" s="121"/>
      <c r="K389" s="106"/>
      <c r="L389" s="106"/>
      <c r="M389" s="106"/>
      <c r="N389" s="85"/>
      <c r="O389" s="119"/>
      <c r="P389" s="123"/>
      <c r="Q389" s="121"/>
    </row>
    <row r="390">
      <c r="B390" s="106"/>
      <c r="C390" s="106"/>
      <c r="D390" s="106"/>
      <c r="E390" s="85"/>
      <c r="F390" s="119"/>
      <c r="G390" s="120"/>
      <c r="H390" s="121"/>
      <c r="K390" s="106"/>
      <c r="L390" s="106"/>
      <c r="M390" s="106"/>
      <c r="N390" s="85"/>
      <c r="O390" s="119"/>
      <c r="P390" s="120"/>
      <c r="Q390" s="121"/>
    </row>
    <row r="391">
      <c r="A391" s="55"/>
      <c r="B391" s="106"/>
      <c r="C391" s="125"/>
      <c r="D391" s="106"/>
      <c r="E391" s="85"/>
      <c r="F391" s="119"/>
      <c r="G391" s="120"/>
      <c r="H391" s="121"/>
      <c r="J391" s="55"/>
      <c r="K391" s="106"/>
      <c r="L391" s="125"/>
      <c r="M391" s="106"/>
      <c r="N391" s="85"/>
      <c r="O391" s="119"/>
      <c r="P391" s="120"/>
      <c r="Q391" s="121"/>
    </row>
    <row r="397">
      <c r="C397" s="120"/>
      <c r="D397" s="120"/>
      <c r="E397" s="120"/>
      <c r="L397" s="120"/>
      <c r="M397" s="120"/>
      <c r="N397" s="120"/>
    </row>
    <row r="398">
      <c r="C398" s="122"/>
      <c r="D398" s="120"/>
      <c r="E398" s="126"/>
      <c r="L398" s="122"/>
      <c r="M398" s="120"/>
      <c r="N398" s="126"/>
    </row>
    <row r="399">
      <c r="C399" s="122"/>
      <c r="D399" s="126"/>
      <c r="E399" s="120"/>
      <c r="L399" s="122"/>
      <c r="M399" s="126"/>
      <c r="N399" s="120"/>
    </row>
    <row r="400">
      <c r="C400" s="120"/>
      <c r="D400" s="126"/>
      <c r="E400" s="126"/>
      <c r="L400" s="120"/>
      <c r="M400" s="126"/>
      <c r="N400" s="126"/>
    </row>
    <row r="401">
      <c r="C401" s="120"/>
      <c r="D401" s="126"/>
      <c r="E401" s="126"/>
      <c r="L401" s="120"/>
      <c r="M401" s="126"/>
      <c r="N401" s="126"/>
    </row>
    <row r="402">
      <c r="C402" s="120"/>
      <c r="D402" s="126"/>
      <c r="E402" s="126"/>
      <c r="L402" s="120"/>
      <c r="M402" s="126"/>
      <c r="N402" s="126"/>
    </row>
    <row r="403">
      <c r="C403" s="120"/>
      <c r="D403" s="120"/>
      <c r="E403" s="120"/>
      <c r="L403" s="120"/>
      <c r="M403" s="120"/>
      <c r="N403" s="120"/>
    </row>
    <row r="408">
      <c r="B408" s="119"/>
      <c r="C408" s="55"/>
      <c r="D408" s="119"/>
      <c r="E408" s="55"/>
      <c r="F408" s="119"/>
      <c r="G408" s="68"/>
      <c r="H408" s="55"/>
      <c r="K408" s="119"/>
      <c r="L408" s="55"/>
      <c r="M408" s="119"/>
      <c r="N408" s="55"/>
      <c r="O408" s="119"/>
      <c r="P408" s="68"/>
      <c r="Q408" s="55"/>
    </row>
    <row r="409">
      <c r="B409" s="106"/>
      <c r="C409" s="106"/>
      <c r="D409" s="106"/>
      <c r="E409" s="85"/>
      <c r="F409" s="119"/>
      <c r="G409" s="120"/>
      <c r="H409" s="121"/>
      <c r="K409" s="106"/>
      <c r="L409" s="106"/>
      <c r="M409" s="106"/>
      <c r="N409" s="85"/>
      <c r="O409" s="119"/>
      <c r="P409" s="120"/>
      <c r="Q409" s="121"/>
    </row>
    <row r="410">
      <c r="B410" s="106"/>
      <c r="C410" s="96"/>
      <c r="D410" s="106"/>
      <c r="E410" s="85"/>
      <c r="F410" s="119"/>
      <c r="G410" s="122"/>
      <c r="H410" s="121"/>
      <c r="K410" s="106"/>
      <c r="L410" s="96"/>
      <c r="M410" s="106"/>
      <c r="N410" s="85"/>
      <c r="O410" s="119"/>
      <c r="P410" s="122"/>
      <c r="Q410" s="121"/>
    </row>
    <row r="411">
      <c r="B411" s="106"/>
      <c r="C411" s="106"/>
      <c r="D411" s="106"/>
      <c r="E411" s="85"/>
      <c r="F411" s="119"/>
      <c r="G411" s="122"/>
      <c r="H411" s="121"/>
      <c r="K411" s="106"/>
      <c r="L411" s="106"/>
      <c r="M411" s="106"/>
      <c r="N411" s="85"/>
      <c r="O411" s="119"/>
      <c r="P411" s="122"/>
      <c r="Q411" s="121"/>
    </row>
    <row r="412">
      <c r="B412" s="106"/>
      <c r="C412" s="106"/>
      <c r="D412" s="106"/>
      <c r="E412" s="85"/>
      <c r="F412" s="119"/>
      <c r="G412" s="120"/>
      <c r="H412" s="121"/>
      <c r="K412" s="106"/>
      <c r="L412" s="106"/>
      <c r="M412" s="106"/>
      <c r="N412" s="85"/>
      <c r="O412" s="119"/>
      <c r="P412" s="120"/>
      <c r="Q412" s="121"/>
    </row>
    <row r="413">
      <c r="B413" s="106"/>
      <c r="C413" s="106"/>
      <c r="D413" s="106"/>
      <c r="E413" s="85"/>
      <c r="F413" s="119"/>
      <c r="G413" s="123"/>
      <c r="H413" s="121"/>
      <c r="K413" s="106"/>
      <c r="L413" s="106"/>
      <c r="M413" s="106"/>
      <c r="N413" s="85"/>
      <c r="O413" s="119"/>
      <c r="P413" s="123"/>
      <c r="Q413" s="121"/>
    </row>
    <row r="414">
      <c r="B414" s="106"/>
      <c r="C414" s="106"/>
      <c r="D414" s="106"/>
      <c r="E414" s="85"/>
      <c r="F414" s="119"/>
      <c r="G414" s="120"/>
      <c r="H414" s="121"/>
      <c r="K414" s="106"/>
      <c r="L414" s="106"/>
      <c r="M414" s="106"/>
      <c r="N414" s="85"/>
      <c r="O414" s="119"/>
      <c r="P414" s="120"/>
      <c r="Q414" s="121"/>
    </row>
    <row r="415">
      <c r="A415" s="55"/>
      <c r="B415" s="106"/>
      <c r="C415" s="125"/>
      <c r="D415" s="106"/>
      <c r="E415" s="85"/>
      <c r="F415" s="119"/>
      <c r="G415" s="120"/>
      <c r="H415" s="121"/>
      <c r="J415" s="55"/>
      <c r="K415" s="106"/>
      <c r="L415" s="125"/>
      <c r="M415" s="106"/>
      <c r="N415" s="85"/>
      <c r="O415" s="119"/>
      <c r="P415" s="120"/>
      <c r="Q415" s="121"/>
    </row>
    <row r="421">
      <c r="C421" s="120"/>
      <c r="D421" s="120"/>
      <c r="E421" s="120"/>
      <c r="L421" s="120"/>
      <c r="M421" s="120"/>
      <c r="N421" s="120"/>
    </row>
    <row r="422">
      <c r="C422" s="122"/>
      <c r="D422" s="120"/>
      <c r="E422" s="126"/>
      <c r="L422" s="122"/>
      <c r="M422" s="120"/>
      <c r="N422" s="126"/>
    </row>
    <row r="423">
      <c r="C423" s="122"/>
      <c r="D423" s="126"/>
      <c r="E423" s="120"/>
      <c r="L423" s="122"/>
      <c r="M423" s="126"/>
      <c r="N423" s="120"/>
    </row>
    <row r="424">
      <c r="C424" s="120"/>
      <c r="D424" s="126"/>
      <c r="E424" s="126"/>
      <c r="L424" s="120"/>
      <c r="M424" s="126"/>
      <c r="N424" s="126"/>
    </row>
    <row r="425">
      <c r="C425" s="120"/>
      <c r="D425" s="126"/>
      <c r="E425" s="126"/>
      <c r="L425" s="120"/>
      <c r="M425" s="126"/>
      <c r="N425" s="126"/>
    </row>
    <row r="426">
      <c r="C426" s="120"/>
      <c r="D426" s="126"/>
      <c r="E426" s="126"/>
      <c r="L426" s="120"/>
      <c r="M426" s="126"/>
      <c r="N426" s="126"/>
    </row>
    <row r="427">
      <c r="C427" s="120"/>
      <c r="D427" s="120"/>
      <c r="E427" s="120"/>
      <c r="L427" s="120"/>
      <c r="M427" s="120"/>
      <c r="N427" s="120"/>
    </row>
    <row r="432">
      <c r="B432" s="119"/>
      <c r="C432" s="55"/>
      <c r="D432" s="119"/>
      <c r="E432" s="55"/>
      <c r="F432" s="119"/>
      <c r="G432" s="68"/>
      <c r="H432" s="55"/>
      <c r="K432" s="119"/>
      <c r="L432" s="55"/>
      <c r="M432" s="119"/>
      <c r="N432" s="55"/>
      <c r="O432" s="119"/>
      <c r="P432" s="68"/>
      <c r="Q432" s="55"/>
    </row>
    <row r="433">
      <c r="B433" s="106"/>
      <c r="C433" s="106"/>
      <c r="D433" s="106"/>
      <c r="E433" s="85"/>
      <c r="F433" s="119"/>
      <c r="G433" s="120"/>
      <c r="H433" s="121"/>
      <c r="K433" s="106"/>
      <c r="L433" s="106"/>
      <c r="M433" s="106"/>
      <c r="N433" s="85"/>
      <c r="O433" s="119"/>
      <c r="P433" s="120"/>
      <c r="Q433" s="121"/>
    </row>
    <row r="434">
      <c r="B434" s="106"/>
      <c r="C434" s="96"/>
      <c r="D434" s="106"/>
      <c r="E434" s="85"/>
      <c r="F434" s="119"/>
      <c r="G434" s="122"/>
      <c r="H434" s="121"/>
      <c r="K434" s="106"/>
      <c r="L434" s="96"/>
      <c r="M434" s="106"/>
      <c r="N434" s="85"/>
      <c r="O434" s="119"/>
      <c r="P434" s="122"/>
      <c r="Q434" s="121"/>
    </row>
    <row r="435">
      <c r="B435" s="106"/>
      <c r="C435" s="106"/>
      <c r="D435" s="106"/>
      <c r="E435" s="85"/>
      <c r="F435" s="119"/>
      <c r="G435" s="122"/>
      <c r="H435" s="121"/>
      <c r="K435" s="106"/>
      <c r="L435" s="106"/>
      <c r="M435" s="106"/>
      <c r="N435" s="85"/>
      <c r="O435" s="119"/>
      <c r="P435" s="122"/>
      <c r="Q435" s="121"/>
    </row>
    <row r="436">
      <c r="B436" s="106"/>
      <c r="C436" s="106"/>
      <c r="D436" s="106"/>
      <c r="E436" s="85"/>
      <c r="F436" s="119"/>
      <c r="G436" s="120"/>
      <c r="H436" s="121"/>
      <c r="K436" s="106"/>
      <c r="L436" s="106"/>
      <c r="M436" s="106"/>
      <c r="N436" s="85"/>
      <c r="O436" s="119"/>
      <c r="P436" s="120"/>
      <c r="Q436" s="121"/>
    </row>
    <row r="437">
      <c r="B437" s="106"/>
      <c r="C437" s="106"/>
      <c r="D437" s="106"/>
      <c r="E437" s="85"/>
      <c r="F437" s="119"/>
      <c r="G437" s="123"/>
      <c r="H437" s="121"/>
      <c r="K437" s="106"/>
      <c r="L437" s="106"/>
      <c r="M437" s="106"/>
      <c r="N437" s="85"/>
      <c r="O437" s="119"/>
      <c r="P437" s="123"/>
      <c r="Q437" s="121"/>
    </row>
    <row r="438">
      <c r="B438" s="106"/>
      <c r="C438" s="106"/>
      <c r="D438" s="106"/>
      <c r="E438" s="85"/>
      <c r="F438" s="119"/>
      <c r="G438" s="120"/>
      <c r="H438" s="121"/>
      <c r="K438" s="106"/>
      <c r="L438" s="106"/>
      <c r="M438" s="106"/>
      <c r="N438" s="85"/>
      <c r="O438" s="119"/>
      <c r="P438" s="120"/>
      <c r="Q438" s="121"/>
    </row>
    <row r="439">
      <c r="A439" s="55"/>
      <c r="B439" s="106"/>
      <c r="C439" s="125"/>
      <c r="D439" s="106"/>
      <c r="E439" s="85"/>
      <c r="F439" s="119"/>
      <c r="G439" s="120"/>
      <c r="H439" s="121"/>
      <c r="J439" s="55"/>
      <c r="K439" s="106"/>
      <c r="L439" s="125"/>
      <c r="M439" s="106"/>
      <c r="N439" s="85"/>
      <c r="O439" s="119"/>
      <c r="P439" s="120"/>
      <c r="Q439" s="121"/>
    </row>
    <row r="445">
      <c r="C445" s="120"/>
      <c r="D445" s="120"/>
      <c r="E445" s="120"/>
      <c r="L445" s="120"/>
      <c r="M445" s="120"/>
      <c r="N445" s="120"/>
    </row>
    <row r="446">
      <c r="C446" s="122"/>
      <c r="D446" s="120"/>
      <c r="E446" s="126"/>
      <c r="L446" s="122"/>
      <c r="M446" s="120"/>
      <c r="N446" s="126"/>
    </row>
    <row r="447">
      <c r="C447" s="122"/>
      <c r="D447" s="126"/>
      <c r="E447" s="120"/>
      <c r="L447" s="122"/>
      <c r="M447" s="126"/>
      <c r="N447" s="120"/>
    </row>
    <row r="448">
      <c r="C448" s="120"/>
      <c r="D448" s="126"/>
      <c r="E448" s="126"/>
      <c r="L448" s="120"/>
      <c r="M448" s="126"/>
      <c r="N448" s="126"/>
    </row>
    <row r="449">
      <c r="C449" s="120"/>
      <c r="D449" s="126"/>
      <c r="E449" s="126"/>
      <c r="L449" s="120"/>
      <c r="M449" s="126"/>
      <c r="N449" s="126"/>
    </row>
    <row r="450">
      <c r="C450" s="120"/>
      <c r="D450" s="126"/>
      <c r="E450" s="126"/>
      <c r="L450" s="120"/>
      <c r="M450" s="126"/>
      <c r="N450" s="126"/>
    </row>
    <row r="451">
      <c r="C451" s="120"/>
      <c r="D451" s="120"/>
      <c r="E451" s="120"/>
      <c r="L451" s="120"/>
      <c r="M451" s="120"/>
      <c r="N451" s="120"/>
    </row>
    <row r="456">
      <c r="B456" s="119"/>
      <c r="C456" s="55"/>
      <c r="D456" s="119"/>
      <c r="E456" s="55"/>
      <c r="F456" s="119"/>
      <c r="G456" s="68"/>
      <c r="H456" s="55"/>
      <c r="K456" s="119"/>
      <c r="L456" s="55"/>
      <c r="M456" s="119"/>
      <c r="N456" s="55"/>
      <c r="O456" s="119"/>
      <c r="P456" s="68"/>
      <c r="Q456" s="55"/>
    </row>
    <row r="457">
      <c r="B457" s="106"/>
      <c r="C457" s="106"/>
      <c r="D457" s="106"/>
      <c r="E457" s="85"/>
      <c r="F457" s="119"/>
      <c r="G457" s="120"/>
      <c r="H457" s="121"/>
      <c r="K457" s="106"/>
      <c r="L457" s="106"/>
      <c r="M457" s="106"/>
      <c r="N457" s="85"/>
      <c r="O457" s="119"/>
      <c r="P457" s="120"/>
      <c r="Q457" s="121"/>
    </row>
    <row r="458">
      <c r="B458" s="106"/>
      <c r="C458" s="96"/>
      <c r="D458" s="106"/>
      <c r="E458" s="85"/>
      <c r="F458" s="119"/>
      <c r="G458" s="122"/>
      <c r="H458" s="121"/>
      <c r="K458" s="106"/>
      <c r="L458" s="96"/>
      <c r="M458" s="106"/>
      <c r="N458" s="85"/>
      <c r="O458" s="119"/>
      <c r="P458" s="122"/>
      <c r="Q458" s="121"/>
    </row>
    <row r="459">
      <c r="B459" s="106"/>
      <c r="C459" s="106"/>
      <c r="D459" s="106"/>
      <c r="E459" s="85"/>
      <c r="F459" s="119"/>
      <c r="G459" s="122"/>
      <c r="H459" s="121"/>
      <c r="K459" s="106"/>
      <c r="L459" s="106"/>
      <c r="M459" s="106"/>
      <c r="N459" s="85"/>
      <c r="O459" s="119"/>
      <c r="P459" s="122"/>
      <c r="Q459" s="121"/>
    </row>
    <row r="460">
      <c r="B460" s="106"/>
      <c r="C460" s="106"/>
      <c r="D460" s="106"/>
      <c r="E460" s="85"/>
      <c r="F460" s="119"/>
      <c r="G460" s="120"/>
      <c r="H460" s="121"/>
      <c r="K460" s="106"/>
      <c r="L460" s="106"/>
      <c r="M460" s="106"/>
      <c r="N460" s="85"/>
      <c r="O460" s="119"/>
      <c r="P460" s="120"/>
      <c r="Q460" s="121"/>
    </row>
    <row r="461">
      <c r="B461" s="106"/>
      <c r="C461" s="106"/>
      <c r="D461" s="106"/>
      <c r="E461" s="85"/>
      <c r="F461" s="119"/>
      <c r="G461" s="123"/>
      <c r="H461" s="121"/>
      <c r="K461" s="106"/>
      <c r="L461" s="106"/>
      <c r="M461" s="106"/>
      <c r="N461" s="85"/>
      <c r="O461" s="119"/>
      <c r="P461" s="123"/>
      <c r="Q461" s="121"/>
    </row>
    <row r="462">
      <c r="B462" s="106"/>
      <c r="C462" s="106"/>
      <c r="D462" s="106"/>
      <c r="E462" s="85"/>
      <c r="F462" s="119"/>
      <c r="G462" s="120"/>
      <c r="H462" s="121"/>
      <c r="K462" s="106"/>
      <c r="L462" s="106"/>
      <c r="M462" s="106"/>
      <c r="N462" s="85"/>
      <c r="O462" s="119"/>
      <c r="P462" s="120"/>
      <c r="Q462" s="121"/>
    </row>
    <row r="463">
      <c r="A463" s="55"/>
      <c r="B463" s="106"/>
      <c r="C463" s="125"/>
      <c r="D463" s="106"/>
      <c r="E463" s="85"/>
      <c r="F463" s="119"/>
      <c r="G463" s="120"/>
      <c r="H463" s="121"/>
      <c r="J463" s="55"/>
      <c r="K463" s="106"/>
      <c r="L463" s="125"/>
      <c r="M463" s="106"/>
      <c r="N463" s="85"/>
      <c r="O463" s="119"/>
      <c r="P463" s="120"/>
      <c r="Q463" s="121"/>
    </row>
    <row r="469">
      <c r="C469" s="120"/>
      <c r="D469" s="120"/>
      <c r="E469" s="120"/>
      <c r="L469" s="120"/>
      <c r="M469" s="120"/>
      <c r="N469" s="120"/>
    </row>
    <row r="470">
      <c r="C470" s="122"/>
      <c r="D470" s="120"/>
      <c r="E470" s="126"/>
      <c r="L470" s="122"/>
      <c r="M470" s="120"/>
      <c r="N470" s="126"/>
    </row>
    <row r="471">
      <c r="C471" s="122"/>
      <c r="D471" s="126"/>
      <c r="E471" s="120"/>
      <c r="L471" s="122"/>
      <c r="M471" s="126"/>
      <c r="N471" s="120"/>
    </row>
    <row r="472">
      <c r="C472" s="120"/>
      <c r="D472" s="126"/>
      <c r="E472" s="126"/>
      <c r="L472" s="120"/>
      <c r="M472" s="126"/>
      <c r="N472" s="126"/>
    </row>
    <row r="473">
      <c r="C473" s="120"/>
      <c r="D473" s="126"/>
      <c r="E473" s="126"/>
      <c r="L473" s="120"/>
      <c r="M473" s="126"/>
      <c r="N473" s="126"/>
    </row>
    <row r="474">
      <c r="C474" s="120"/>
      <c r="D474" s="126"/>
      <c r="E474" s="126"/>
      <c r="L474" s="120"/>
      <c r="M474" s="126"/>
      <c r="N474" s="126"/>
    </row>
    <row r="475">
      <c r="C475" s="120"/>
      <c r="D475" s="120"/>
      <c r="E475" s="120"/>
      <c r="L475" s="120"/>
      <c r="M475" s="120"/>
      <c r="N475" s="120"/>
    </row>
    <row r="480">
      <c r="B480" s="119"/>
      <c r="C480" s="55"/>
      <c r="D480" s="119"/>
      <c r="E480" s="55"/>
      <c r="F480" s="119"/>
      <c r="G480" s="68"/>
      <c r="H480" s="55"/>
      <c r="K480" s="119"/>
      <c r="L480" s="55"/>
      <c r="M480" s="119"/>
      <c r="N480" s="55"/>
      <c r="O480" s="119"/>
      <c r="P480" s="68"/>
      <c r="Q480" s="55"/>
    </row>
    <row r="481">
      <c r="B481" s="106"/>
      <c r="C481" s="106"/>
      <c r="D481" s="106"/>
      <c r="E481" s="85"/>
      <c r="F481" s="119"/>
      <c r="G481" s="120"/>
      <c r="H481" s="121"/>
      <c r="K481" s="106"/>
      <c r="L481" s="106"/>
      <c r="M481" s="106"/>
      <c r="N481" s="85"/>
      <c r="O481" s="119"/>
      <c r="P481" s="120"/>
      <c r="Q481" s="121"/>
    </row>
    <row r="482">
      <c r="B482" s="106"/>
      <c r="C482" s="96"/>
      <c r="D482" s="106"/>
      <c r="E482" s="85"/>
      <c r="F482" s="119"/>
      <c r="G482" s="122"/>
      <c r="H482" s="121"/>
      <c r="K482" s="106"/>
      <c r="L482" s="96"/>
      <c r="M482" s="106"/>
      <c r="N482" s="85"/>
      <c r="O482" s="119"/>
      <c r="P482" s="122"/>
      <c r="Q482" s="121"/>
    </row>
    <row r="483">
      <c r="B483" s="106"/>
      <c r="C483" s="106"/>
      <c r="D483" s="106"/>
      <c r="E483" s="85"/>
      <c r="F483" s="119"/>
      <c r="G483" s="122"/>
      <c r="H483" s="121"/>
      <c r="K483" s="106"/>
      <c r="L483" s="106"/>
      <c r="M483" s="106"/>
      <c r="N483" s="85"/>
      <c r="O483" s="119"/>
      <c r="P483" s="122"/>
      <c r="Q483" s="121"/>
    </row>
    <row r="484">
      <c r="B484" s="106"/>
      <c r="C484" s="106"/>
      <c r="D484" s="106"/>
      <c r="E484" s="85"/>
      <c r="F484" s="119"/>
      <c r="G484" s="120"/>
      <c r="H484" s="121"/>
      <c r="K484" s="106"/>
      <c r="L484" s="106"/>
      <c r="M484" s="106"/>
      <c r="N484" s="85"/>
      <c r="O484" s="119"/>
      <c r="P484" s="120"/>
      <c r="Q484" s="121"/>
    </row>
    <row r="485">
      <c r="B485" s="106"/>
      <c r="C485" s="106"/>
      <c r="D485" s="106"/>
      <c r="E485" s="85"/>
      <c r="F485" s="119"/>
      <c r="G485" s="123"/>
      <c r="H485" s="121"/>
      <c r="K485" s="106"/>
      <c r="L485" s="106"/>
      <c r="M485" s="106"/>
      <c r="N485" s="85"/>
      <c r="O485" s="119"/>
      <c r="P485" s="123"/>
      <c r="Q485" s="121"/>
    </row>
    <row r="486">
      <c r="B486" s="106"/>
      <c r="C486" s="106"/>
      <c r="D486" s="106"/>
      <c r="E486" s="85"/>
      <c r="F486" s="119"/>
      <c r="G486" s="120"/>
      <c r="H486" s="121"/>
      <c r="K486" s="106"/>
      <c r="L486" s="106"/>
      <c r="M486" s="106"/>
      <c r="N486" s="85"/>
      <c r="O486" s="119"/>
      <c r="P486" s="120"/>
      <c r="Q486" s="121"/>
    </row>
    <row r="487">
      <c r="A487" s="55"/>
      <c r="B487" s="106"/>
      <c r="C487" s="125"/>
      <c r="D487" s="106"/>
      <c r="E487" s="85"/>
      <c r="F487" s="119"/>
      <c r="G487" s="120"/>
      <c r="H487" s="121"/>
      <c r="J487" s="55"/>
      <c r="K487" s="106"/>
      <c r="L487" s="125"/>
      <c r="M487" s="106"/>
      <c r="N487" s="85"/>
      <c r="O487" s="119"/>
      <c r="P487" s="120"/>
      <c r="Q487" s="121"/>
    </row>
    <row r="493">
      <c r="C493" s="120"/>
      <c r="D493" s="120"/>
      <c r="E493" s="120"/>
      <c r="L493" s="120"/>
      <c r="M493" s="120"/>
      <c r="N493" s="120"/>
    </row>
    <row r="494">
      <c r="C494" s="122"/>
      <c r="D494" s="120"/>
      <c r="E494" s="126"/>
      <c r="L494" s="122"/>
      <c r="M494" s="120"/>
      <c r="N494" s="126"/>
    </row>
    <row r="495">
      <c r="C495" s="122"/>
      <c r="D495" s="126"/>
      <c r="E495" s="120"/>
      <c r="L495" s="122"/>
      <c r="M495" s="126"/>
      <c r="N495" s="120"/>
    </row>
    <row r="496">
      <c r="C496" s="120"/>
      <c r="D496" s="126"/>
      <c r="E496" s="126"/>
      <c r="L496" s="120"/>
      <c r="M496" s="126"/>
      <c r="N496" s="126"/>
    </row>
    <row r="497">
      <c r="C497" s="120"/>
      <c r="D497" s="126"/>
      <c r="E497" s="126"/>
      <c r="L497" s="120"/>
      <c r="M497" s="126"/>
      <c r="N497" s="126"/>
    </row>
    <row r="498">
      <c r="C498" s="120"/>
      <c r="D498" s="126"/>
      <c r="E498" s="126"/>
      <c r="L498" s="120"/>
      <c r="M498" s="126"/>
      <c r="N498" s="126"/>
    </row>
    <row r="499">
      <c r="C499" s="120"/>
      <c r="D499" s="120"/>
      <c r="E499" s="120"/>
      <c r="L499" s="120"/>
      <c r="M499" s="120"/>
      <c r="N499" s="120"/>
    </row>
    <row r="504">
      <c r="B504" s="119"/>
      <c r="C504" s="55"/>
      <c r="D504" s="119"/>
      <c r="E504" s="55"/>
      <c r="F504" s="119"/>
      <c r="G504" s="68"/>
      <c r="H504" s="55"/>
      <c r="K504" s="119"/>
      <c r="L504" s="55"/>
      <c r="M504" s="119"/>
      <c r="N504" s="55"/>
      <c r="O504" s="119"/>
      <c r="P504" s="68"/>
      <c r="Q504" s="55"/>
    </row>
    <row r="505">
      <c r="B505" s="106"/>
      <c r="C505" s="106"/>
      <c r="D505" s="106"/>
      <c r="E505" s="85"/>
      <c r="F505" s="119"/>
      <c r="G505" s="120"/>
      <c r="H505" s="121"/>
      <c r="K505" s="106"/>
      <c r="L505" s="106"/>
      <c r="M505" s="106"/>
      <c r="N505" s="85"/>
      <c r="O505" s="119"/>
      <c r="P505" s="120"/>
      <c r="Q505" s="121"/>
    </row>
    <row r="506">
      <c r="B506" s="106"/>
      <c r="C506" s="96"/>
      <c r="D506" s="106"/>
      <c r="E506" s="85"/>
      <c r="F506" s="119"/>
      <c r="G506" s="122"/>
      <c r="H506" s="121"/>
      <c r="K506" s="106"/>
      <c r="L506" s="96"/>
      <c r="M506" s="106"/>
      <c r="N506" s="85"/>
      <c r="O506" s="119"/>
      <c r="P506" s="122"/>
      <c r="Q506" s="121"/>
    </row>
    <row r="507">
      <c r="B507" s="106"/>
      <c r="C507" s="106"/>
      <c r="D507" s="106"/>
      <c r="E507" s="85"/>
      <c r="F507" s="119"/>
      <c r="G507" s="122"/>
      <c r="H507" s="121"/>
      <c r="K507" s="106"/>
      <c r="L507" s="106"/>
      <c r="M507" s="106"/>
      <c r="N507" s="85"/>
      <c r="O507" s="119"/>
      <c r="P507" s="122"/>
      <c r="Q507" s="121"/>
    </row>
    <row r="508">
      <c r="B508" s="106"/>
      <c r="C508" s="106"/>
      <c r="D508" s="106"/>
      <c r="E508" s="85"/>
      <c r="F508" s="119"/>
      <c r="G508" s="120"/>
      <c r="H508" s="121"/>
      <c r="K508" s="106"/>
      <c r="L508" s="106"/>
      <c r="M508" s="106"/>
      <c r="N508" s="85"/>
      <c r="O508" s="119"/>
      <c r="P508" s="120"/>
      <c r="Q508" s="121"/>
    </row>
    <row r="509">
      <c r="B509" s="106"/>
      <c r="C509" s="106"/>
      <c r="D509" s="106"/>
      <c r="E509" s="85"/>
      <c r="F509" s="119"/>
      <c r="G509" s="123"/>
      <c r="H509" s="121"/>
      <c r="K509" s="106"/>
      <c r="L509" s="106"/>
      <c r="M509" s="106"/>
      <c r="N509" s="85"/>
      <c r="O509" s="119"/>
      <c r="P509" s="123"/>
      <c r="Q509" s="121"/>
    </row>
    <row r="510">
      <c r="B510" s="106"/>
      <c r="C510" s="106"/>
      <c r="D510" s="106"/>
      <c r="E510" s="85"/>
      <c r="F510" s="119"/>
      <c r="G510" s="120"/>
      <c r="H510" s="121"/>
      <c r="K510" s="106"/>
      <c r="L510" s="106"/>
      <c r="M510" s="106"/>
      <c r="N510" s="85"/>
      <c r="O510" s="119"/>
      <c r="P510" s="120"/>
      <c r="Q510" s="121"/>
    </row>
    <row r="511">
      <c r="A511" s="55"/>
      <c r="B511" s="106"/>
      <c r="C511" s="125"/>
      <c r="D511" s="106"/>
      <c r="E511" s="85"/>
      <c r="F511" s="119"/>
      <c r="G511" s="120"/>
      <c r="H511" s="121"/>
      <c r="J511" s="55"/>
      <c r="K511" s="106"/>
      <c r="L511" s="125"/>
      <c r="M511" s="106"/>
      <c r="N511" s="85"/>
      <c r="O511" s="119"/>
      <c r="P511" s="120"/>
      <c r="Q511" s="121"/>
    </row>
    <row r="517">
      <c r="C517" s="120"/>
      <c r="D517" s="120"/>
      <c r="E517" s="120"/>
      <c r="L517" s="120"/>
      <c r="M517" s="120"/>
      <c r="N517" s="120"/>
    </row>
    <row r="518">
      <c r="C518" s="122"/>
      <c r="D518" s="120"/>
      <c r="E518" s="126"/>
      <c r="L518" s="122"/>
      <c r="M518" s="120"/>
      <c r="N518" s="126"/>
    </row>
    <row r="519">
      <c r="C519" s="122"/>
      <c r="D519" s="126"/>
      <c r="E519" s="120"/>
      <c r="L519" s="122"/>
      <c r="M519" s="126"/>
      <c r="N519" s="120"/>
    </row>
    <row r="520">
      <c r="C520" s="120"/>
      <c r="D520" s="126"/>
      <c r="E520" s="126"/>
      <c r="L520" s="120"/>
      <c r="M520" s="126"/>
      <c r="N520" s="126"/>
    </row>
    <row r="521">
      <c r="C521" s="120"/>
      <c r="D521" s="126"/>
      <c r="E521" s="126"/>
      <c r="L521" s="120"/>
      <c r="M521" s="126"/>
      <c r="N521" s="126"/>
    </row>
    <row r="522">
      <c r="C522" s="120"/>
      <c r="D522" s="126"/>
      <c r="E522" s="126"/>
      <c r="L522" s="120"/>
      <c r="M522" s="126"/>
      <c r="N522" s="126"/>
    </row>
    <row r="523">
      <c r="C523" s="120"/>
      <c r="D523" s="120"/>
      <c r="E523" s="120"/>
      <c r="L523" s="120"/>
      <c r="M523" s="120"/>
      <c r="N523" s="120"/>
    </row>
    <row r="528">
      <c r="B528" s="119"/>
      <c r="C528" s="55"/>
      <c r="D528" s="119"/>
      <c r="E528" s="55"/>
      <c r="F528" s="119"/>
      <c r="G528" s="68"/>
      <c r="H528" s="55"/>
      <c r="K528" s="119"/>
      <c r="L528" s="55"/>
      <c r="M528" s="119"/>
      <c r="N528" s="55"/>
      <c r="O528" s="119"/>
      <c r="P528" s="68"/>
      <c r="Q528" s="55"/>
    </row>
    <row r="529">
      <c r="B529" s="106"/>
      <c r="C529" s="106"/>
      <c r="D529" s="106"/>
      <c r="E529" s="85"/>
      <c r="F529" s="119"/>
      <c r="G529" s="120"/>
      <c r="H529" s="121"/>
      <c r="K529" s="106"/>
      <c r="L529" s="106"/>
      <c r="M529" s="106"/>
      <c r="N529" s="85"/>
      <c r="O529" s="119"/>
      <c r="P529" s="120"/>
      <c r="Q529" s="121"/>
    </row>
    <row r="530">
      <c r="B530" s="106"/>
      <c r="C530" s="96"/>
      <c r="D530" s="106"/>
      <c r="E530" s="85"/>
      <c r="F530" s="119"/>
      <c r="G530" s="122"/>
      <c r="H530" s="121"/>
      <c r="K530" s="106"/>
      <c r="L530" s="96"/>
      <c r="M530" s="106"/>
      <c r="N530" s="85"/>
      <c r="O530" s="119"/>
      <c r="P530" s="122"/>
      <c r="Q530" s="121"/>
    </row>
    <row r="531">
      <c r="B531" s="106"/>
      <c r="C531" s="106"/>
      <c r="D531" s="106"/>
      <c r="E531" s="85"/>
      <c r="F531" s="119"/>
      <c r="G531" s="122"/>
      <c r="H531" s="121"/>
      <c r="K531" s="106"/>
      <c r="L531" s="106"/>
      <c r="M531" s="106"/>
      <c r="N531" s="85"/>
      <c r="O531" s="119"/>
      <c r="P531" s="122"/>
      <c r="Q531" s="121"/>
    </row>
    <row r="532">
      <c r="B532" s="106"/>
      <c r="C532" s="106"/>
      <c r="D532" s="106"/>
      <c r="E532" s="85"/>
      <c r="F532" s="119"/>
      <c r="G532" s="120"/>
      <c r="H532" s="121"/>
      <c r="K532" s="106"/>
      <c r="L532" s="106"/>
      <c r="M532" s="106"/>
      <c r="N532" s="85"/>
      <c r="O532" s="119"/>
      <c r="P532" s="120"/>
      <c r="Q532" s="121"/>
    </row>
    <row r="533">
      <c r="B533" s="106"/>
      <c r="C533" s="106"/>
      <c r="D533" s="106"/>
      <c r="E533" s="85"/>
      <c r="F533" s="119"/>
      <c r="G533" s="123"/>
      <c r="H533" s="121"/>
      <c r="K533" s="106"/>
      <c r="L533" s="106"/>
      <c r="M533" s="106"/>
      <c r="N533" s="85"/>
      <c r="O533" s="119"/>
      <c r="P533" s="123"/>
      <c r="Q533" s="121"/>
    </row>
    <row r="534">
      <c r="B534" s="106"/>
      <c r="C534" s="106"/>
      <c r="D534" s="106"/>
      <c r="E534" s="85"/>
      <c r="F534" s="119"/>
      <c r="G534" s="120"/>
      <c r="H534" s="121"/>
      <c r="K534" s="106"/>
      <c r="L534" s="106"/>
      <c r="M534" s="106"/>
      <c r="N534" s="85"/>
      <c r="O534" s="119"/>
      <c r="P534" s="120"/>
      <c r="Q534" s="121"/>
    </row>
    <row r="535">
      <c r="A535" s="55"/>
      <c r="B535" s="106"/>
      <c r="C535" s="125"/>
      <c r="D535" s="106"/>
      <c r="E535" s="85"/>
      <c r="F535" s="119"/>
      <c r="G535" s="120"/>
      <c r="H535" s="121"/>
      <c r="J535" s="55"/>
      <c r="K535" s="106"/>
      <c r="L535" s="125"/>
      <c r="M535" s="106"/>
      <c r="N535" s="85"/>
      <c r="O535" s="119"/>
      <c r="P535" s="120"/>
      <c r="Q535" s="121"/>
    </row>
    <row r="541">
      <c r="C541" s="120"/>
      <c r="D541" s="120"/>
      <c r="E541" s="120"/>
      <c r="L541" s="120"/>
      <c r="M541" s="120"/>
      <c r="N541" s="120"/>
    </row>
    <row r="542">
      <c r="C542" s="122"/>
      <c r="D542" s="120"/>
      <c r="E542" s="126"/>
      <c r="L542" s="122"/>
      <c r="M542" s="120"/>
      <c r="N542" s="126"/>
    </row>
    <row r="543">
      <c r="C543" s="122"/>
      <c r="D543" s="126"/>
      <c r="E543" s="120"/>
      <c r="L543" s="122"/>
      <c r="M543" s="126"/>
      <c r="N543" s="120"/>
    </row>
    <row r="544">
      <c r="C544" s="120"/>
      <c r="D544" s="126"/>
      <c r="E544" s="126"/>
      <c r="L544" s="120"/>
      <c r="M544" s="126"/>
      <c r="N544" s="126"/>
    </row>
    <row r="545">
      <c r="C545" s="120"/>
      <c r="D545" s="126"/>
      <c r="E545" s="126"/>
      <c r="L545" s="120"/>
      <c r="M545" s="126"/>
      <c r="N545" s="126"/>
    </row>
    <row r="546">
      <c r="C546" s="120"/>
      <c r="D546" s="126"/>
      <c r="E546" s="126"/>
      <c r="L546" s="120"/>
      <c r="M546" s="126"/>
      <c r="N546" s="126"/>
    </row>
    <row r="547">
      <c r="C547" s="120"/>
      <c r="D547" s="120"/>
      <c r="E547" s="120"/>
      <c r="L547" s="120"/>
      <c r="M547" s="120"/>
      <c r="N547" s="120"/>
    </row>
    <row r="552">
      <c r="B552" s="119"/>
      <c r="C552" s="55"/>
      <c r="D552" s="119"/>
      <c r="E552" s="55"/>
      <c r="F552" s="119"/>
      <c r="G552" s="68"/>
      <c r="H552" s="55"/>
      <c r="K552" s="119"/>
      <c r="L552" s="55"/>
      <c r="M552" s="119"/>
      <c r="N552" s="55"/>
      <c r="O552" s="119"/>
      <c r="P552" s="68"/>
      <c r="Q552" s="55"/>
    </row>
    <row r="553">
      <c r="B553" s="106"/>
      <c r="C553" s="106"/>
      <c r="D553" s="106"/>
      <c r="E553" s="85"/>
      <c r="F553" s="119"/>
      <c r="G553" s="120"/>
      <c r="H553" s="121"/>
      <c r="K553" s="106"/>
      <c r="L553" s="106"/>
      <c r="M553" s="106"/>
      <c r="N553" s="85"/>
      <c r="O553" s="119"/>
      <c r="P553" s="120"/>
      <c r="Q553" s="121"/>
    </row>
    <row r="554">
      <c r="B554" s="106"/>
      <c r="C554" s="96"/>
      <c r="D554" s="106"/>
      <c r="E554" s="85"/>
      <c r="F554" s="119"/>
      <c r="G554" s="122"/>
      <c r="H554" s="121"/>
      <c r="K554" s="106"/>
      <c r="L554" s="96"/>
      <c r="M554" s="106"/>
      <c r="N554" s="85"/>
      <c r="O554" s="119"/>
      <c r="P554" s="122"/>
      <c r="Q554" s="121"/>
    </row>
    <row r="555">
      <c r="B555" s="106"/>
      <c r="C555" s="106"/>
      <c r="D555" s="106"/>
      <c r="E555" s="85"/>
      <c r="F555" s="119"/>
      <c r="G555" s="122"/>
      <c r="H555" s="121"/>
      <c r="K555" s="106"/>
      <c r="L555" s="106"/>
      <c r="M555" s="106"/>
      <c r="N555" s="85"/>
      <c r="O555" s="119"/>
      <c r="P555" s="122"/>
      <c r="Q555" s="121"/>
    </row>
    <row r="556">
      <c r="B556" s="106"/>
      <c r="C556" s="106"/>
      <c r="D556" s="106"/>
      <c r="E556" s="85"/>
      <c r="F556" s="119"/>
      <c r="G556" s="120"/>
      <c r="H556" s="121"/>
      <c r="K556" s="106"/>
      <c r="L556" s="106"/>
      <c r="M556" s="106"/>
      <c r="N556" s="85"/>
      <c r="O556" s="119"/>
      <c r="P556" s="120"/>
      <c r="Q556" s="121"/>
    </row>
    <row r="557">
      <c r="B557" s="106"/>
      <c r="C557" s="106"/>
      <c r="D557" s="106"/>
      <c r="E557" s="85"/>
      <c r="F557" s="119"/>
      <c r="G557" s="123"/>
      <c r="H557" s="121"/>
      <c r="K557" s="106"/>
      <c r="L557" s="106"/>
      <c r="M557" s="106"/>
      <c r="N557" s="85"/>
      <c r="O557" s="119"/>
      <c r="P557" s="123"/>
      <c r="Q557" s="121"/>
    </row>
    <row r="558">
      <c r="B558" s="106"/>
      <c r="C558" s="106"/>
      <c r="D558" s="106"/>
      <c r="E558" s="85"/>
      <c r="F558" s="119"/>
      <c r="G558" s="120"/>
      <c r="H558" s="121"/>
      <c r="K558" s="106"/>
      <c r="L558" s="106"/>
      <c r="M558" s="106"/>
      <c r="N558" s="85"/>
      <c r="O558" s="119"/>
      <c r="P558" s="120"/>
      <c r="Q558" s="121"/>
    </row>
    <row r="559">
      <c r="A559" s="55"/>
      <c r="B559" s="106"/>
      <c r="C559" s="125"/>
      <c r="D559" s="106"/>
      <c r="E559" s="85"/>
      <c r="F559" s="119"/>
      <c r="G559" s="120"/>
      <c r="H559" s="121"/>
      <c r="J559" s="55"/>
      <c r="K559" s="106"/>
      <c r="L559" s="125"/>
      <c r="M559" s="106"/>
      <c r="N559" s="85"/>
      <c r="O559" s="119"/>
      <c r="P559" s="120"/>
      <c r="Q559" s="121"/>
    </row>
    <row r="565">
      <c r="C565" s="120"/>
      <c r="D565" s="120"/>
      <c r="E565" s="120"/>
      <c r="L565" s="120"/>
      <c r="M565" s="120"/>
      <c r="N565" s="120"/>
    </row>
    <row r="566">
      <c r="C566" s="122"/>
      <c r="D566" s="120"/>
      <c r="E566" s="126"/>
      <c r="L566" s="122"/>
      <c r="M566" s="120"/>
      <c r="N566" s="126"/>
    </row>
    <row r="567">
      <c r="C567" s="122"/>
      <c r="D567" s="126"/>
      <c r="E567" s="120"/>
      <c r="L567" s="122"/>
      <c r="M567" s="126"/>
      <c r="N567" s="120"/>
    </row>
    <row r="568">
      <c r="C568" s="120"/>
      <c r="D568" s="126"/>
      <c r="E568" s="126"/>
      <c r="L568" s="120"/>
      <c r="M568" s="126"/>
      <c r="N568" s="126"/>
    </row>
    <row r="569">
      <c r="C569" s="120"/>
      <c r="D569" s="126"/>
      <c r="E569" s="126"/>
      <c r="L569" s="120"/>
      <c r="M569" s="126"/>
      <c r="N569" s="126"/>
    </row>
    <row r="570">
      <c r="C570" s="120"/>
      <c r="D570" s="126"/>
      <c r="E570" s="126"/>
      <c r="L570" s="120"/>
      <c r="M570" s="126"/>
      <c r="N570" s="126"/>
    </row>
    <row r="571">
      <c r="C571" s="120"/>
      <c r="D571" s="120"/>
      <c r="E571" s="120"/>
      <c r="L571" s="120"/>
      <c r="M571" s="120"/>
      <c r="N571" s="120"/>
    </row>
    <row r="576">
      <c r="B576" s="119"/>
      <c r="C576" s="55"/>
      <c r="D576" s="119"/>
      <c r="E576" s="55"/>
      <c r="F576" s="119"/>
      <c r="G576" s="68"/>
      <c r="H576" s="55"/>
      <c r="K576" s="119"/>
      <c r="L576" s="55"/>
      <c r="M576" s="119"/>
      <c r="N576" s="55"/>
      <c r="O576" s="119"/>
      <c r="P576" s="68"/>
      <c r="Q576" s="55"/>
    </row>
    <row r="577">
      <c r="B577" s="106"/>
      <c r="C577" s="106"/>
      <c r="D577" s="106"/>
      <c r="E577" s="85"/>
      <c r="F577" s="119"/>
      <c r="G577" s="120"/>
      <c r="H577" s="121"/>
      <c r="K577" s="106"/>
      <c r="L577" s="106"/>
      <c r="M577" s="106"/>
      <c r="N577" s="85"/>
      <c r="O577" s="119"/>
      <c r="P577" s="120"/>
      <c r="Q577" s="121"/>
    </row>
    <row r="578">
      <c r="B578" s="106"/>
      <c r="C578" s="96"/>
      <c r="D578" s="106"/>
      <c r="E578" s="85"/>
      <c r="F578" s="119"/>
      <c r="G578" s="122"/>
      <c r="H578" s="121"/>
      <c r="K578" s="106"/>
      <c r="L578" s="96"/>
      <c r="M578" s="106"/>
      <c r="N578" s="85"/>
      <c r="O578" s="119"/>
      <c r="P578" s="122"/>
      <c r="Q578" s="121"/>
    </row>
    <row r="579">
      <c r="B579" s="106"/>
      <c r="C579" s="106"/>
      <c r="D579" s="106"/>
      <c r="E579" s="85"/>
      <c r="F579" s="119"/>
      <c r="G579" s="122"/>
      <c r="H579" s="121"/>
      <c r="K579" s="106"/>
      <c r="L579" s="106"/>
      <c r="M579" s="106"/>
      <c r="N579" s="85"/>
      <c r="O579" s="119"/>
      <c r="P579" s="122"/>
      <c r="Q579" s="121"/>
    </row>
    <row r="580">
      <c r="B580" s="106"/>
      <c r="C580" s="106"/>
      <c r="D580" s="106"/>
      <c r="E580" s="85"/>
      <c r="F580" s="119"/>
      <c r="G580" s="120"/>
      <c r="H580" s="121"/>
      <c r="K580" s="106"/>
      <c r="L580" s="106"/>
      <c r="M580" s="106"/>
      <c r="N580" s="85"/>
      <c r="O580" s="119"/>
      <c r="P580" s="120"/>
      <c r="Q580" s="121"/>
    </row>
    <row r="581">
      <c r="B581" s="106"/>
      <c r="C581" s="106"/>
      <c r="D581" s="106"/>
      <c r="E581" s="85"/>
      <c r="F581" s="119"/>
      <c r="G581" s="123"/>
      <c r="H581" s="121"/>
      <c r="K581" s="106"/>
      <c r="L581" s="106"/>
      <c r="M581" s="106"/>
      <c r="N581" s="85"/>
      <c r="O581" s="119"/>
      <c r="P581" s="123"/>
      <c r="Q581" s="121"/>
    </row>
    <row r="582">
      <c r="B582" s="106"/>
      <c r="C582" s="106"/>
      <c r="D582" s="106"/>
      <c r="E582" s="85"/>
      <c r="F582" s="119"/>
      <c r="G582" s="120"/>
      <c r="H582" s="121"/>
      <c r="K582" s="106"/>
      <c r="L582" s="106"/>
      <c r="M582" s="106"/>
      <c r="N582" s="85"/>
      <c r="O582" s="119"/>
      <c r="P582" s="120"/>
      <c r="Q582" s="121"/>
    </row>
    <row r="583">
      <c r="A583" s="55"/>
      <c r="B583" s="106"/>
      <c r="C583" s="125"/>
      <c r="D583" s="106"/>
      <c r="E583" s="85"/>
      <c r="F583" s="119"/>
      <c r="G583" s="120"/>
      <c r="H583" s="121"/>
      <c r="J583" s="55"/>
      <c r="K583" s="106"/>
      <c r="L583" s="125"/>
      <c r="M583" s="106"/>
      <c r="N583" s="85"/>
      <c r="O583" s="119"/>
      <c r="P583" s="120"/>
      <c r="Q583" s="121"/>
    </row>
    <row r="589">
      <c r="C589" s="120"/>
      <c r="D589" s="120"/>
      <c r="E589" s="120"/>
      <c r="L589" s="120"/>
      <c r="M589" s="120"/>
      <c r="N589" s="120"/>
    </row>
    <row r="590">
      <c r="C590" s="122"/>
      <c r="D590" s="120"/>
      <c r="E590" s="126"/>
      <c r="L590" s="122"/>
      <c r="M590" s="120"/>
      <c r="N590" s="126"/>
    </row>
    <row r="591">
      <c r="C591" s="122"/>
      <c r="D591" s="126"/>
      <c r="E591" s="120"/>
      <c r="L591" s="122"/>
      <c r="M591" s="126"/>
      <c r="N591" s="120"/>
    </row>
    <row r="592">
      <c r="C592" s="120"/>
      <c r="D592" s="126"/>
      <c r="E592" s="126"/>
      <c r="L592" s="120"/>
      <c r="M592" s="126"/>
      <c r="N592" s="126"/>
    </row>
    <row r="593">
      <c r="C593" s="120"/>
      <c r="D593" s="126"/>
      <c r="E593" s="126"/>
      <c r="L593" s="120"/>
      <c r="M593" s="126"/>
      <c r="N593" s="126"/>
    </row>
    <row r="594">
      <c r="C594" s="120"/>
      <c r="D594" s="126"/>
      <c r="E594" s="126"/>
      <c r="L594" s="120"/>
      <c r="M594" s="126"/>
      <c r="N594" s="126"/>
    </row>
    <row r="595">
      <c r="C595" s="120"/>
      <c r="D595" s="120"/>
      <c r="E595" s="120"/>
      <c r="L595" s="120"/>
      <c r="M595" s="120"/>
      <c r="N595" s="120"/>
    </row>
    <row r="600">
      <c r="B600" s="119"/>
      <c r="C600" s="55"/>
      <c r="D600" s="119"/>
      <c r="E600" s="55"/>
      <c r="F600" s="119"/>
      <c r="G600" s="68"/>
      <c r="H600" s="55"/>
      <c r="K600" s="119"/>
      <c r="L600" s="55"/>
      <c r="M600" s="119"/>
      <c r="N600" s="55"/>
      <c r="O600" s="119"/>
      <c r="P600" s="68"/>
      <c r="Q600" s="55"/>
    </row>
    <row r="601">
      <c r="B601" s="106"/>
      <c r="C601" s="106"/>
      <c r="D601" s="106"/>
      <c r="E601" s="85"/>
      <c r="F601" s="119"/>
      <c r="G601" s="120"/>
      <c r="H601" s="121"/>
      <c r="K601" s="106"/>
      <c r="L601" s="106"/>
      <c r="M601" s="106"/>
      <c r="N601" s="85"/>
      <c r="O601" s="119"/>
      <c r="P601" s="120"/>
      <c r="Q601" s="121"/>
    </row>
    <row r="602">
      <c r="B602" s="106"/>
      <c r="C602" s="96"/>
      <c r="D602" s="106"/>
      <c r="E602" s="85"/>
      <c r="F602" s="119"/>
      <c r="G602" s="122"/>
      <c r="H602" s="121"/>
      <c r="K602" s="106"/>
      <c r="L602" s="96"/>
      <c r="M602" s="106"/>
      <c r="N602" s="85"/>
      <c r="O602" s="119"/>
      <c r="P602" s="122"/>
      <c r="Q602" s="121"/>
    </row>
    <row r="603">
      <c r="B603" s="106"/>
      <c r="C603" s="106"/>
      <c r="D603" s="106"/>
      <c r="E603" s="85"/>
      <c r="F603" s="119"/>
      <c r="G603" s="122"/>
      <c r="H603" s="121"/>
      <c r="K603" s="106"/>
      <c r="L603" s="106"/>
      <c r="M603" s="106"/>
      <c r="N603" s="85"/>
      <c r="O603" s="119"/>
      <c r="P603" s="122"/>
      <c r="Q603" s="121"/>
    </row>
    <row r="604">
      <c r="B604" s="106"/>
      <c r="C604" s="106"/>
      <c r="D604" s="106"/>
      <c r="E604" s="85"/>
      <c r="F604" s="119"/>
      <c r="G604" s="120"/>
      <c r="H604" s="121"/>
      <c r="K604" s="106"/>
      <c r="L604" s="106"/>
      <c r="M604" s="106"/>
      <c r="N604" s="85"/>
      <c r="O604" s="119"/>
      <c r="P604" s="120"/>
      <c r="Q604" s="121"/>
    </row>
    <row r="605">
      <c r="B605" s="106"/>
      <c r="C605" s="106"/>
      <c r="D605" s="106"/>
      <c r="E605" s="85"/>
      <c r="F605" s="119"/>
      <c r="G605" s="123"/>
      <c r="H605" s="121"/>
      <c r="K605" s="106"/>
      <c r="L605" s="106"/>
      <c r="M605" s="106"/>
      <c r="N605" s="85"/>
      <c r="O605" s="119"/>
      <c r="P605" s="123"/>
      <c r="Q605" s="121"/>
    </row>
    <row r="606">
      <c r="B606" s="106"/>
      <c r="C606" s="106"/>
      <c r="D606" s="106"/>
      <c r="E606" s="85"/>
      <c r="F606" s="119"/>
      <c r="G606" s="120"/>
      <c r="H606" s="121"/>
      <c r="K606" s="106"/>
      <c r="L606" s="106"/>
      <c r="M606" s="106"/>
      <c r="N606" s="85"/>
      <c r="O606" s="119"/>
      <c r="P606" s="120"/>
      <c r="Q606" s="121"/>
    </row>
    <row r="607">
      <c r="A607" s="55"/>
      <c r="B607" s="106"/>
      <c r="C607" s="125"/>
      <c r="D607" s="106"/>
      <c r="E607" s="85"/>
      <c r="F607" s="119"/>
      <c r="G607" s="120"/>
      <c r="H607" s="121"/>
      <c r="J607" s="55"/>
      <c r="K607" s="106"/>
      <c r="L607" s="125"/>
      <c r="M607" s="106"/>
      <c r="N607" s="85"/>
      <c r="O607" s="119"/>
      <c r="P607" s="120"/>
      <c r="Q607" s="121"/>
    </row>
    <row r="613">
      <c r="C613" s="120"/>
      <c r="D613" s="120"/>
      <c r="E613" s="120"/>
      <c r="L613" s="120"/>
      <c r="M613" s="120"/>
      <c r="N613" s="120"/>
    </row>
    <row r="614">
      <c r="C614" s="122"/>
      <c r="D614" s="120"/>
      <c r="E614" s="126"/>
      <c r="L614" s="122"/>
      <c r="M614" s="120"/>
      <c r="N614" s="126"/>
    </row>
    <row r="615">
      <c r="C615" s="122"/>
      <c r="D615" s="126"/>
      <c r="E615" s="120"/>
      <c r="L615" s="122"/>
      <c r="M615" s="126"/>
      <c r="N615" s="120"/>
    </row>
    <row r="616">
      <c r="C616" s="120"/>
      <c r="D616" s="126"/>
      <c r="E616" s="126"/>
      <c r="L616" s="120"/>
      <c r="M616" s="126"/>
      <c r="N616" s="126"/>
    </row>
    <row r="617">
      <c r="C617" s="120"/>
      <c r="D617" s="126"/>
      <c r="E617" s="126"/>
      <c r="L617" s="120"/>
      <c r="M617" s="126"/>
      <c r="N617" s="126"/>
    </row>
    <row r="618">
      <c r="C618" s="120"/>
      <c r="D618" s="126"/>
      <c r="E618" s="126"/>
      <c r="L618" s="120"/>
      <c r="M618" s="126"/>
      <c r="N618" s="126"/>
    </row>
    <row r="619">
      <c r="C619" s="120"/>
      <c r="D619" s="120"/>
      <c r="E619" s="120"/>
      <c r="L619" s="120"/>
      <c r="M619" s="120"/>
      <c r="N619" s="120"/>
    </row>
    <row r="624">
      <c r="B624" s="119"/>
      <c r="C624" s="55"/>
      <c r="D624" s="119"/>
      <c r="E624" s="55"/>
      <c r="F624" s="119"/>
      <c r="G624" s="68"/>
      <c r="H624" s="55"/>
      <c r="K624" s="119"/>
      <c r="L624" s="55"/>
      <c r="M624" s="119"/>
      <c r="N624" s="55"/>
      <c r="O624" s="119"/>
      <c r="P624" s="68"/>
      <c r="Q624" s="55"/>
    </row>
    <row r="625">
      <c r="B625" s="106"/>
      <c r="C625" s="106"/>
      <c r="D625" s="106"/>
      <c r="E625" s="85"/>
      <c r="F625" s="119"/>
      <c r="G625" s="120"/>
      <c r="H625" s="121"/>
      <c r="K625" s="106"/>
      <c r="L625" s="106"/>
      <c r="M625" s="106"/>
      <c r="N625" s="85"/>
      <c r="O625" s="119"/>
      <c r="P625" s="120"/>
      <c r="Q625" s="121"/>
    </row>
    <row r="626">
      <c r="B626" s="106"/>
      <c r="C626" s="96"/>
      <c r="D626" s="106"/>
      <c r="E626" s="85"/>
      <c r="F626" s="119"/>
      <c r="G626" s="122"/>
      <c r="H626" s="121"/>
      <c r="K626" s="106"/>
      <c r="L626" s="96"/>
      <c r="M626" s="106"/>
      <c r="N626" s="85"/>
      <c r="O626" s="119"/>
      <c r="P626" s="122"/>
      <c r="Q626" s="121"/>
    </row>
    <row r="627">
      <c r="B627" s="106"/>
      <c r="C627" s="106"/>
      <c r="D627" s="106"/>
      <c r="E627" s="85"/>
      <c r="F627" s="119"/>
      <c r="G627" s="122"/>
      <c r="H627" s="121"/>
      <c r="K627" s="106"/>
      <c r="L627" s="106"/>
      <c r="M627" s="106"/>
      <c r="N627" s="85"/>
      <c r="O627" s="119"/>
      <c r="P627" s="122"/>
      <c r="Q627" s="121"/>
    </row>
    <row r="628">
      <c r="B628" s="106"/>
      <c r="C628" s="106"/>
      <c r="D628" s="106"/>
      <c r="E628" s="85"/>
      <c r="F628" s="119"/>
      <c r="G628" s="120"/>
      <c r="H628" s="121"/>
      <c r="K628" s="106"/>
      <c r="L628" s="106"/>
      <c r="M628" s="106"/>
      <c r="N628" s="85"/>
      <c r="O628" s="119"/>
      <c r="P628" s="120"/>
      <c r="Q628" s="121"/>
    </row>
    <row r="629">
      <c r="B629" s="106"/>
      <c r="C629" s="106"/>
      <c r="D629" s="106"/>
      <c r="E629" s="85"/>
      <c r="F629" s="119"/>
      <c r="G629" s="123"/>
      <c r="H629" s="121"/>
      <c r="K629" s="106"/>
      <c r="L629" s="106"/>
      <c r="M629" s="106"/>
      <c r="N629" s="85"/>
      <c r="O629" s="119"/>
      <c r="P629" s="123"/>
      <c r="Q629" s="121"/>
    </row>
    <row r="630">
      <c r="B630" s="106"/>
      <c r="C630" s="106"/>
      <c r="D630" s="106"/>
      <c r="E630" s="85"/>
      <c r="F630" s="119"/>
      <c r="G630" s="120"/>
      <c r="H630" s="121"/>
      <c r="K630" s="106"/>
      <c r="L630" s="106"/>
      <c r="M630" s="106"/>
      <c r="N630" s="85"/>
      <c r="O630" s="119"/>
      <c r="P630" s="120"/>
      <c r="Q630" s="121"/>
    </row>
    <row r="631">
      <c r="A631" s="55"/>
      <c r="B631" s="106"/>
      <c r="C631" s="125"/>
      <c r="D631" s="106"/>
      <c r="E631" s="85"/>
      <c r="F631" s="119"/>
      <c r="G631" s="120"/>
      <c r="H631" s="121"/>
      <c r="J631" s="55"/>
      <c r="K631" s="106"/>
      <c r="L631" s="125"/>
      <c r="M631" s="106"/>
      <c r="N631" s="85"/>
      <c r="O631" s="119"/>
      <c r="P631" s="120"/>
      <c r="Q631" s="121"/>
    </row>
    <row r="637">
      <c r="C637" s="120"/>
      <c r="D637" s="120"/>
      <c r="E637" s="120"/>
      <c r="L637" s="120"/>
      <c r="M637" s="120"/>
      <c r="N637" s="120"/>
    </row>
    <row r="638">
      <c r="C638" s="122"/>
      <c r="D638" s="120"/>
      <c r="E638" s="126"/>
      <c r="L638" s="122"/>
      <c r="M638" s="120"/>
      <c r="N638" s="126"/>
    </row>
    <row r="639">
      <c r="C639" s="122"/>
      <c r="D639" s="126"/>
      <c r="E639" s="120"/>
      <c r="L639" s="122"/>
      <c r="M639" s="126"/>
      <c r="N639" s="120"/>
    </row>
    <row r="640">
      <c r="C640" s="120"/>
      <c r="D640" s="126"/>
      <c r="E640" s="126"/>
      <c r="L640" s="120"/>
      <c r="M640" s="126"/>
      <c r="N640" s="126"/>
    </row>
    <row r="641">
      <c r="C641" s="120"/>
      <c r="D641" s="126"/>
      <c r="E641" s="126"/>
      <c r="L641" s="120"/>
      <c r="M641" s="126"/>
      <c r="N641" s="126"/>
    </row>
    <row r="642">
      <c r="C642" s="120"/>
      <c r="D642" s="126"/>
      <c r="E642" s="126"/>
      <c r="L642" s="120"/>
      <c r="M642" s="126"/>
      <c r="N642" s="126"/>
    </row>
    <row r="643">
      <c r="C643" s="120"/>
      <c r="D643" s="120"/>
      <c r="E643" s="120"/>
      <c r="L643" s="120"/>
      <c r="M643" s="120"/>
      <c r="N643" s="120"/>
    </row>
    <row r="648">
      <c r="B648" s="119"/>
      <c r="C648" s="55"/>
      <c r="D648" s="119"/>
      <c r="E648" s="55"/>
      <c r="F648" s="119"/>
      <c r="G648" s="68"/>
      <c r="H648" s="55"/>
      <c r="K648" s="119"/>
      <c r="L648" s="55"/>
      <c r="M648" s="119"/>
      <c r="N648" s="55"/>
      <c r="O648" s="119"/>
      <c r="P648" s="68"/>
      <c r="Q648" s="55"/>
    </row>
    <row r="649">
      <c r="B649" s="106"/>
      <c r="C649" s="106"/>
      <c r="D649" s="106"/>
      <c r="E649" s="85"/>
      <c r="F649" s="119"/>
      <c r="G649" s="120"/>
      <c r="H649" s="121"/>
      <c r="K649" s="106"/>
      <c r="L649" s="106"/>
      <c r="M649" s="106"/>
      <c r="N649" s="85"/>
      <c r="O649" s="119"/>
      <c r="P649" s="120"/>
      <c r="Q649" s="121"/>
    </row>
    <row r="650">
      <c r="B650" s="106"/>
      <c r="C650" s="96"/>
      <c r="D650" s="106"/>
      <c r="E650" s="85"/>
      <c r="F650" s="119"/>
      <c r="G650" s="122"/>
      <c r="H650" s="121"/>
      <c r="K650" s="106"/>
      <c r="L650" s="96"/>
      <c r="M650" s="106"/>
      <c r="N650" s="85"/>
      <c r="O650" s="119"/>
      <c r="P650" s="122"/>
      <c r="Q650" s="121"/>
    </row>
    <row r="651">
      <c r="B651" s="106"/>
      <c r="C651" s="106"/>
      <c r="D651" s="106"/>
      <c r="E651" s="85"/>
      <c r="F651" s="119"/>
      <c r="G651" s="122"/>
      <c r="H651" s="121"/>
      <c r="K651" s="106"/>
      <c r="L651" s="106"/>
      <c r="M651" s="106"/>
      <c r="N651" s="85"/>
      <c r="O651" s="119"/>
      <c r="P651" s="122"/>
      <c r="Q651" s="121"/>
    </row>
    <row r="652">
      <c r="B652" s="106"/>
      <c r="C652" s="106"/>
      <c r="D652" s="106"/>
      <c r="E652" s="85"/>
      <c r="F652" s="119"/>
      <c r="G652" s="120"/>
      <c r="H652" s="121"/>
      <c r="K652" s="106"/>
      <c r="L652" s="106"/>
      <c r="M652" s="106"/>
      <c r="N652" s="85"/>
      <c r="O652" s="119"/>
      <c r="P652" s="120"/>
      <c r="Q652" s="121"/>
    </row>
    <row r="653">
      <c r="B653" s="106"/>
      <c r="C653" s="106"/>
      <c r="D653" s="106"/>
      <c r="E653" s="85"/>
      <c r="F653" s="119"/>
      <c r="G653" s="123"/>
      <c r="H653" s="121"/>
      <c r="K653" s="106"/>
      <c r="L653" s="106"/>
      <c r="M653" s="106"/>
      <c r="N653" s="85"/>
      <c r="O653" s="119"/>
      <c r="P653" s="123"/>
      <c r="Q653" s="121"/>
    </row>
    <row r="654">
      <c r="B654" s="106"/>
      <c r="C654" s="106"/>
      <c r="D654" s="106"/>
      <c r="E654" s="85"/>
      <c r="F654" s="119"/>
      <c r="G654" s="120"/>
      <c r="H654" s="121"/>
      <c r="K654" s="106"/>
      <c r="L654" s="106"/>
      <c r="M654" s="106"/>
      <c r="N654" s="85"/>
      <c r="O654" s="119"/>
      <c r="P654" s="120"/>
      <c r="Q654" s="121"/>
    </row>
    <row r="655">
      <c r="A655" s="55"/>
      <c r="B655" s="106"/>
      <c r="C655" s="125"/>
      <c r="D655" s="106"/>
      <c r="E655" s="85"/>
      <c r="F655" s="119"/>
      <c r="G655" s="120"/>
      <c r="H655" s="121"/>
      <c r="J655" s="55"/>
      <c r="K655" s="106"/>
      <c r="L655" s="125"/>
      <c r="M655" s="106"/>
      <c r="N655" s="85"/>
      <c r="O655" s="119"/>
      <c r="P655" s="120"/>
      <c r="Q655" s="121"/>
    </row>
    <row r="661">
      <c r="C661" s="120"/>
      <c r="D661" s="120"/>
      <c r="E661" s="120"/>
      <c r="L661" s="120"/>
      <c r="M661" s="120"/>
      <c r="N661" s="120"/>
    </row>
    <row r="662">
      <c r="C662" s="122"/>
      <c r="D662" s="120"/>
      <c r="E662" s="126"/>
      <c r="L662" s="122"/>
      <c r="M662" s="120"/>
      <c r="N662" s="126"/>
    </row>
    <row r="663">
      <c r="C663" s="122"/>
      <c r="D663" s="126"/>
      <c r="E663" s="120"/>
      <c r="L663" s="122"/>
      <c r="M663" s="126"/>
      <c r="N663" s="120"/>
    </row>
    <row r="664">
      <c r="C664" s="120"/>
      <c r="D664" s="126"/>
      <c r="E664" s="126"/>
      <c r="L664" s="120"/>
      <c r="M664" s="126"/>
      <c r="N664" s="126"/>
    </row>
    <row r="665">
      <c r="C665" s="120"/>
      <c r="D665" s="126"/>
      <c r="E665" s="126"/>
      <c r="L665" s="120"/>
      <c r="M665" s="126"/>
      <c r="N665" s="126"/>
    </row>
    <row r="666">
      <c r="C666" s="120"/>
      <c r="D666" s="126"/>
      <c r="E666" s="126"/>
      <c r="L666" s="120"/>
      <c r="M666" s="126"/>
      <c r="N666" s="126"/>
    </row>
    <row r="667">
      <c r="C667" s="120"/>
      <c r="D667" s="120"/>
      <c r="E667" s="120"/>
      <c r="L667" s="120"/>
      <c r="M667" s="120"/>
      <c r="N667" s="120"/>
    </row>
    <row r="672">
      <c r="B672" s="119"/>
      <c r="C672" s="55"/>
      <c r="D672" s="119"/>
      <c r="E672" s="55"/>
      <c r="F672" s="119"/>
      <c r="G672" s="68"/>
      <c r="H672" s="55"/>
      <c r="K672" s="119"/>
      <c r="L672" s="55"/>
      <c r="M672" s="119"/>
      <c r="N672" s="55"/>
      <c r="O672" s="119"/>
      <c r="P672" s="68"/>
      <c r="Q672" s="55"/>
    </row>
    <row r="673">
      <c r="B673" s="106"/>
      <c r="C673" s="106"/>
      <c r="D673" s="106"/>
      <c r="E673" s="85"/>
      <c r="F673" s="119"/>
      <c r="G673" s="120"/>
      <c r="H673" s="121"/>
      <c r="K673" s="106"/>
      <c r="L673" s="106"/>
      <c r="M673" s="106"/>
      <c r="N673" s="85"/>
      <c r="O673" s="119"/>
      <c r="P673" s="120"/>
      <c r="Q673" s="121"/>
    </row>
    <row r="674">
      <c r="B674" s="106"/>
      <c r="C674" s="96"/>
      <c r="D674" s="106"/>
      <c r="E674" s="85"/>
      <c r="F674" s="119"/>
      <c r="G674" s="122"/>
      <c r="H674" s="121"/>
      <c r="K674" s="106"/>
      <c r="L674" s="96"/>
      <c r="M674" s="106"/>
      <c r="N674" s="85"/>
      <c r="O674" s="119"/>
      <c r="P674" s="122"/>
      <c r="Q674" s="121"/>
    </row>
    <row r="675">
      <c r="B675" s="106"/>
      <c r="C675" s="106"/>
      <c r="D675" s="106"/>
      <c r="E675" s="85"/>
      <c r="F675" s="119"/>
      <c r="G675" s="122"/>
      <c r="H675" s="121"/>
      <c r="K675" s="106"/>
      <c r="L675" s="106"/>
      <c r="M675" s="106"/>
      <c r="N675" s="85"/>
      <c r="O675" s="119"/>
      <c r="P675" s="122"/>
      <c r="Q675" s="121"/>
    </row>
    <row r="676">
      <c r="B676" s="106"/>
      <c r="C676" s="106"/>
      <c r="D676" s="106"/>
      <c r="E676" s="85"/>
      <c r="F676" s="119"/>
      <c r="G676" s="120"/>
      <c r="H676" s="121"/>
      <c r="K676" s="106"/>
      <c r="L676" s="106"/>
      <c r="M676" s="106"/>
      <c r="N676" s="85"/>
      <c r="O676" s="119"/>
      <c r="P676" s="120"/>
      <c r="Q676" s="121"/>
    </row>
    <row r="677">
      <c r="B677" s="106"/>
      <c r="C677" s="106"/>
      <c r="D677" s="106"/>
      <c r="E677" s="85"/>
      <c r="F677" s="119"/>
      <c r="G677" s="123"/>
      <c r="H677" s="121"/>
      <c r="K677" s="106"/>
      <c r="L677" s="106"/>
      <c r="M677" s="106"/>
      <c r="N677" s="85"/>
      <c r="O677" s="119"/>
      <c r="P677" s="123"/>
      <c r="Q677" s="121"/>
    </row>
    <row r="678">
      <c r="B678" s="106"/>
      <c r="C678" s="106"/>
      <c r="D678" s="106"/>
      <c r="E678" s="85"/>
      <c r="F678" s="119"/>
      <c r="G678" s="120"/>
      <c r="H678" s="121"/>
      <c r="K678" s="106"/>
      <c r="L678" s="106"/>
      <c r="M678" s="106"/>
      <c r="N678" s="85"/>
      <c r="O678" s="119"/>
      <c r="P678" s="120"/>
      <c r="Q678" s="121"/>
    </row>
    <row r="679">
      <c r="A679" s="55"/>
      <c r="B679" s="106"/>
      <c r="C679" s="125"/>
      <c r="D679" s="106"/>
      <c r="E679" s="85"/>
      <c r="F679" s="119"/>
      <c r="G679" s="120"/>
      <c r="H679" s="121"/>
      <c r="J679" s="55"/>
      <c r="K679" s="106"/>
      <c r="L679" s="125"/>
      <c r="M679" s="106"/>
      <c r="N679" s="85"/>
      <c r="O679" s="119"/>
      <c r="P679" s="120"/>
      <c r="Q679" s="121"/>
    </row>
    <row r="685">
      <c r="C685" s="120"/>
      <c r="D685" s="120"/>
      <c r="E685" s="120"/>
      <c r="L685" s="120"/>
      <c r="M685" s="120"/>
      <c r="N685" s="120"/>
    </row>
    <row r="686">
      <c r="C686" s="122"/>
      <c r="D686" s="120"/>
      <c r="E686" s="126"/>
      <c r="L686" s="122"/>
      <c r="M686" s="120"/>
      <c r="N686" s="126"/>
    </row>
    <row r="687">
      <c r="C687" s="122"/>
      <c r="D687" s="126"/>
      <c r="E687" s="120"/>
      <c r="L687" s="122"/>
      <c r="M687" s="126"/>
      <c r="N687" s="120"/>
    </row>
    <row r="688">
      <c r="C688" s="120"/>
      <c r="D688" s="126"/>
      <c r="E688" s="126"/>
      <c r="L688" s="120"/>
      <c r="M688" s="126"/>
      <c r="N688" s="126"/>
    </row>
    <row r="689">
      <c r="C689" s="120"/>
      <c r="D689" s="126"/>
      <c r="E689" s="126"/>
      <c r="L689" s="120"/>
      <c r="M689" s="126"/>
      <c r="N689" s="126"/>
    </row>
    <row r="690">
      <c r="C690" s="120"/>
      <c r="D690" s="126"/>
      <c r="E690" s="126"/>
      <c r="L690" s="120"/>
      <c r="M690" s="126"/>
      <c r="N690" s="126"/>
    </row>
    <row r="691">
      <c r="C691" s="120"/>
      <c r="D691" s="120"/>
      <c r="E691" s="120"/>
      <c r="L691" s="120"/>
      <c r="M691" s="120"/>
      <c r="N691" s="120"/>
    </row>
    <row r="696">
      <c r="B696" s="119"/>
      <c r="C696" s="55"/>
      <c r="D696" s="119"/>
      <c r="E696" s="55"/>
      <c r="F696" s="119"/>
      <c r="G696" s="68"/>
      <c r="H696" s="55"/>
      <c r="K696" s="119"/>
      <c r="L696" s="55"/>
      <c r="M696" s="119"/>
      <c r="N696" s="55"/>
      <c r="O696" s="119"/>
      <c r="P696" s="68"/>
      <c r="Q696" s="55"/>
    </row>
    <row r="697">
      <c r="B697" s="106"/>
      <c r="C697" s="106"/>
      <c r="D697" s="106"/>
      <c r="E697" s="85"/>
      <c r="F697" s="119"/>
      <c r="G697" s="120"/>
      <c r="H697" s="121"/>
      <c r="K697" s="106"/>
      <c r="L697" s="106"/>
      <c r="M697" s="106"/>
      <c r="N697" s="85"/>
      <c r="O697" s="119"/>
      <c r="P697" s="120"/>
      <c r="Q697" s="121"/>
    </row>
    <row r="698">
      <c r="B698" s="106"/>
      <c r="C698" s="96"/>
      <c r="D698" s="106"/>
      <c r="E698" s="85"/>
      <c r="F698" s="119"/>
      <c r="G698" s="122"/>
      <c r="H698" s="121"/>
      <c r="K698" s="106"/>
      <c r="L698" s="96"/>
      <c r="M698" s="106"/>
      <c r="N698" s="85"/>
      <c r="O698" s="119"/>
      <c r="P698" s="122"/>
      <c r="Q698" s="121"/>
    </row>
    <row r="699">
      <c r="B699" s="106"/>
      <c r="C699" s="106"/>
      <c r="D699" s="106"/>
      <c r="E699" s="85"/>
      <c r="F699" s="119"/>
      <c r="G699" s="122"/>
      <c r="H699" s="121"/>
      <c r="K699" s="106"/>
      <c r="L699" s="106"/>
      <c r="M699" s="106"/>
      <c r="N699" s="85"/>
      <c r="O699" s="119"/>
      <c r="P699" s="122"/>
      <c r="Q699" s="121"/>
    </row>
    <row r="700">
      <c r="B700" s="106"/>
      <c r="C700" s="106"/>
      <c r="D700" s="106"/>
      <c r="E700" s="85"/>
      <c r="F700" s="119"/>
      <c r="G700" s="120"/>
      <c r="H700" s="121"/>
      <c r="K700" s="106"/>
      <c r="L700" s="106"/>
      <c r="M700" s="106"/>
      <c r="N700" s="85"/>
      <c r="O700" s="119"/>
      <c r="P700" s="120"/>
      <c r="Q700" s="121"/>
    </row>
    <row r="701">
      <c r="B701" s="106"/>
      <c r="C701" s="106"/>
      <c r="D701" s="106"/>
      <c r="E701" s="85"/>
      <c r="F701" s="119"/>
      <c r="G701" s="123"/>
      <c r="H701" s="121"/>
      <c r="K701" s="106"/>
      <c r="L701" s="106"/>
      <c r="M701" s="106"/>
      <c r="N701" s="85"/>
      <c r="O701" s="119"/>
      <c r="P701" s="123"/>
      <c r="Q701" s="121"/>
    </row>
    <row r="702">
      <c r="B702" s="106"/>
      <c r="C702" s="106"/>
      <c r="D702" s="106"/>
      <c r="E702" s="85"/>
      <c r="F702" s="119"/>
      <c r="G702" s="120"/>
      <c r="H702" s="121"/>
      <c r="K702" s="106"/>
      <c r="L702" s="106"/>
      <c r="M702" s="106"/>
      <c r="N702" s="85"/>
      <c r="O702" s="119"/>
      <c r="P702" s="120"/>
      <c r="Q702" s="121"/>
    </row>
    <row r="703">
      <c r="A703" s="55"/>
      <c r="B703" s="106"/>
      <c r="C703" s="125"/>
      <c r="D703" s="106"/>
      <c r="E703" s="85"/>
      <c r="F703" s="119"/>
      <c r="G703" s="120"/>
      <c r="H703" s="121"/>
      <c r="J703" s="55"/>
      <c r="K703" s="106"/>
      <c r="L703" s="125"/>
      <c r="M703" s="106"/>
      <c r="N703" s="85"/>
      <c r="O703" s="119"/>
      <c r="P703" s="120"/>
      <c r="Q703" s="121"/>
    </row>
    <row r="709">
      <c r="C709" s="120"/>
      <c r="D709" s="120"/>
      <c r="E709" s="120"/>
      <c r="L709" s="120"/>
      <c r="M709" s="120"/>
      <c r="N709" s="120"/>
    </row>
    <row r="710">
      <c r="C710" s="122"/>
      <c r="D710" s="120"/>
      <c r="E710" s="126"/>
      <c r="L710" s="122"/>
      <c r="M710" s="120"/>
      <c r="N710" s="126"/>
    </row>
    <row r="711">
      <c r="C711" s="122"/>
      <c r="D711" s="126"/>
      <c r="E711" s="120"/>
      <c r="L711" s="122"/>
      <c r="M711" s="126"/>
      <c r="N711" s="120"/>
    </row>
    <row r="712">
      <c r="C712" s="120"/>
      <c r="D712" s="126"/>
      <c r="E712" s="126"/>
      <c r="L712" s="120"/>
      <c r="M712" s="126"/>
      <c r="N712" s="126"/>
    </row>
    <row r="713">
      <c r="C713" s="120"/>
      <c r="D713" s="126"/>
      <c r="E713" s="126"/>
      <c r="L713" s="120"/>
      <c r="M713" s="126"/>
      <c r="N713" s="126"/>
    </row>
    <row r="714">
      <c r="C714" s="120"/>
      <c r="D714" s="126"/>
      <c r="E714" s="126"/>
      <c r="L714" s="120"/>
      <c r="M714" s="126"/>
      <c r="N714" s="126"/>
    </row>
    <row r="715">
      <c r="C715" s="120"/>
      <c r="D715" s="120"/>
      <c r="E715" s="120"/>
      <c r="L715" s="120"/>
      <c r="M715" s="120"/>
      <c r="N715" s="120"/>
    </row>
    <row r="720">
      <c r="B720" s="119"/>
      <c r="C720" s="55"/>
      <c r="D720" s="119"/>
      <c r="E720" s="55"/>
      <c r="F720" s="119"/>
      <c r="G720" s="68"/>
      <c r="H720" s="55"/>
      <c r="K720" s="119"/>
      <c r="L720" s="55"/>
      <c r="M720" s="119"/>
      <c r="N720" s="55"/>
      <c r="O720" s="119"/>
      <c r="P720" s="68"/>
      <c r="Q720" s="55"/>
    </row>
    <row r="721">
      <c r="B721" s="106"/>
      <c r="C721" s="106"/>
      <c r="D721" s="106"/>
      <c r="E721" s="85"/>
      <c r="F721" s="119"/>
      <c r="G721" s="120"/>
      <c r="H721" s="121"/>
      <c r="K721" s="106"/>
      <c r="L721" s="106"/>
      <c r="M721" s="106"/>
      <c r="N721" s="85"/>
      <c r="O721" s="119"/>
      <c r="P721" s="120"/>
      <c r="Q721" s="121"/>
    </row>
    <row r="722">
      <c r="B722" s="106"/>
      <c r="C722" s="96"/>
      <c r="D722" s="106"/>
      <c r="E722" s="85"/>
      <c r="F722" s="119"/>
      <c r="G722" s="122"/>
      <c r="H722" s="121"/>
      <c r="K722" s="106"/>
      <c r="L722" s="96"/>
      <c r="M722" s="106"/>
      <c r="N722" s="85"/>
      <c r="O722" s="119"/>
      <c r="P722" s="122"/>
      <c r="Q722" s="121"/>
    </row>
    <row r="723">
      <c r="B723" s="106"/>
      <c r="C723" s="106"/>
      <c r="D723" s="106"/>
      <c r="E723" s="85"/>
      <c r="F723" s="119"/>
      <c r="G723" s="122"/>
      <c r="H723" s="121"/>
      <c r="K723" s="106"/>
      <c r="L723" s="106"/>
      <c r="M723" s="106"/>
      <c r="N723" s="85"/>
      <c r="O723" s="119"/>
      <c r="P723" s="122"/>
      <c r="Q723" s="121"/>
    </row>
    <row r="724">
      <c r="B724" s="106"/>
      <c r="C724" s="106"/>
      <c r="D724" s="106"/>
      <c r="E724" s="85"/>
      <c r="F724" s="119"/>
      <c r="G724" s="120"/>
      <c r="H724" s="121"/>
      <c r="K724" s="106"/>
      <c r="L724" s="106"/>
      <c r="M724" s="106"/>
      <c r="N724" s="85"/>
      <c r="O724" s="119"/>
      <c r="P724" s="120"/>
      <c r="Q724" s="121"/>
    </row>
    <row r="725">
      <c r="B725" s="106"/>
      <c r="C725" s="106"/>
      <c r="D725" s="106"/>
      <c r="E725" s="85"/>
      <c r="F725" s="119"/>
      <c r="G725" s="123"/>
      <c r="H725" s="121"/>
      <c r="K725" s="106"/>
      <c r="L725" s="106"/>
      <c r="M725" s="106"/>
      <c r="N725" s="85"/>
      <c r="O725" s="119"/>
      <c r="P725" s="123"/>
      <c r="Q725" s="121"/>
    </row>
    <row r="726">
      <c r="B726" s="106"/>
      <c r="C726" s="106"/>
      <c r="D726" s="106"/>
      <c r="E726" s="85"/>
      <c r="F726" s="119"/>
      <c r="G726" s="120"/>
      <c r="H726" s="121"/>
      <c r="K726" s="106"/>
      <c r="L726" s="106"/>
      <c r="M726" s="106"/>
      <c r="N726" s="85"/>
      <c r="O726" s="119"/>
      <c r="P726" s="120"/>
      <c r="Q726" s="121"/>
    </row>
    <row r="727">
      <c r="A727" s="55"/>
      <c r="B727" s="106"/>
      <c r="C727" s="125"/>
      <c r="D727" s="106"/>
      <c r="E727" s="85"/>
      <c r="F727" s="119"/>
      <c r="G727" s="120"/>
      <c r="H727" s="121"/>
      <c r="J727" s="55"/>
      <c r="K727" s="106"/>
      <c r="L727" s="125"/>
      <c r="M727" s="106"/>
      <c r="N727" s="85"/>
      <c r="O727" s="119"/>
      <c r="P727" s="120"/>
      <c r="Q727" s="121"/>
    </row>
    <row r="733">
      <c r="C733" s="120"/>
      <c r="D733" s="120"/>
      <c r="E733" s="120"/>
      <c r="L733" s="120"/>
      <c r="M733" s="120"/>
      <c r="N733" s="120"/>
    </row>
    <row r="734">
      <c r="C734" s="122"/>
      <c r="D734" s="120"/>
      <c r="E734" s="126"/>
      <c r="L734" s="122"/>
      <c r="M734" s="120"/>
      <c r="N734" s="126"/>
    </row>
    <row r="735">
      <c r="C735" s="122"/>
      <c r="D735" s="126"/>
      <c r="E735" s="120"/>
      <c r="L735" s="122"/>
      <c r="M735" s="126"/>
      <c r="N735" s="120"/>
    </row>
    <row r="736">
      <c r="C736" s="120"/>
      <c r="D736" s="126"/>
      <c r="E736" s="126"/>
      <c r="L736" s="120"/>
      <c r="M736" s="126"/>
      <c r="N736" s="126"/>
    </row>
    <row r="737">
      <c r="C737" s="120"/>
      <c r="D737" s="126"/>
      <c r="E737" s="126"/>
      <c r="L737" s="120"/>
      <c r="M737" s="126"/>
      <c r="N737" s="126"/>
    </row>
    <row r="738">
      <c r="C738" s="120"/>
      <c r="D738" s="126"/>
      <c r="E738" s="126"/>
      <c r="L738" s="120"/>
      <c r="M738" s="126"/>
      <c r="N738" s="126"/>
    </row>
    <row r="739">
      <c r="C739" s="120"/>
      <c r="D739" s="120"/>
      <c r="E739" s="120"/>
      <c r="L739" s="120"/>
      <c r="M739" s="120"/>
      <c r="N739" s="120"/>
    </row>
    <row r="744">
      <c r="B744" s="119"/>
      <c r="C744" s="55"/>
      <c r="D744" s="119"/>
      <c r="E744" s="55"/>
      <c r="F744" s="119"/>
      <c r="G744" s="68"/>
      <c r="H744" s="55"/>
      <c r="K744" s="119"/>
      <c r="L744" s="55"/>
      <c r="M744" s="119"/>
      <c r="N744" s="55"/>
      <c r="O744" s="119"/>
      <c r="P744" s="68"/>
      <c r="Q744" s="55"/>
    </row>
    <row r="745">
      <c r="B745" s="106"/>
      <c r="C745" s="106"/>
      <c r="D745" s="106"/>
      <c r="E745" s="85"/>
      <c r="F745" s="119"/>
      <c r="G745" s="120"/>
      <c r="H745" s="121"/>
      <c r="K745" s="106"/>
      <c r="L745" s="106"/>
      <c r="M745" s="106"/>
      <c r="N745" s="85"/>
      <c r="O745" s="119"/>
      <c r="P745" s="120"/>
      <c r="Q745" s="121"/>
    </row>
    <row r="746">
      <c r="B746" s="106"/>
      <c r="C746" s="96"/>
      <c r="D746" s="106"/>
      <c r="E746" s="85"/>
      <c r="F746" s="119"/>
      <c r="G746" s="122"/>
      <c r="H746" s="121"/>
      <c r="K746" s="106"/>
      <c r="L746" s="96"/>
      <c r="M746" s="106"/>
      <c r="N746" s="85"/>
      <c r="O746" s="119"/>
      <c r="P746" s="122"/>
      <c r="Q746" s="121"/>
    </row>
    <row r="747">
      <c r="B747" s="106"/>
      <c r="C747" s="106"/>
      <c r="D747" s="106"/>
      <c r="E747" s="85"/>
      <c r="F747" s="119"/>
      <c r="G747" s="122"/>
      <c r="H747" s="121"/>
      <c r="K747" s="106"/>
      <c r="L747" s="106"/>
      <c r="M747" s="106"/>
      <c r="N747" s="85"/>
      <c r="O747" s="119"/>
      <c r="P747" s="122"/>
      <c r="Q747" s="121"/>
    </row>
    <row r="748">
      <c r="B748" s="106"/>
      <c r="C748" s="106"/>
      <c r="D748" s="106"/>
      <c r="E748" s="85"/>
      <c r="F748" s="119"/>
      <c r="G748" s="120"/>
      <c r="H748" s="121"/>
      <c r="K748" s="106"/>
      <c r="L748" s="106"/>
      <c r="M748" s="106"/>
      <c r="N748" s="85"/>
      <c r="O748" s="119"/>
      <c r="P748" s="120"/>
      <c r="Q748" s="121"/>
    </row>
    <row r="749">
      <c r="B749" s="106"/>
      <c r="C749" s="106"/>
      <c r="D749" s="106"/>
      <c r="E749" s="85"/>
      <c r="F749" s="119"/>
      <c r="G749" s="123"/>
      <c r="H749" s="121"/>
      <c r="K749" s="106"/>
      <c r="L749" s="106"/>
      <c r="M749" s="106"/>
      <c r="N749" s="85"/>
      <c r="O749" s="119"/>
      <c r="P749" s="123"/>
      <c r="Q749" s="121"/>
    </row>
    <row r="750">
      <c r="B750" s="106"/>
      <c r="C750" s="106"/>
      <c r="D750" s="106"/>
      <c r="E750" s="85"/>
      <c r="F750" s="119"/>
      <c r="G750" s="120"/>
      <c r="H750" s="121"/>
      <c r="K750" s="106"/>
      <c r="L750" s="106"/>
      <c r="M750" s="106"/>
      <c r="N750" s="85"/>
      <c r="O750" s="119"/>
      <c r="P750" s="120"/>
      <c r="Q750" s="121"/>
    </row>
    <row r="751">
      <c r="A751" s="55"/>
      <c r="B751" s="106"/>
      <c r="C751" s="125"/>
      <c r="D751" s="106"/>
      <c r="E751" s="85"/>
      <c r="F751" s="119"/>
      <c r="G751" s="120"/>
      <c r="H751" s="121"/>
      <c r="J751" s="55"/>
      <c r="K751" s="106"/>
      <c r="L751" s="125"/>
      <c r="M751" s="106"/>
      <c r="N751" s="85"/>
      <c r="O751" s="119"/>
      <c r="P751" s="120"/>
      <c r="Q751" s="121"/>
    </row>
    <row r="757">
      <c r="C757" s="120"/>
      <c r="D757" s="120"/>
      <c r="E757" s="120"/>
      <c r="L757" s="120"/>
      <c r="M757" s="120"/>
      <c r="N757" s="120"/>
    </row>
    <row r="758">
      <c r="C758" s="122"/>
      <c r="D758" s="120"/>
      <c r="E758" s="126"/>
      <c r="L758" s="122"/>
      <c r="M758" s="120"/>
      <c r="N758" s="126"/>
    </row>
    <row r="759">
      <c r="C759" s="122"/>
      <c r="D759" s="126"/>
      <c r="E759" s="120"/>
      <c r="L759" s="122"/>
      <c r="M759" s="126"/>
      <c r="N759" s="120"/>
    </row>
    <row r="760">
      <c r="C760" s="120"/>
      <c r="D760" s="126"/>
      <c r="E760" s="126"/>
      <c r="L760" s="120"/>
      <c r="M760" s="126"/>
      <c r="N760" s="126"/>
    </row>
    <row r="761">
      <c r="C761" s="120"/>
      <c r="D761" s="126"/>
      <c r="E761" s="126"/>
      <c r="L761" s="120"/>
      <c r="M761" s="126"/>
      <c r="N761" s="126"/>
    </row>
    <row r="762">
      <c r="C762" s="120"/>
      <c r="D762" s="126"/>
      <c r="E762" s="126"/>
      <c r="L762" s="120"/>
      <c r="M762" s="126"/>
      <c r="N762" s="126"/>
    </row>
    <row r="763">
      <c r="C763" s="120"/>
      <c r="D763" s="120"/>
      <c r="E763" s="120"/>
      <c r="L763" s="120"/>
      <c r="M763" s="120"/>
      <c r="N763" s="120"/>
    </row>
    <row r="768">
      <c r="B768" s="119"/>
      <c r="C768" s="55"/>
      <c r="D768" s="119"/>
      <c r="E768" s="55"/>
      <c r="F768" s="119"/>
      <c r="G768" s="68"/>
      <c r="H768" s="55"/>
      <c r="K768" s="119"/>
      <c r="L768" s="55"/>
      <c r="M768" s="119"/>
      <c r="N768" s="55"/>
      <c r="O768" s="119"/>
      <c r="P768" s="68"/>
      <c r="Q768" s="55"/>
    </row>
    <row r="769">
      <c r="B769" s="106"/>
      <c r="C769" s="106"/>
      <c r="D769" s="106"/>
      <c r="E769" s="85"/>
      <c r="F769" s="119"/>
      <c r="G769" s="120"/>
      <c r="H769" s="121"/>
      <c r="K769" s="106"/>
      <c r="L769" s="106"/>
      <c r="M769" s="106"/>
      <c r="N769" s="85"/>
      <c r="O769" s="119"/>
      <c r="P769" s="120"/>
      <c r="Q769" s="121"/>
    </row>
    <row r="770">
      <c r="B770" s="106"/>
      <c r="C770" s="96"/>
      <c r="D770" s="106"/>
      <c r="E770" s="85"/>
      <c r="F770" s="119"/>
      <c r="G770" s="122"/>
      <c r="H770" s="121"/>
      <c r="K770" s="106"/>
      <c r="L770" s="96"/>
      <c r="M770" s="106"/>
      <c r="N770" s="85"/>
      <c r="O770" s="119"/>
      <c r="P770" s="122"/>
      <c r="Q770" s="121"/>
    </row>
    <row r="771">
      <c r="B771" s="106"/>
      <c r="C771" s="106"/>
      <c r="D771" s="106"/>
      <c r="E771" s="85"/>
      <c r="F771" s="119"/>
      <c r="G771" s="122"/>
      <c r="H771" s="121"/>
      <c r="K771" s="106"/>
      <c r="L771" s="106"/>
      <c r="M771" s="106"/>
      <c r="N771" s="85"/>
      <c r="O771" s="119"/>
      <c r="P771" s="122"/>
      <c r="Q771" s="121"/>
    </row>
    <row r="772">
      <c r="B772" s="106"/>
      <c r="C772" s="106"/>
      <c r="D772" s="106"/>
      <c r="E772" s="85"/>
      <c r="F772" s="119"/>
      <c r="G772" s="120"/>
      <c r="H772" s="121"/>
      <c r="K772" s="106"/>
      <c r="L772" s="106"/>
      <c r="M772" s="106"/>
      <c r="N772" s="85"/>
      <c r="O772" s="119"/>
      <c r="P772" s="120"/>
      <c r="Q772" s="121"/>
    </row>
    <row r="773">
      <c r="B773" s="106"/>
      <c r="C773" s="106"/>
      <c r="D773" s="106"/>
      <c r="E773" s="85"/>
      <c r="F773" s="119"/>
      <c r="G773" s="123"/>
      <c r="H773" s="121"/>
      <c r="K773" s="106"/>
      <c r="L773" s="106"/>
      <c r="M773" s="106"/>
      <c r="N773" s="85"/>
      <c r="O773" s="119"/>
      <c r="P773" s="123"/>
      <c r="Q773" s="121"/>
    </row>
    <row r="774">
      <c r="B774" s="106"/>
      <c r="C774" s="106"/>
      <c r="D774" s="106"/>
      <c r="E774" s="85"/>
      <c r="F774" s="119"/>
      <c r="G774" s="120"/>
      <c r="H774" s="121"/>
      <c r="K774" s="106"/>
      <c r="L774" s="106"/>
      <c r="M774" s="106"/>
      <c r="N774" s="85"/>
      <c r="O774" s="119"/>
      <c r="P774" s="120"/>
      <c r="Q774" s="121"/>
    </row>
    <row r="775">
      <c r="A775" s="55"/>
      <c r="B775" s="106"/>
      <c r="C775" s="125"/>
      <c r="D775" s="106"/>
      <c r="E775" s="85"/>
      <c r="F775" s="119"/>
      <c r="G775" s="120"/>
      <c r="H775" s="121"/>
      <c r="J775" s="55"/>
      <c r="K775" s="106"/>
      <c r="L775" s="125"/>
      <c r="M775" s="106"/>
      <c r="N775" s="85"/>
      <c r="O775" s="119"/>
      <c r="P775" s="120"/>
      <c r="Q775" s="121"/>
    </row>
    <row r="781">
      <c r="C781" s="120"/>
      <c r="D781" s="120"/>
      <c r="E781" s="120"/>
      <c r="L781" s="120"/>
      <c r="M781" s="120"/>
      <c r="N781" s="120"/>
    </row>
    <row r="782">
      <c r="C782" s="122"/>
      <c r="D782" s="120"/>
      <c r="E782" s="126"/>
      <c r="L782" s="122"/>
      <c r="M782" s="120"/>
      <c r="N782" s="126"/>
    </row>
    <row r="783">
      <c r="C783" s="122"/>
      <c r="D783" s="126"/>
      <c r="E783" s="120"/>
      <c r="L783" s="122"/>
      <c r="M783" s="126"/>
      <c r="N783" s="120"/>
    </row>
    <row r="784">
      <c r="C784" s="120"/>
      <c r="D784" s="126"/>
      <c r="E784" s="126"/>
      <c r="L784" s="120"/>
      <c r="M784" s="126"/>
      <c r="N784" s="126"/>
    </row>
    <row r="785">
      <c r="C785" s="120"/>
      <c r="D785" s="126"/>
      <c r="E785" s="126"/>
      <c r="L785" s="120"/>
      <c r="M785" s="126"/>
      <c r="N785" s="126"/>
    </row>
    <row r="786">
      <c r="C786" s="120"/>
      <c r="D786" s="126"/>
      <c r="E786" s="126"/>
      <c r="L786" s="120"/>
      <c r="M786" s="126"/>
      <c r="N786" s="126"/>
    </row>
    <row r="787">
      <c r="C787" s="120"/>
      <c r="D787" s="120"/>
      <c r="E787" s="120"/>
      <c r="L787" s="120"/>
      <c r="M787" s="120"/>
      <c r="N787" s="120"/>
    </row>
    <row r="792">
      <c r="B792" s="119"/>
      <c r="C792" s="55"/>
      <c r="D792" s="119"/>
      <c r="E792" s="55"/>
      <c r="F792" s="119"/>
      <c r="G792" s="68"/>
      <c r="H792" s="55"/>
      <c r="K792" s="119"/>
      <c r="L792" s="55"/>
      <c r="M792" s="119"/>
      <c r="N792" s="55"/>
      <c r="O792" s="119"/>
      <c r="P792" s="68"/>
      <c r="Q792" s="55"/>
    </row>
    <row r="793">
      <c r="B793" s="106"/>
      <c r="C793" s="106"/>
      <c r="D793" s="106"/>
      <c r="E793" s="85"/>
      <c r="F793" s="119"/>
      <c r="G793" s="120"/>
      <c r="H793" s="121"/>
      <c r="K793" s="106"/>
      <c r="L793" s="106"/>
      <c r="M793" s="106"/>
      <c r="N793" s="85"/>
      <c r="O793" s="119"/>
      <c r="P793" s="120"/>
      <c r="Q793" s="121"/>
    </row>
    <row r="794">
      <c r="B794" s="106"/>
      <c r="C794" s="96"/>
      <c r="D794" s="106"/>
      <c r="E794" s="85"/>
      <c r="F794" s="119"/>
      <c r="G794" s="122"/>
      <c r="H794" s="121"/>
      <c r="K794" s="106"/>
      <c r="L794" s="96"/>
      <c r="M794" s="106"/>
      <c r="N794" s="85"/>
      <c r="O794" s="119"/>
      <c r="P794" s="122"/>
      <c r="Q794" s="121"/>
    </row>
    <row r="795">
      <c r="B795" s="106"/>
      <c r="C795" s="106"/>
      <c r="D795" s="106"/>
      <c r="E795" s="85"/>
      <c r="F795" s="119"/>
      <c r="G795" s="122"/>
      <c r="H795" s="121"/>
      <c r="K795" s="106"/>
      <c r="L795" s="106"/>
      <c r="M795" s="106"/>
      <c r="N795" s="85"/>
      <c r="O795" s="119"/>
      <c r="P795" s="122"/>
      <c r="Q795" s="121"/>
    </row>
    <row r="796">
      <c r="B796" s="106"/>
      <c r="C796" s="106"/>
      <c r="D796" s="106"/>
      <c r="E796" s="85"/>
      <c r="F796" s="119"/>
      <c r="G796" s="120"/>
      <c r="H796" s="121"/>
      <c r="K796" s="106"/>
      <c r="L796" s="106"/>
      <c r="M796" s="106"/>
      <c r="N796" s="85"/>
      <c r="O796" s="119"/>
      <c r="P796" s="120"/>
      <c r="Q796" s="121"/>
    </row>
    <row r="797">
      <c r="B797" s="106"/>
      <c r="C797" s="106"/>
      <c r="D797" s="106"/>
      <c r="E797" s="85"/>
      <c r="F797" s="119"/>
      <c r="G797" s="123"/>
      <c r="H797" s="121"/>
      <c r="K797" s="106"/>
      <c r="L797" s="106"/>
      <c r="M797" s="106"/>
      <c r="N797" s="85"/>
      <c r="O797" s="119"/>
      <c r="P797" s="123"/>
      <c r="Q797" s="121"/>
    </row>
    <row r="798">
      <c r="B798" s="106"/>
      <c r="C798" s="106"/>
      <c r="D798" s="106"/>
      <c r="E798" s="85"/>
      <c r="F798" s="119"/>
      <c r="G798" s="120"/>
      <c r="H798" s="121"/>
      <c r="K798" s="106"/>
      <c r="L798" s="106"/>
      <c r="M798" s="106"/>
      <c r="N798" s="85"/>
      <c r="O798" s="119"/>
      <c r="P798" s="120"/>
      <c r="Q798" s="121"/>
    </row>
    <row r="799">
      <c r="A799" s="55"/>
      <c r="B799" s="106"/>
      <c r="C799" s="125"/>
      <c r="D799" s="106"/>
      <c r="E799" s="85"/>
      <c r="F799" s="119"/>
      <c r="G799" s="120"/>
      <c r="H799" s="121"/>
      <c r="J799" s="55"/>
      <c r="K799" s="106"/>
      <c r="L799" s="125"/>
      <c r="M799" s="106"/>
      <c r="N799" s="85"/>
      <c r="O799" s="119"/>
      <c r="P799" s="120"/>
      <c r="Q799" s="121"/>
    </row>
    <row r="805">
      <c r="C805" s="120"/>
      <c r="D805" s="120"/>
      <c r="E805" s="120"/>
      <c r="L805" s="120"/>
      <c r="M805" s="120"/>
      <c r="N805" s="120"/>
    </row>
    <row r="806">
      <c r="C806" s="122"/>
      <c r="D806" s="120"/>
      <c r="E806" s="126"/>
      <c r="L806" s="122"/>
      <c r="M806" s="120"/>
      <c r="N806" s="126"/>
    </row>
    <row r="807">
      <c r="C807" s="122"/>
      <c r="D807" s="126"/>
      <c r="E807" s="120"/>
      <c r="L807" s="122"/>
      <c r="M807" s="126"/>
      <c r="N807" s="120"/>
    </row>
    <row r="808">
      <c r="C808" s="120"/>
      <c r="D808" s="126"/>
      <c r="E808" s="126"/>
      <c r="L808" s="120"/>
      <c r="M808" s="126"/>
      <c r="N808" s="126"/>
    </row>
    <row r="809">
      <c r="C809" s="120"/>
      <c r="D809" s="126"/>
      <c r="E809" s="126"/>
      <c r="L809" s="120"/>
      <c r="M809" s="126"/>
      <c r="N809" s="126"/>
    </row>
    <row r="810">
      <c r="C810" s="120"/>
      <c r="D810" s="126"/>
      <c r="E810" s="126"/>
      <c r="L810" s="120"/>
      <c r="M810" s="126"/>
      <c r="N810" s="126"/>
    </row>
    <row r="811">
      <c r="C811" s="120"/>
      <c r="D811" s="120"/>
      <c r="E811" s="120"/>
      <c r="L811" s="120"/>
      <c r="M811" s="120"/>
      <c r="N811" s="120"/>
    </row>
    <row r="816">
      <c r="B816" s="119"/>
      <c r="C816" s="55"/>
      <c r="D816" s="119"/>
      <c r="E816" s="55"/>
      <c r="F816" s="119"/>
      <c r="G816" s="68"/>
      <c r="H816" s="55"/>
      <c r="K816" s="119"/>
      <c r="L816" s="55"/>
      <c r="M816" s="119"/>
      <c r="N816" s="55"/>
      <c r="O816" s="119"/>
      <c r="P816" s="68"/>
      <c r="Q816" s="55"/>
    </row>
    <row r="817">
      <c r="B817" s="106"/>
      <c r="C817" s="106"/>
      <c r="D817" s="106"/>
      <c r="E817" s="85"/>
      <c r="F817" s="119"/>
      <c r="G817" s="120"/>
      <c r="H817" s="121"/>
      <c r="K817" s="106"/>
      <c r="L817" s="106"/>
      <c r="M817" s="106"/>
      <c r="N817" s="85"/>
      <c r="O817" s="119"/>
      <c r="P817" s="120"/>
      <c r="Q817" s="121"/>
    </row>
    <row r="818">
      <c r="B818" s="106"/>
      <c r="C818" s="96"/>
      <c r="D818" s="106"/>
      <c r="E818" s="85"/>
      <c r="F818" s="119"/>
      <c r="G818" s="122"/>
      <c r="H818" s="121"/>
      <c r="K818" s="106"/>
      <c r="L818" s="96"/>
      <c r="M818" s="106"/>
      <c r="N818" s="85"/>
      <c r="O818" s="119"/>
      <c r="P818" s="122"/>
      <c r="Q818" s="121"/>
    </row>
    <row r="819">
      <c r="B819" s="106"/>
      <c r="C819" s="106"/>
      <c r="D819" s="106"/>
      <c r="E819" s="85"/>
      <c r="F819" s="119"/>
      <c r="G819" s="122"/>
      <c r="H819" s="121"/>
      <c r="K819" s="106"/>
      <c r="L819" s="106"/>
      <c r="M819" s="106"/>
      <c r="N819" s="85"/>
      <c r="O819" s="119"/>
      <c r="P819" s="122"/>
      <c r="Q819" s="121"/>
    </row>
    <row r="820">
      <c r="B820" s="106"/>
      <c r="C820" s="106"/>
      <c r="D820" s="106"/>
      <c r="E820" s="85"/>
      <c r="F820" s="119"/>
      <c r="G820" s="120"/>
      <c r="H820" s="121"/>
      <c r="K820" s="106"/>
      <c r="L820" s="106"/>
      <c r="M820" s="106"/>
      <c r="N820" s="85"/>
      <c r="O820" s="119"/>
      <c r="P820" s="120"/>
      <c r="Q820" s="121"/>
    </row>
    <row r="821">
      <c r="B821" s="106"/>
      <c r="C821" s="106"/>
      <c r="D821" s="106"/>
      <c r="E821" s="85"/>
      <c r="F821" s="119"/>
      <c r="G821" s="123"/>
      <c r="H821" s="121"/>
      <c r="K821" s="106"/>
      <c r="L821" s="106"/>
      <c r="M821" s="106"/>
      <c r="N821" s="85"/>
      <c r="O821" s="119"/>
      <c r="P821" s="123"/>
      <c r="Q821" s="121"/>
    </row>
    <row r="822">
      <c r="B822" s="106"/>
      <c r="C822" s="106"/>
      <c r="D822" s="106"/>
      <c r="E822" s="85"/>
      <c r="F822" s="119"/>
      <c r="G822" s="120"/>
      <c r="H822" s="121"/>
      <c r="K822" s="106"/>
      <c r="L822" s="106"/>
      <c r="M822" s="106"/>
      <c r="N822" s="85"/>
      <c r="O822" s="119"/>
      <c r="P822" s="120"/>
      <c r="Q822" s="121"/>
    </row>
    <row r="823">
      <c r="A823" s="55"/>
      <c r="B823" s="106"/>
      <c r="C823" s="125"/>
      <c r="D823" s="106"/>
      <c r="E823" s="85"/>
      <c r="F823" s="119"/>
      <c r="G823" s="120"/>
      <c r="H823" s="121"/>
      <c r="J823" s="55"/>
      <c r="K823" s="106"/>
      <c r="L823" s="125"/>
      <c r="M823" s="106"/>
      <c r="N823" s="85"/>
      <c r="O823" s="119"/>
      <c r="P823" s="120"/>
      <c r="Q823" s="121"/>
    </row>
    <row r="829">
      <c r="C829" s="120"/>
      <c r="D829" s="120"/>
      <c r="E829" s="120"/>
      <c r="L829" s="120"/>
      <c r="M829" s="120"/>
      <c r="N829" s="120"/>
    </row>
    <row r="830">
      <c r="C830" s="122"/>
      <c r="D830" s="120"/>
      <c r="E830" s="126"/>
      <c r="L830" s="122"/>
      <c r="M830" s="120"/>
      <c r="N830" s="126"/>
    </row>
    <row r="831">
      <c r="C831" s="122"/>
      <c r="D831" s="126"/>
      <c r="E831" s="120"/>
      <c r="L831" s="122"/>
      <c r="M831" s="126"/>
      <c r="N831" s="120"/>
    </row>
    <row r="832">
      <c r="C832" s="120"/>
      <c r="D832" s="126"/>
      <c r="E832" s="126"/>
      <c r="L832" s="120"/>
      <c r="M832" s="126"/>
      <c r="N832" s="126"/>
    </row>
    <row r="833">
      <c r="C833" s="120"/>
      <c r="D833" s="126"/>
      <c r="E833" s="126"/>
      <c r="L833" s="120"/>
      <c r="M833" s="126"/>
      <c r="N833" s="126"/>
    </row>
    <row r="834">
      <c r="C834" s="120"/>
      <c r="D834" s="126"/>
      <c r="E834" s="126"/>
      <c r="L834" s="120"/>
      <c r="M834" s="126"/>
      <c r="N834" s="126"/>
    </row>
    <row r="835">
      <c r="C835" s="120"/>
      <c r="D835" s="120"/>
      <c r="E835" s="120"/>
      <c r="L835" s="120"/>
      <c r="M835" s="120"/>
      <c r="N835" s="120"/>
    </row>
    <row r="840">
      <c r="B840" s="119"/>
      <c r="C840" s="55"/>
      <c r="D840" s="119"/>
      <c r="E840" s="55"/>
      <c r="F840" s="119"/>
      <c r="G840" s="68"/>
      <c r="H840" s="55"/>
      <c r="K840" s="119"/>
      <c r="L840" s="55"/>
      <c r="M840" s="119"/>
      <c r="N840" s="55"/>
      <c r="O840" s="119"/>
      <c r="P840" s="68"/>
      <c r="Q840" s="55"/>
    </row>
    <row r="841">
      <c r="B841" s="106"/>
      <c r="C841" s="106"/>
      <c r="D841" s="106"/>
      <c r="E841" s="85"/>
      <c r="F841" s="119"/>
      <c r="G841" s="120"/>
      <c r="H841" s="121"/>
      <c r="K841" s="106"/>
      <c r="L841" s="106"/>
      <c r="M841" s="106"/>
      <c r="N841" s="85"/>
      <c r="O841" s="119"/>
      <c r="P841" s="120"/>
      <c r="Q841" s="121"/>
    </row>
    <row r="842">
      <c r="B842" s="106"/>
      <c r="C842" s="96"/>
      <c r="D842" s="106"/>
      <c r="E842" s="85"/>
      <c r="F842" s="119"/>
      <c r="G842" s="122"/>
      <c r="H842" s="121"/>
      <c r="K842" s="106"/>
      <c r="L842" s="96"/>
      <c r="M842" s="106"/>
      <c r="N842" s="85"/>
      <c r="O842" s="119"/>
      <c r="P842" s="122"/>
      <c r="Q842" s="121"/>
    </row>
    <row r="843">
      <c r="B843" s="106"/>
      <c r="C843" s="106"/>
      <c r="D843" s="106"/>
      <c r="E843" s="85"/>
      <c r="F843" s="119"/>
      <c r="G843" s="122"/>
      <c r="H843" s="121"/>
      <c r="K843" s="106"/>
      <c r="L843" s="106"/>
      <c r="M843" s="106"/>
      <c r="N843" s="85"/>
      <c r="O843" s="119"/>
      <c r="P843" s="122"/>
      <c r="Q843" s="121"/>
    </row>
    <row r="844">
      <c r="B844" s="106"/>
      <c r="C844" s="106"/>
      <c r="D844" s="106"/>
      <c r="E844" s="85"/>
      <c r="F844" s="119"/>
      <c r="G844" s="120"/>
      <c r="H844" s="121"/>
      <c r="K844" s="106"/>
      <c r="L844" s="106"/>
      <c r="M844" s="106"/>
      <c r="N844" s="85"/>
      <c r="O844" s="119"/>
      <c r="P844" s="120"/>
      <c r="Q844" s="121"/>
    </row>
    <row r="845">
      <c r="B845" s="106"/>
      <c r="C845" s="106"/>
      <c r="D845" s="106"/>
      <c r="E845" s="85"/>
      <c r="F845" s="119"/>
      <c r="G845" s="123"/>
      <c r="H845" s="121"/>
      <c r="K845" s="106"/>
      <c r="L845" s="106"/>
      <c r="M845" s="106"/>
      <c r="N845" s="85"/>
      <c r="O845" s="119"/>
      <c r="P845" s="123"/>
      <c r="Q845" s="121"/>
    </row>
    <row r="846">
      <c r="B846" s="106"/>
      <c r="C846" s="106"/>
      <c r="D846" s="106"/>
      <c r="E846" s="85"/>
      <c r="F846" s="119"/>
      <c r="G846" s="120"/>
      <c r="H846" s="121"/>
      <c r="K846" s="106"/>
      <c r="L846" s="106"/>
      <c r="M846" s="106"/>
      <c r="N846" s="85"/>
      <c r="O846" s="119"/>
      <c r="P846" s="120"/>
      <c r="Q846" s="121"/>
    </row>
    <row r="847">
      <c r="A847" s="55"/>
      <c r="B847" s="106"/>
      <c r="C847" s="125"/>
      <c r="D847" s="106"/>
      <c r="E847" s="85"/>
      <c r="F847" s="119"/>
      <c r="G847" s="120"/>
      <c r="H847" s="121"/>
      <c r="J847" s="55"/>
      <c r="K847" s="106"/>
      <c r="L847" s="125"/>
      <c r="M847" s="106"/>
      <c r="N847" s="85"/>
      <c r="O847" s="119"/>
      <c r="P847" s="120"/>
      <c r="Q847" s="121"/>
    </row>
    <row r="853">
      <c r="C853" s="120"/>
      <c r="D853" s="120"/>
      <c r="E853" s="120"/>
      <c r="L853" s="120"/>
      <c r="M853" s="120"/>
      <c r="N853" s="120"/>
    </row>
    <row r="854">
      <c r="C854" s="122"/>
      <c r="D854" s="120"/>
      <c r="E854" s="126"/>
      <c r="L854" s="122"/>
      <c r="M854" s="120"/>
      <c r="N854" s="126"/>
    </row>
    <row r="855">
      <c r="C855" s="122"/>
      <c r="D855" s="126"/>
      <c r="E855" s="120"/>
      <c r="L855" s="122"/>
      <c r="M855" s="126"/>
      <c r="N855" s="120"/>
    </row>
    <row r="856">
      <c r="C856" s="120"/>
      <c r="D856" s="126"/>
      <c r="E856" s="126"/>
      <c r="L856" s="120"/>
      <c r="M856" s="126"/>
      <c r="N856" s="126"/>
    </row>
    <row r="857">
      <c r="C857" s="120"/>
      <c r="D857" s="126"/>
      <c r="E857" s="126"/>
      <c r="L857" s="120"/>
      <c r="M857" s="126"/>
      <c r="N857" s="126"/>
    </row>
    <row r="858">
      <c r="C858" s="120"/>
      <c r="D858" s="126"/>
      <c r="E858" s="126"/>
      <c r="L858" s="120"/>
      <c r="M858" s="126"/>
      <c r="N858" s="126"/>
    </row>
    <row r="859">
      <c r="C859" s="120"/>
      <c r="D859" s="120"/>
      <c r="E859" s="120"/>
      <c r="L859" s="120"/>
      <c r="M859" s="120"/>
      <c r="N859" s="120"/>
    </row>
    <row r="864">
      <c r="B864" s="119"/>
      <c r="C864" s="55"/>
      <c r="D864" s="119"/>
      <c r="E864" s="55"/>
      <c r="F864" s="119"/>
      <c r="G864" s="68"/>
      <c r="H864" s="55"/>
      <c r="K864" s="119"/>
      <c r="L864" s="55"/>
      <c r="M864" s="119"/>
      <c r="N864" s="55"/>
      <c r="O864" s="119"/>
      <c r="P864" s="68"/>
      <c r="Q864" s="55"/>
    </row>
    <row r="865">
      <c r="B865" s="106"/>
      <c r="C865" s="106"/>
      <c r="D865" s="106"/>
      <c r="E865" s="85"/>
      <c r="F865" s="119"/>
      <c r="G865" s="120"/>
      <c r="H865" s="121"/>
      <c r="K865" s="106"/>
      <c r="L865" s="106"/>
      <c r="M865" s="106"/>
      <c r="N865" s="85"/>
      <c r="O865" s="119"/>
      <c r="P865" s="120"/>
      <c r="Q865" s="121"/>
    </row>
    <row r="866">
      <c r="B866" s="106"/>
      <c r="C866" s="96"/>
      <c r="D866" s="106"/>
      <c r="E866" s="85"/>
      <c r="F866" s="119"/>
      <c r="G866" s="122"/>
      <c r="H866" s="121"/>
      <c r="K866" s="106"/>
      <c r="L866" s="96"/>
      <c r="M866" s="106"/>
      <c r="N866" s="85"/>
      <c r="O866" s="119"/>
      <c r="P866" s="122"/>
      <c r="Q866" s="121"/>
    </row>
    <row r="867">
      <c r="B867" s="106"/>
      <c r="C867" s="106"/>
      <c r="D867" s="106"/>
      <c r="E867" s="85"/>
      <c r="F867" s="119"/>
      <c r="G867" s="122"/>
      <c r="H867" s="121"/>
      <c r="K867" s="106"/>
      <c r="L867" s="106"/>
      <c r="M867" s="106"/>
      <c r="N867" s="85"/>
      <c r="O867" s="119"/>
      <c r="P867" s="122"/>
      <c r="Q867" s="121"/>
    </row>
    <row r="868">
      <c r="B868" s="106"/>
      <c r="C868" s="106"/>
      <c r="D868" s="106"/>
      <c r="E868" s="85"/>
      <c r="F868" s="119"/>
      <c r="G868" s="120"/>
      <c r="H868" s="121"/>
      <c r="K868" s="106"/>
      <c r="L868" s="106"/>
      <c r="M868" s="106"/>
      <c r="N868" s="85"/>
      <c r="O868" s="119"/>
      <c r="P868" s="120"/>
      <c r="Q868" s="121"/>
    </row>
    <row r="869">
      <c r="B869" s="106"/>
      <c r="C869" s="106"/>
      <c r="D869" s="106"/>
      <c r="E869" s="85"/>
      <c r="F869" s="119"/>
      <c r="G869" s="123"/>
      <c r="H869" s="121"/>
      <c r="K869" s="106"/>
      <c r="L869" s="106"/>
      <c r="M869" s="106"/>
      <c r="N869" s="85"/>
      <c r="O869" s="119"/>
      <c r="P869" s="123"/>
      <c r="Q869" s="121"/>
    </row>
    <row r="870">
      <c r="B870" s="106"/>
      <c r="C870" s="106"/>
      <c r="D870" s="106"/>
      <c r="E870" s="85"/>
      <c r="F870" s="119"/>
      <c r="G870" s="120"/>
      <c r="H870" s="121"/>
      <c r="K870" s="106"/>
      <c r="L870" s="106"/>
      <c r="M870" s="106"/>
      <c r="N870" s="85"/>
      <c r="O870" s="119"/>
      <c r="P870" s="120"/>
      <c r="Q870" s="121"/>
    </row>
    <row r="871">
      <c r="A871" s="55"/>
      <c r="B871" s="106"/>
      <c r="C871" s="125"/>
      <c r="D871" s="106"/>
      <c r="E871" s="85"/>
      <c r="F871" s="119"/>
      <c r="G871" s="120"/>
      <c r="H871" s="121"/>
      <c r="J871" s="55"/>
      <c r="K871" s="106"/>
      <c r="L871" s="125"/>
      <c r="M871" s="106"/>
      <c r="N871" s="85"/>
      <c r="O871" s="119"/>
      <c r="P871" s="120"/>
      <c r="Q871" s="121"/>
    </row>
    <row r="877">
      <c r="C877" s="120"/>
      <c r="D877" s="120"/>
      <c r="E877" s="120"/>
      <c r="L877" s="120"/>
      <c r="M877" s="120"/>
      <c r="N877" s="120"/>
    </row>
    <row r="878">
      <c r="C878" s="122"/>
      <c r="D878" s="120"/>
      <c r="E878" s="126"/>
      <c r="L878" s="122"/>
      <c r="M878" s="120"/>
      <c r="N878" s="126"/>
    </row>
    <row r="879">
      <c r="C879" s="122"/>
      <c r="D879" s="126"/>
      <c r="E879" s="120"/>
      <c r="L879" s="122"/>
      <c r="M879" s="126"/>
      <c r="N879" s="120"/>
    </row>
    <row r="880">
      <c r="C880" s="120"/>
      <c r="D880" s="126"/>
      <c r="E880" s="126"/>
      <c r="L880" s="120"/>
      <c r="M880" s="126"/>
      <c r="N880" s="126"/>
    </row>
    <row r="881">
      <c r="C881" s="120"/>
      <c r="D881" s="126"/>
      <c r="E881" s="126"/>
      <c r="L881" s="120"/>
      <c r="M881" s="126"/>
      <c r="N881" s="126"/>
    </row>
    <row r="882">
      <c r="C882" s="120"/>
      <c r="D882" s="126"/>
      <c r="E882" s="126"/>
      <c r="L882" s="120"/>
      <c r="M882" s="126"/>
      <c r="N882" s="126"/>
    </row>
    <row r="883">
      <c r="C883" s="120"/>
      <c r="D883" s="120"/>
      <c r="E883" s="120"/>
      <c r="L883" s="120"/>
      <c r="M883" s="120"/>
      <c r="N883" s="120"/>
    </row>
    <row r="888">
      <c r="B888" s="119"/>
      <c r="C888" s="55"/>
      <c r="D888" s="119"/>
      <c r="E888" s="55"/>
      <c r="F888" s="119"/>
      <c r="G888" s="68"/>
      <c r="H888" s="55"/>
      <c r="K888" s="119"/>
      <c r="L888" s="55"/>
      <c r="M888" s="119"/>
      <c r="N888" s="55"/>
      <c r="O888" s="119"/>
      <c r="P888" s="68"/>
      <c r="Q888" s="55"/>
    </row>
    <row r="889">
      <c r="B889" s="106"/>
      <c r="C889" s="106"/>
      <c r="D889" s="106"/>
      <c r="E889" s="85"/>
      <c r="F889" s="119"/>
      <c r="G889" s="120"/>
      <c r="H889" s="121"/>
      <c r="K889" s="106"/>
      <c r="L889" s="106"/>
      <c r="M889" s="106"/>
      <c r="N889" s="85"/>
      <c r="O889" s="119"/>
      <c r="P889" s="120"/>
      <c r="Q889" s="121"/>
    </row>
    <row r="890">
      <c r="B890" s="106"/>
      <c r="C890" s="96"/>
      <c r="D890" s="106"/>
      <c r="E890" s="85"/>
      <c r="F890" s="119"/>
      <c r="G890" s="122"/>
      <c r="H890" s="121"/>
      <c r="K890" s="106"/>
      <c r="L890" s="96"/>
      <c r="M890" s="106"/>
      <c r="N890" s="85"/>
      <c r="O890" s="119"/>
      <c r="P890" s="122"/>
      <c r="Q890" s="121"/>
    </row>
    <row r="891">
      <c r="B891" s="106"/>
      <c r="C891" s="106"/>
      <c r="D891" s="106"/>
      <c r="E891" s="85"/>
      <c r="F891" s="119"/>
      <c r="G891" s="122"/>
      <c r="H891" s="121"/>
      <c r="K891" s="106"/>
      <c r="L891" s="106"/>
      <c r="M891" s="106"/>
      <c r="N891" s="85"/>
      <c r="O891" s="119"/>
      <c r="P891" s="122"/>
      <c r="Q891" s="121"/>
    </row>
    <row r="892">
      <c r="B892" s="106"/>
      <c r="C892" s="106"/>
      <c r="D892" s="106"/>
      <c r="E892" s="85"/>
      <c r="F892" s="119"/>
      <c r="G892" s="120"/>
      <c r="H892" s="121"/>
      <c r="K892" s="106"/>
      <c r="L892" s="106"/>
      <c r="M892" s="106"/>
      <c r="N892" s="85"/>
      <c r="O892" s="119"/>
      <c r="P892" s="120"/>
      <c r="Q892" s="121"/>
    </row>
    <row r="893">
      <c r="B893" s="106"/>
      <c r="C893" s="106"/>
      <c r="D893" s="106"/>
      <c r="E893" s="85"/>
      <c r="F893" s="119"/>
      <c r="G893" s="123"/>
      <c r="H893" s="121"/>
      <c r="K893" s="106"/>
      <c r="L893" s="106"/>
      <c r="M893" s="106"/>
      <c r="N893" s="85"/>
      <c r="O893" s="119"/>
      <c r="P893" s="123"/>
      <c r="Q893" s="121"/>
    </row>
    <row r="894">
      <c r="B894" s="106"/>
      <c r="C894" s="106"/>
      <c r="D894" s="106"/>
      <c r="E894" s="85"/>
      <c r="F894" s="119"/>
      <c r="G894" s="120"/>
      <c r="H894" s="121"/>
      <c r="K894" s="106"/>
      <c r="L894" s="106"/>
      <c r="M894" s="106"/>
      <c r="N894" s="85"/>
      <c r="O894" s="119"/>
      <c r="P894" s="120"/>
      <c r="Q894" s="121"/>
    </row>
    <row r="895">
      <c r="A895" s="55"/>
      <c r="B895" s="106"/>
      <c r="C895" s="125"/>
      <c r="D895" s="106"/>
      <c r="E895" s="85"/>
      <c r="F895" s="119"/>
      <c r="G895" s="120"/>
      <c r="H895" s="121"/>
      <c r="J895" s="55"/>
      <c r="K895" s="106"/>
      <c r="L895" s="125"/>
      <c r="M895" s="106"/>
      <c r="N895" s="85"/>
      <c r="O895" s="119"/>
      <c r="P895" s="120"/>
      <c r="Q895" s="121"/>
    </row>
    <row r="901">
      <c r="C901" s="120"/>
      <c r="D901" s="120"/>
      <c r="E901" s="120"/>
      <c r="L901" s="120"/>
      <c r="M901" s="120"/>
      <c r="N901" s="120"/>
    </row>
    <row r="902">
      <c r="C902" s="122"/>
      <c r="D902" s="120"/>
      <c r="E902" s="126"/>
      <c r="L902" s="122"/>
      <c r="M902" s="120"/>
      <c r="N902" s="126"/>
    </row>
    <row r="903">
      <c r="C903" s="122"/>
      <c r="D903" s="126"/>
      <c r="E903" s="120"/>
      <c r="L903" s="122"/>
      <c r="M903" s="126"/>
      <c r="N903" s="120"/>
    </row>
    <row r="904">
      <c r="C904" s="120"/>
      <c r="D904" s="126"/>
      <c r="E904" s="126"/>
      <c r="L904" s="120"/>
      <c r="M904" s="126"/>
      <c r="N904" s="126"/>
    </row>
    <row r="905">
      <c r="C905" s="120"/>
      <c r="D905" s="126"/>
      <c r="E905" s="126"/>
      <c r="L905" s="120"/>
      <c r="M905" s="126"/>
      <c r="N905" s="126"/>
    </row>
    <row r="906">
      <c r="C906" s="120"/>
      <c r="D906" s="126"/>
      <c r="E906" s="126"/>
      <c r="L906" s="120"/>
      <c r="M906" s="126"/>
      <c r="N906" s="126"/>
    </row>
    <row r="907">
      <c r="C907" s="120"/>
      <c r="D907" s="120"/>
      <c r="E907" s="120"/>
      <c r="L907" s="120"/>
      <c r="M907" s="120"/>
      <c r="N907" s="120"/>
    </row>
    <row r="912">
      <c r="B912" s="119"/>
      <c r="C912" s="55"/>
      <c r="D912" s="119"/>
      <c r="E912" s="55"/>
      <c r="F912" s="119"/>
      <c r="G912" s="68"/>
      <c r="H912" s="55"/>
      <c r="K912" s="119"/>
      <c r="L912" s="55"/>
      <c r="M912" s="119"/>
      <c r="N912" s="55"/>
      <c r="O912" s="119"/>
      <c r="P912" s="68"/>
      <c r="Q912" s="55"/>
    </row>
    <row r="913">
      <c r="B913" s="106"/>
      <c r="C913" s="106"/>
      <c r="D913" s="106"/>
      <c r="E913" s="85"/>
      <c r="F913" s="119"/>
      <c r="G913" s="120"/>
      <c r="H913" s="121"/>
      <c r="K913" s="106"/>
      <c r="L913" s="106"/>
      <c r="M913" s="106"/>
      <c r="N913" s="85"/>
      <c r="O913" s="119"/>
      <c r="P913" s="120"/>
      <c r="Q913" s="121"/>
    </row>
    <row r="914">
      <c r="B914" s="106"/>
      <c r="C914" s="96"/>
      <c r="D914" s="106"/>
      <c r="E914" s="85"/>
      <c r="F914" s="119"/>
      <c r="G914" s="122"/>
      <c r="H914" s="121"/>
      <c r="K914" s="106"/>
      <c r="L914" s="96"/>
      <c r="M914" s="106"/>
      <c r="N914" s="85"/>
      <c r="O914" s="119"/>
      <c r="P914" s="122"/>
      <c r="Q914" s="121"/>
    </row>
    <row r="915">
      <c r="B915" s="106"/>
      <c r="C915" s="106"/>
      <c r="D915" s="106"/>
      <c r="E915" s="85"/>
      <c r="F915" s="119"/>
      <c r="G915" s="122"/>
      <c r="H915" s="121"/>
      <c r="K915" s="106"/>
      <c r="L915" s="106"/>
      <c r="M915" s="106"/>
      <c r="N915" s="85"/>
      <c r="O915" s="119"/>
      <c r="P915" s="122"/>
      <c r="Q915" s="121"/>
    </row>
    <row r="916">
      <c r="B916" s="106"/>
      <c r="C916" s="106"/>
      <c r="D916" s="106"/>
      <c r="E916" s="85"/>
      <c r="F916" s="119"/>
      <c r="G916" s="120"/>
      <c r="H916" s="121"/>
      <c r="K916" s="106"/>
      <c r="L916" s="106"/>
      <c r="M916" s="106"/>
      <c r="N916" s="85"/>
      <c r="O916" s="119"/>
      <c r="P916" s="120"/>
      <c r="Q916" s="121"/>
    </row>
    <row r="917">
      <c r="B917" s="106"/>
      <c r="C917" s="106"/>
      <c r="D917" s="106"/>
      <c r="E917" s="85"/>
      <c r="F917" s="119"/>
      <c r="G917" s="123"/>
      <c r="H917" s="121"/>
      <c r="K917" s="106"/>
      <c r="L917" s="106"/>
      <c r="M917" s="106"/>
      <c r="N917" s="85"/>
      <c r="O917" s="119"/>
      <c r="P917" s="123"/>
      <c r="Q917" s="121"/>
    </row>
    <row r="918">
      <c r="B918" s="106"/>
      <c r="C918" s="106"/>
      <c r="D918" s="106"/>
      <c r="E918" s="85"/>
      <c r="F918" s="119"/>
      <c r="G918" s="120"/>
      <c r="H918" s="121"/>
      <c r="K918" s="106"/>
      <c r="L918" s="106"/>
      <c r="M918" s="106"/>
      <c r="N918" s="85"/>
      <c r="O918" s="119"/>
      <c r="P918" s="120"/>
      <c r="Q918" s="121"/>
    </row>
    <row r="919">
      <c r="A919" s="55"/>
      <c r="B919" s="106"/>
      <c r="C919" s="125"/>
      <c r="D919" s="106"/>
      <c r="E919" s="85"/>
      <c r="F919" s="119"/>
      <c r="G919" s="120"/>
      <c r="H919" s="121"/>
      <c r="J919" s="55"/>
      <c r="K919" s="106"/>
      <c r="L919" s="125"/>
      <c r="M919" s="106"/>
      <c r="N919" s="85"/>
      <c r="O919" s="119"/>
      <c r="P919" s="120"/>
      <c r="Q919" s="121"/>
    </row>
    <row r="925">
      <c r="C925" s="120"/>
      <c r="D925" s="120"/>
      <c r="E925" s="120"/>
      <c r="L925" s="120"/>
      <c r="M925" s="120"/>
      <c r="N925" s="120"/>
    </row>
    <row r="926">
      <c r="C926" s="122"/>
      <c r="D926" s="120"/>
      <c r="E926" s="126"/>
      <c r="L926" s="122"/>
      <c r="M926" s="120"/>
      <c r="N926" s="126"/>
    </row>
    <row r="927">
      <c r="C927" s="122"/>
      <c r="D927" s="126"/>
      <c r="E927" s="120"/>
      <c r="L927" s="122"/>
      <c r="M927" s="126"/>
      <c r="N927" s="120"/>
    </row>
    <row r="928">
      <c r="C928" s="120"/>
      <c r="D928" s="126"/>
      <c r="E928" s="126"/>
      <c r="L928" s="120"/>
      <c r="M928" s="126"/>
      <c r="N928" s="126"/>
    </row>
    <row r="929">
      <c r="C929" s="120"/>
      <c r="D929" s="126"/>
      <c r="E929" s="126"/>
      <c r="L929" s="120"/>
      <c r="M929" s="126"/>
      <c r="N929" s="126"/>
    </row>
    <row r="930">
      <c r="C930" s="120"/>
      <c r="D930" s="126"/>
      <c r="E930" s="126"/>
      <c r="L930" s="120"/>
      <c r="M930" s="126"/>
      <c r="N930" s="126"/>
    </row>
    <row r="931">
      <c r="C931" s="120"/>
      <c r="D931" s="120"/>
      <c r="E931" s="120"/>
      <c r="L931" s="120"/>
      <c r="M931" s="120"/>
      <c r="N931" s="120"/>
    </row>
    <row r="936">
      <c r="B936" s="119"/>
      <c r="C936" s="55"/>
      <c r="D936" s="119"/>
      <c r="E936" s="55"/>
      <c r="F936" s="119"/>
      <c r="G936" s="68"/>
      <c r="H936" s="55"/>
      <c r="K936" s="119"/>
      <c r="L936" s="55"/>
      <c r="M936" s="119"/>
      <c r="N936" s="55"/>
      <c r="O936" s="119"/>
      <c r="P936" s="68"/>
      <c r="Q936" s="55"/>
    </row>
    <row r="937">
      <c r="B937" s="106"/>
      <c r="C937" s="106"/>
      <c r="D937" s="106"/>
      <c r="E937" s="85"/>
      <c r="F937" s="119"/>
      <c r="G937" s="120"/>
      <c r="H937" s="121"/>
      <c r="K937" s="106"/>
      <c r="L937" s="106"/>
      <c r="M937" s="106"/>
      <c r="N937" s="85"/>
      <c r="O937" s="119"/>
      <c r="P937" s="120"/>
      <c r="Q937" s="121"/>
    </row>
    <row r="938">
      <c r="B938" s="106"/>
      <c r="C938" s="96"/>
      <c r="D938" s="106"/>
      <c r="E938" s="85"/>
      <c r="F938" s="119"/>
      <c r="G938" s="122"/>
      <c r="H938" s="121"/>
      <c r="K938" s="106"/>
      <c r="L938" s="96"/>
      <c r="M938" s="106"/>
      <c r="N938" s="85"/>
      <c r="O938" s="119"/>
      <c r="P938" s="122"/>
      <c r="Q938" s="121"/>
    </row>
    <row r="939">
      <c r="B939" s="106"/>
      <c r="C939" s="106"/>
      <c r="D939" s="106"/>
      <c r="E939" s="85"/>
      <c r="F939" s="119"/>
      <c r="G939" s="122"/>
      <c r="H939" s="121"/>
      <c r="K939" s="106"/>
      <c r="L939" s="106"/>
      <c r="M939" s="106"/>
      <c r="N939" s="85"/>
      <c r="O939" s="119"/>
      <c r="P939" s="122"/>
      <c r="Q939" s="121"/>
    </row>
    <row r="940">
      <c r="B940" s="106"/>
      <c r="C940" s="106"/>
      <c r="D940" s="106"/>
      <c r="E940" s="85"/>
      <c r="F940" s="119"/>
      <c r="G940" s="120"/>
      <c r="H940" s="121"/>
      <c r="K940" s="106"/>
      <c r="L940" s="106"/>
      <c r="M940" s="106"/>
      <c r="N940" s="85"/>
      <c r="O940" s="119"/>
      <c r="P940" s="120"/>
      <c r="Q940" s="121"/>
    </row>
    <row r="941">
      <c r="B941" s="106"/>
      <c r="C941" s="106"/>
      <c r="D941" s="106"/>
      <c r="E941" s="85"/>
      <c r="F941" s="119"/>
      <c r="G941" s="123"/>
      <c r="H941" s="121"/>
      <c r="K941" s="106"/>
      <c r="L941" s="106"/>
      <c r="M941" s="106"/>
      <c r="N941" s="85"/>
      <c r="O941" s="119"/>
      <c r="P941" s="123"/>
      <c r="Q941" s="121"/>
    </row>
    <row r="942">
      <c r="B942" s="106"/>
      <c r="C942" s="106"/>
      <c r="D942" s="106"/>
      <c r="E942" s="85"/>
      <c r="F942" s="119"/>
      <c r="G942" s="120"/>
      <c r="H942" s="121"/>
      <c r="K942" s="106"/>
      <c r="L942" s="106"/>
      <c r="M942" s="106"/>
      <c r="N942" s="85"/>
      <c r="O942" s="119"/>
      <c r="P942" s="120"/>
      <c r="Q942" s="121"/>
    </row>
    <row r="943">
      <c r="A943" s="55"/>
      <c r="B943" s="106"/>
      <c r="C943" s="125"/>
      <c r="D943" s="106"/>
      <c r="E943" s="85"/>
      <c r="F943" s="119"/>
      <c r="G943" s="120"/>
      <c r="H943" s="121"/>
      <c r="J943" s="55"/>
      <c r="K943" s="106"/>
      <c r="L943" s="125"/>
      <c r="M943" s="106"/>
      <c r="N943" s="85"/>
      <c r="O943" s="119"/>
      <c r="P943" s="120"/>
      <c r="Q943" s="121"/>
    </row>
    <row r="949">
      <c r="C949" s="120"/>
      <c r="D949" s="120"/>
      <c r="E949" s="120"/>
      <c r="L949" s="120"/>
      <c r="M949" s="120"/>
      <c r="N949" s="120"/>
    </row>
    <row r="950">
      <c r="C950" s="122"/>
      <c r="D950" s="120"/>
      <c r="E950" s="126"/>
      <c r="L950" s="122"/>
      <c r="M950" s="120"/>
      <c r="N950" s="126"/>
    </row>
    <row r="951">
      <c r="C951" s="122"/>
      <c r="D951" s="126"/>
      <c r="E951" s="120"/>
      <c r="L951" s="122"/>
      <c r="M951" s="126"/>
      <c r="N951" s="120"/>
    </row>
    <row r="952">
      <c r="C952" s="120"/>
      <c r="D952" s="126"/>
      <c r="E952" s="126"/>
      <c r="L952" s="120"/>
      <c r="M952" s="126"/>
      <c r="N952" s="126"/>
    </row>
    <row r="953">
      <c r="C953" s="120"/>
      <c r="D953" s="126"/>
      <c r="E953" s="126"/>
      <c r="L953" s="120"/>
      <c r="M953" s="126"/>
      <c r="N953" s="126"/>
    </row>
    <row r="954">
      <c r="C954" s="120"/>
      <c r="D954" s="126"/>
      <c r="E954" s="126"/>
      <c r="L954" s="120"/>
      <c r="M954" s="126"/>
      <c r="N954" s="126"/>
    </row>
    <row r="955">
      <c r="C955" s="120"/>
      <c r="D955" s="120"/>
      <c r="E955" s="120"/>
      <c r="L955" s="120"/>
      <c r="M955" s="120"/>
      <c r="N955" s="120"/>
    </row>
    <row r="960">
      <c r="B960" s="119"/>
      <c r="C960" s="55"/>
      <c r="D960" s="119"/>
      <c r="E960" s="55"/>
      <c r="F960" s="119"/>
      <c r="G960" s="68"/>
      <c r="H960" s="55"/>
      <c r="K960" s="119"/>
      <c r="L960" s="55"/>
      <c r="M960" s="119"/>
      <c r="N960" s="55"/>
      <c r="O960" s="119"/>
      <c r="P960" s="68"/>
      <c r="Q960" s="55"/>
    </row>
    <row r="961">
      <c r="B961" s="106"/>
      <c r="C961" s="106"/>
      <c r="D961" s="106"/>
      <c r="E961" s="85"/>
      <c r="F961" s="119"/>
      <c r="G961" s="120"/>
      <c r="H961" s="121"/>
      <c r="K961" s="106"/>
      <c r="L961" s="106"/>
      <c r="M961" s="106"/>
      <c r="N961" s="85"/>
      <c r="O961" s="119"/>
      <c r="P961" s="120"/>
      <c r="Q961" s="121"/>
    </row>
    <row r="962">
      <c r="B962" s="106"/>
      <c r="C962" s="96"/>
      <c r="D962" s="106"/>
      <c r="E962" s="85"/>
      <c r="F962" s="119"/>
      <c r="G962" s="122"/>
      <c r="H962" s="121"/>
      <c r="K962" s="106"/>
      <c r="L962" s="96"/>
      <c r="M962" s="106"/>
      <c r="N962" s="85"/>
      <c r="O962" s="119"/>
      <c r="P962" s="122"/>
      <c r="Q962" s="121"/>
    </row>
    <row r="963">
      <c r="B963" s="106"/>
      <c r="C963" s="106"/>
      <c r="D963" s="106"/>
      <c r="E963" s="85"/>
      <c r="F963" s="119"/>
      <c r="G963" s="122"/>
      <c r="H963" s="121"/>
      <c r="K963" s="106"/>
      <c r="L963" s="106"/>
      <c r="M963" s="106"/>
      <c r="N963" s="85"/>
      <c r="O963" s="119"/>
      <c r="P963" s="122"/>
      <c r="Q963" s="121"/>
    </row>
    <row r="964">
      <c r="B964" s="106"/>
      <c r="C964" s="106"/>
      <c r="D964" s="106"/>
      <c r="E964" s="85"/>
      <c r="F964" s="119"/>
      <c r="G964" s="120"/>
      <c r="H964" s="121"/>
      <c r="K964" s="106"/>
      <c r="L964" s="106"/>
      <c r="M964" s="106"/>
      <c r="N964" s="85"/>
      <c r="O964" s="119"/>
      <c r="P964" s="120"/>
      <c r="Q964" s="121"/>
    </row>
    <row r="965">
      <c r="B965" s="106"/>
      <c r="C965" s="106"/>
      <c r="D965" s="106"/>
      <c r="E965" s="85"/>
      <c r="F965" s="119"/>
      <c r="G965" s="123"/>
      <c r="H965" s="121"/>
      <c r="K965" s="106"/>
      <c r="L965" s="106"/>
      <c r="M965" s="106"/>
      <c r="N965" s="85"/>
      <c r="O965" s="119"/>
      <c r="P965" s="123"/>
      <c r="Q965" s="121"/>
    </row>
    <row r="966">
      <c r="B966" s="106"/>
      <c r="C966" s="106"/>
      <c r="D966" s="106"/>
      <c r="E966" s="85"/>
      <c r="F966" s="119"/>
      <c r="G966" s="120"/>
      <c r="H966" s="121"/>
      <c r="K966" s="106"/>
      <c r="L966" s="106"/>
      <c r="M966" s="106"/>
      <c r="N966" s="85"/>
      <c r="O966" s="119"/>
      <c r="P966" s="120"/>
      <c r="Q966" s="121"/>
    </row>
    <row r="967">
      <c r="A967" s="55"/>
      <c r="B967" s="106"/>
      <c r="C967" s="125"/>
      <c r="D967" s="106"/>
      <c r="E967" s="85"/>
      <c r="F967" s="119"/>
      <c r="G967" s="120"/>
      <c r="H967" s="121"/>
      <c r="J967" s="55"/>
      <c r="K967" s="106"/>
      <c r="L967" s="125"/>
      <c r="M967" s="106"/>
      <c r="N967" s="85"/>
      <c r="O967" s="119"/>
      <c r="P967" s="120"/>
      <c r="Q967" s="121"/>
    </row>
    <row r="973">
      <c r="C973" s="120"/>
      <c r="D973" s="120"/>
      <c r="E973" s="120"/>
      <c r="L973" s="120"/>
      <c r="M973" s="120"/>
      <c r="N973" s="120"/>
    </row>
    <row r="974">
      <c r="C974" s="122"/>
      <c r="D974" s="120"/>
      <c r="E974" s="126"/>
      <c r="L974" s="122"/>
      <c r="M974" s="120"/>
      <c r="N974" s="126"/>
    </row>
    <row r="975">
      <c r="C975" s="122"/>
      <c r="D975" s="126"/>
      <c r="E975" s="120"/>
      <c r="L975" s="122"/>
      <c r="M975" s="126"/>
      <c r="N975" s="120"/>
    </row>
    <row r="976">
      <c r="C976" s="120"/>
      <c r="D976" s="126"/>
      <c r="E976" s="126"/>
      <c r="L976" s="120"/>
      <c r="M976" s="126"/>
      <c r="N976" s="126"/>
    </row>
    <row r="977">
      <c r="C977" s="120"/>
      <c r="D977" s="126"/>
      <c r="E977" s="126"/>
      <c r="L977" s="120"/>
      <c r="M977" s="126"/>
      <c r="N977" s="126"/>
    </row>
    <row r="978">
      <c r="C978" s="120"/>
      <c r="D978" s="126"/>
      <c r="E978" s="126"/>
      <c r="L978" s="120"/>
      <c r="M978" s="126"/>
      <c r="N978" s="126"/>
    </row>
    <row r="979">
      <c r="C979" s="120"/>
      <c r="D979" s="120"/>
      <c r="E979" s="120"/>
      <c r="L979" s="120"/>
      <c r="M979" s="120"/>
      <c r="N979" s="120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25"/>
    <col customWidth="1" min="8" max="8" width="89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4.0</v>
      </c>
      <c r="C2" s="71">
        <v>68.98</v>
      </c>
      <c r="D2" s="71">
        <v>115.0</v>
      </c>
      <c r="E2" s="87">
        <f t="shared" ref="E2:E9" si="1">C2/D2</f>
        <v>0.599826087</v>
      </c>
      <c r="F2" s="69">
        <v>1.0</v>
      </c>
      <c r="G2" s="94">
        <v>59.25</v>
      </c>
      <c r="H2" s="107" t="s">
        <v>526</v>
      </c>
    </row>
    <row r="3">
      <c r="A3" s="38" t="s">
        <v>86</v>
      </c>
      <c r="B3" s="112">
        <v>4.0</v>
      </c>
      <c r="C3" s="113">
        <v>34.538</v>
      </c>
      <c r="D3" s="112">
        <v>86.25</v>
      </c>
      <c r="E3" s="87">
        <f t="shared" si="1"/>
        <v>0.4004405797</v>
      </c>
      <c r="F3" s="69">
        <v>1.0</v>
      </c>
      <c r="G3" s="110">
        <v>70.75</v>
      </c>
      <c r="H3" s="107" t="s">
        <v>527</v>
      </c>
    </row>
    <row r="4">
      <c r="A4" s="38" t="s">
        <v>88</v>
      </c>
      <c r="B4" s="112">
        <v>6.0</v>
      </c>
      <c r="C4" s="112">
        <v>42.58</v>
      </c>
      <c r="D4" s="112">
        <v>60.0</v>
      </c>
      <c r="E4" s="87">
        <f t="shared" si="1"/>
        <v>0.7096666667</v>
      </c>
      <c r="F4" s="69">
        <v>0.0</v>
      </c>
      <c r="G4" s="110">
        <v>34.23</v>
      </c>
      <c r="H4" s="107" t="s">
        <v>528</v>
      </c>
    </row>
    <row r="5">
      <c r="A5" s="38" t="s">
        <v>90</v>
      </c>
      <c r="B5" s="112">
        <v>6.0</v>
      </c>
      <c r="C5" s="112">
        <v>84.785</v>
      </c>
      <c r="D5" s="112">
        <v>71.25</v>
      </c>
      <c r="E5" s="87">
        <f t="shared" si="1"/>
        <v>1.189964912</v>
      </c>
      <c r="F5" s="69">
        <v>0.0</v>
      </c>
      <c r="G5" s="111">
        <v>73.48</v>
      </c>
      <c r="H5" s="107" t="s">
        <v>529</v>
      </c>
    </row>
    <row r="6">
      <c r="A6" s="38" t="s">
        <v>91</v>
      </c>
      <c r="B6" s="112">
        <v>16.0</v>
      </c>
      <c r="C6" s="112">
        <v>53.11</v>
      </c>
      <c r="D6" s="112">
        <v>105.0</v>
      </c>
      <c r="E6" s="87">
        <f t="shared" si="1"/>
        <v>0.5058095238</v>
      </c>
      <c r="F6" s="69">
        <v>2.0</v>
      </c>
      <c r="G6" s="114">
        <v>52.42</v>
      </c>
      <c r="H6" s="107" t="s">
        <v>530</v>
      </c>
    </row>
    <row r="7">
      <c r="A7" s="38" t="s">
        <v>94</v>
      </c>
      <c r="B7" s="112">
        <v>12.0</v>
      </c>
      <c r="C7" s="112">
        <v>84.818</v>
      </c>
      <c r="D7" s="112">
        <v>115.0</v>
      </c>
      <c r="E7" s="87">
        <f t="shared" si="1"/>
        <v>0.7375478261</v>
      </c>
      <c r="F7" s="69">
        <v>3.0</v>
      </c>
      <c r="G7" s="111">
        <v>70.8</v>
      </c>
      <c r="H7" s="107" t="s">
        <v>531</v>
      </c>
    </row>
    <row r="8">
      <c r="A8" s="7" t="s">
        <v>96</v>
      </c>
      <c r="B8" s="112">
        <v>3.0</v>
      </c>
      <c r="C8" s="115">
        <v>22.66</v>
      </c>
      <c r="D8" s="112">
        <v>92.0</v>
      </c>
      <c r="E8" s="87">
        <f t="shared" si="1"/>
        <v>0.2463043478</v>
      </c>
      <c r="F8" s="69">
        <v>3.0</v>
      </c>
      <c r="G8" s="111">
        <v>50.55</v>
      </c>
      <c r="H8" s="107" t="s">
        <v>532</v>
      </c>
    </row>
    <row r="9">
      <c r="C9" s="39">
        <f t="shared" ref="C9:D9" si="2">SUM(C2:C8)</f>
        <v>391.471</v>
      </c>
      <c r="D9" s="39">
        <f t="shared" si="2"/>
        <v>644.5</v>
      </c>
      <c r="E9" s="87">
        <f t="shared" si="1"/>
        <v>0.6074026377</v>
      </c>
    </row>
    <row r="12">
      <c r="A12" s="55" t="s">
        <v>533</v>
      </c>
    </row>
    <row r="14">
      <c r="C14" s="94">
        <v>1.0</v>
      </c>
      <c r="D14" s="116" t="s">
        <v>90</v>
      </c>
      <c r="E14" s="116">
        <v>5.23</v>
      </c>
    </row>
    <row r="15">
      <c r="C15" s="110">
        <v>2.0</v>
      </c>
      <c r="D15" s="118" t="s">
        <v>88</v>
      </c>
      <c r="E15" s="117">
        <v>3.34</v>
      </c>
    </row>
    <row r="16">
      <c r="C16" s="110">
        <v>3.0</v>
      </c>
      <c r="D16" s="117" t="s">
        <v>94</v>
      </c>
      <c r="E16" s="118">
        <v>3.15</v>
      </c>
    </row>
    <row r="17">
      <c r="C17" s="111">
        <v>4.0</v>
      </c>
      <c r="D17" s="117" t="s">
        <v>108</v>
      </c>
      <c r="E17" s="117">
        <v>2.66</v>
      </c>
    </row>
    <row r="18">
      <c r="C18" s="111">
        <v>5.0</v>
      </c>
      <c r="D18" s="117" t="s">
        <v>85</v>
      </c>
      <c r="E18" s="117">
        <v>2.52</v>
      </c>
    </row>
    <row r="19">
      <c r="C19" s="111">
        <v>6.0</v>
      </c>
      <c r="D19" s="117" t="s">
        <v>91</v>
      </c>
      <c r="E19" s="117">
        <v>2.44</v>
      </c>
    </row>
    <row r="20">
      <c r="C20" s="111">
        <v>7.0</v>
      </c>
      <c r="D20" s="118" t="s">
        <v>96</v>
      </c>
      <c r="E20" s="118">
        <v>2.02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6" max="6" width="7.38"/>
    <col customWidth="1" min="8" max="8" width="94.75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3.0</v>
      </c>
      <c r="C2" s="71">
        <v>77.182</v>
      </c>
      <c r="D2" s="127">
        <v>100.0</v>
      </c>
      <c r="E2" s="87">
        <f t="shared" ref="E2:E9" si="1">C2/D2</f>
        <v>0.77182</v>
      </c>
      <c r="F2" s="69">
        <v>1.0</v>
      </c>
      <c r="G2" s="94">
        <v>67.0</v>
      </c>
      <c r="H2" s="107" t="s">
        <v>534</v>
      </c>
    </row>
    <row r="3">
      <c r="A3" s="38" t="s">
        <v>86</v>
      </c>
      <c r="B3" s="112">
        <v>1.0</v>
      </c>
      <c r="C3" s="113">
        <v>40.848</v>
      </c>
      <c r="D3" s="128">
        <v>75.0</v>
      </c>
      <c r="E3" s="87">
        <f t="shared" si="1"/>
        <v>0.54464</v>
      </c>
      <c r="F3" s="69">
        <v>0.0</v>
      </c>
      <c r="G3" s="110">
        <v>64.0</v>
      </c>
      <c r="H3" s="107" t="s">
        <v>535</v>
      </c>
    </row>
    <row r="4">
      <c r="A4" s="38" t="s">
        <v>88</v>
      </c>
      <c r="B4" s="112">
        <v>18.0</v>
      </c>
      <c r="C4" s="112">
        <v>65.106</v>
      </c>
      <c r="D4" s="128">
        <v>100.0</v>
      </c>
      <c r="E4" s="87">
        <f t="shared" si="1"/>
        <v>0.65106</v>
      </c>
      <c r="F4" s="69">
        <v>1.0</v>
      </c>
      <c r="G4" s="110">
        <v>63.08</v>
      </c>
      <c r="H4" s="107" t="s">
        <v>536</v>
      </c>
    </row>
    <row r="5">
      <c r="A5" s="38" t="s">
        <v>90</v>
      </c>
      <c r="B5" s="112">
        <v>6.0</v>
      </c>
      <c r="C5" s="112">
        <v>50.176</v>
      </c>
      <c r="D5" s="128">
        <v>60.0</v>
      </c>
      <c r="E5" s="87">
        <f t="shared" si="1"/>
        <v>0.8362666667</v>
      </c>
      <c r="F5" s="69">
        <v>0.0</v>
      </c>
      <c r="G5" s="111">
        <v>41.57</v>
      </c>
      <c r="H5" s="107" t="s">
        <v>534</v>
      </c>
    </row>
    <row r="6">
      <c r="A6" s="38" t="s">
        <v>91</v>
      </c>
      <c r="B6" s="112">
        <v>8.0</v>
      </c>
      <c r="C6" s="112">
        <v>30.894</v>
      </c>
      <c r="D6" s="128">
        <v>50.0</v>
      </c>
      <c r="E6" s="87">
        <f t="shared" si="1"/>
        <v>0.61788</v>
      </c>
      <c r="F6" s="69">
        <v>1.0</v>
      </c>
      <c r="G6" s="114">
        <v>30.52</v>
      </c>
      <c r="H6" s="107" t="s">
        <v>537</v>
      </c>
    </row>
    <row r="7">
      <c r="A7" s="38" t="s">
        <v>94</v>
      </c>
      <c r="B7" s="112">
        <v>16.0</v>
      </c>
      <c r="C7" s="112">
        <v>119.67</v>
      </c>
      <c r="D7" s="128">
        <v>100.0</v>
      </c>
      <c r="E7" s="87">
        <f t="shared" si="1"/>
        <v>1.1967</v>
      </c>
      <c r="F7" s="69">
        <v>2.0</v>
      </c>
      <c r="G7" s="111">
        <v>55.3</v>
      </c>
      <c r="H7" s="107" t="s">
        <v>538</v>
      </c>
    </row>
    <row r="8">
      <c r="A8" s="7" t="s">
        <v>96</v>
      </c>
      <c r="B8" s="112">
        <v>8.0</v>
      </c>
      <c r="C8" s="115">
        <v>57.195</v>
      </c>
      <c r="D8" s="128">
        <v>80.0</v>
      </c>
      <c r="E8" s="87">
        <f t="shared" si="1"/>
        <v>0.7149375</v>
      </c>
      <c r="F8" s="69">
        <v>1.0</v>
      </c>
      <c r="G8" s="111">
        <v>58.47</v>
      </c>
      <c r="H8" s="107" t="s">
        <v>539</v>
      </c>
    </row>
    <row r="9">
      <c r="C9" s="39">
        <f t="shared" ref="C9:D9" si="2">SUM(C2:C8)</f>
        <v>441.071</v>
      </c>
      <c r="D9" s="39">
        <f t="shared" si="2"/>
        <v>565</v>
      </c>
      <c r="E9" s="87">
        <f t="shared" si="1"/>
        <v>0.7806566372</v>
      </c>
    </row>
    <row r="11">
      <c r="E11" s="94">
        <v>1.0</v>
      </c>
      <c r="F11" s="116" t="s">
        <v>94</v>
      </c>
      <c r="G11" s="116">
        <v>4.87</v>
      </c>
    </row>
    <row r="12">
      <c r="E12" s="110">
        <v>2.0</v>
      </c>
      <c r="F12" s="118" t="s">
        <v>90</v>
      </c>
      <c r="G12" s="117">
        <v>4.08</v>
      </c>
    </row>
    <row r="13">
      <c r="E13" s="110">
        <v>3.0</v>
      </c>
      <c r="F13" s="117" t="s">
        <v>96</v>
      </c>
      <c r="G13" s="118">
        <v>3.73</v>
      </c>
    </row>
    <row r="14">
      <c r="E14" s="111">
        <v>4.0</v>
      </c>
      <c r="F14" s="117" t="s">
        <v>108</v>
      </c>
      <c r="G14" s="117">
        <v>3.66</v>
      </c>
    </row>
    <row r="15">
      <c r="E15" s="111">
        <v>5.0</v>
      </c>
      <c r="F15" s="117" t="s">
        <v>88</v>
      </c>
      <c r="G15" s="117">
        <v>3.27</v>
      </c>
    </row>
    <row r="16">
      <c r="E16" s="111">
        <v>6.0</v>
      </c>
      <c r="F16" s="117" t="s">
        <v>85</v>
      </c>
      <c r="G16" s="117">
        <v>3.16</v>
      </c>
    </row>
    <row r="17">
      <c r="E17" s="111">
        <v>7.0</v>
      </c>
      <c r="F17" s="118" t="s">
        <v>91</v>
      </c>
      <c r="G17" s="118">
        <v>3.0</v>
      </c>
    </row>
  </sheetData>
  <hyperlinks>
    <hyperlink r:id="rId1" location="gid=1272994502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0.0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6.0</v>
      </c>
      <c r="C2" s="71">
        <v>77.85</v>
      </c>
      <c r="D2" s="127">
        <v>100.0</v>
      </c>
      <c r="E2" s="87">
        <f t="shared" ref="E2:E9" si="1">C2/D2</f>
        <v>0.7785</v>
      </c>
      <c r="F2" s="69">
        <v>2.0</v>
      </c>
      <c r="G2" s="94">
        <v>50.5</v>
      </c>
      <c r="H2" s="129" t="s">
        <v>540</v>
      </c>
    </row>
    <row r="3">
      <c r="A3" s="38" t="s">
        <v>86</v>
      </c>
      <c r="B3" s="112">
        <v>4.0</v>
      </c>
      <c r="C3" s="113">
        <v>65.13</v>
      </c>
      <c r="D3" s="128">
        <v>60.0</v>
      </c>
      <c r="E3" s="87">
        <f t="shared" si="1"/>
        <v>1.0855</v>
      </c>
      <c r="F3" s="69">
        <v>1.0</v>
      </c>
      <c r="G3" s="110">
        <v>58.53</v>
      </c>
      <c r="H3" s="107" t="s">
        <v>541</v>
      </c>
    </row>
    <row r="4">
      <c r="A4" s="38" t="s">
        <v>88</v>
      </c>
      <c r="B4" s="112">
        <v>15.0</v>
      </c>
      <c r="C4" s="112">
        <v>66.045</v>
      </c>
      <c r="D4" s="128">
        <v>100.0</v>
      </c>
      <c r="E4" s="87">
        <f t="shared" si="1"/>
        <v>0.66045</v>
      </c>
      <c r="F4" s="69">
        <v>2.0</v>
      </c>
      <c r="G4" s="110">
        <v>61.58</v>
      </c>
      <c r="H4" s="107" t="s">
        <v>542</v>
      </c>
    </row>
    <row r="5">
      <c r="A5" s="38" t="s">
        <v>90</v>
      </c>
      <c r="B5" s="112">
        <v>4.0</v>
      </c>
      <c r="C5" s="112">
        <v>57.14</v>
      </c>
      <c r="D5" s="128">
        <v>75.0</v>
      </c>
      <c r="E5" s="87">
        <f t="shared" si="1"/>
        <v>0.7618666667</v>
      </c>
      <c r="F5" s="69">
        <v>0.0</v>
      </c>
      <c r="G5" s="111">
        <v>50.58</v>
      </c>
      <c r="H5" s="107" t="s">
        <v>543</v>
      </c>
    </row>
    <row r="6">
      <c r="A6" s="38" t="s">
        <v>91</v>
      </c>
      <c r="B6" s="112">
        <v>17.0</v>
      </c>
      <c r="C6" s="112">
        <v>55.328</v>
      </c>
      <c r="D6" s="128">
        <v>100.0</v>
      </c>
      <c r="E6" s="87">
        <f t="shared" si="1"/>
        <v>0.55328</v>
      </c>
      <c r="F6" s="69">
        <v>3.0</v>
      </c>
      <c r="G6" s="114">
        <v>70.62</v>
      </c>
      <c r="H6" s="107" t="s">
        <v>544</v>
      </c>
    </row>
    <row r="7">
      <c r="A7" s="38" t="s">
        <v>94</v>
      </c>
      <c r="B7" s="112">
        <v>7.0</v>
      </c>
      <c r="C7" s="112">
        <v>108.592</v>
      </c>
      <c r="D7" s="128">
        <v>100.0</v>
      </c>
      <c r="E7" s="87">
        <f t="shared" si="1"/>
        <v>1.08592</v>
      </c>
      <c r="F7" s="69">
        <v>2.0</v>
      </c>
      <c r="G7" s="111">
        <v>96.08</v>
      </c>
      <c r="H7" s="107" t="s">
        <v>545</v>
      </c>
    </row>
    <row r="8">
      <c r="A8" s="7" t="s">
        <v>96</v>
      </c>
      <c r="B8" s="112">
        <v>3.0</v>
      </c>
      <c r="C8" s="115">
        <v>65.02</v>
      </c>
      <c r="D8" s="128">
        <v>80.0</v>
      </c>
      <c r="E8" s="87">
        <f t="shared" si="1"/>
        <v>0.81275</v>
      </c>
      <c r="F8" s="69">
        <v>1.0</v>
      </c>
      <c r="G8" s="111">
        <v>51.6</v>
      </c>
      <c r="H8" s="107" t="s">
        <v>546</v>
      </c>
    </row>
    <row r="9">
      <c r="C9" s="39">
        <f t="shared" ref="C9:D9" si="2">SUM(C2:C8)</f>
        <v>495.105</v>
      </c>
      <c r="D9" s="39">
        <f t="shared" si="2"/>
        <v>615</v>
      </c>
      <c r="E9" s="87">
        <f t="shared" si="1"/>
        <v>0.8050487805</v>
      </c>
    </row>
    <row r="10">
      <c r="D10" s="94">
        <v>1.0</v>
      </c>
      <c r="E10" s="116" t="s">
        <v>108</v>
      </c>
      <c r="F10" s="116">
        <v>4.31</v>
      </c>
    </row>
    <row r="11">
      <c r="D11" s="110">
        <v>2.0</v>
      </c>
      <c r="E11" s="118" t="s">
        <v>90</v>
      </c>
      <c r="F11" s="117">
        <v>4.24</v>
      </c>
    </row>
    <row r="12">
      <c r="D12" s="110">
        <v>3.0</v>
      </c>
      <c r="E12" s="117" t="s">
        <v>94</v>
      </c>
      <c r="F12" s="118">
        <v>4.09</v>
      </c>
    </row>
    <row r="13">
      <c r="D13" s="111">
        <v>4.0</v>
      </c>
      <c r="E13" s="117" t="s">
        <v>96</v>
      </c>
      <c r="F13" s="117">
        <v>3.81</v>
      </c>
    </row>
    <row r="14">
      <c r="D14" s="111">
        <v>5.0</v>
      </c>
      <c r="E14" s="117" t="s">
        <v>85</v>
      </c>
      <c r="F14" s="117">
        <v>3.13</v>
      </c>
    </row>
    <row r="15">
      <c r="D15" s="111">
        <v>6.0</v>
      </c>
      <c r="E15" s="117" t="s">
        <v>88</v>
      </c>
      <c r="F15" s="117">
        <v>3.06</v>
      </c>
    </row>
    <row r="16">
      <c r="D16" s="111">
        <v>7.0</v>
      </c>
      <c r="E16" s="118" t="s">
        <v>91</v>
      </c>
      <c r="F16" s="118">
        <v>2.61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8" max="8" width="90.63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13.0</v>
      </c>
      <c r="C2" s="71">
        <v>54.481</v>
      </c>
      <c r="D2" s="71">
        <v>100.0</v>
      </c>
      <c r="E2" s="87">
        <f t="shared" ref="E2:E9" si="1">C2/D2</f>
        <v>0.54481</v>
      </c>
      <c r="F2" s="69">
        <v>2.0</v>
      </c>
      <c r="G2" s="94">
        <v>49.83</v>
      </c>
      <c r="H2" s="129" t="s">
        <v>547</v>
      </c>
    </row>
    <row r="3">
      <c r="A3" s="38" t="s">
        <v>86</v>
      </c>
      <c r="B3" s="112">
        <v>4.0</v>
      </c>
      <c r="C3" s="113">
        <v>20.838</v>
      </c>
      <c r="D3" s="112">
        <v>67.5</v>
      </c>
      <c r="E3" s="87">
        <f t="shared" si="1"/>
        <v>0.3087111111</v>
      </c>
      <c r="F3" s="69">
        <v>0.0</v>
      </c>
      <c r="G3" s="110">
        <v>35.0</v>
      </c>
      <c r="H3" s="107" t="s">
        <v>548</v>
      </c>
    </row>
    <row r="4">
      <c r="A4" s="38" t="s">
        <v>88</v>
      </c>
      <c r="B4" s="112">
        <v>13.0</v>
      </c>
      <c r="C4" s="112">
        <v>88.1</v>
      </c>
      <c r="D4" s="112">
        <v>100.0</v>
      </c>
      <c r="E4" s="87">
        <f t="shared" si="1"/>
        <v>0.881</v>
      </c>
      <c r="F4" s="69">
        <v>0.0</v>
      </c>
      <c r="G4" s="110">
        <v>76.35</v>
      </c>
      <c r="H4" s="107" t="s">
        <v>549</v>
      </c>
    </row>
    <row r="5">
      <c r="A5" s="38" t="s">
        <v>90</v>
      </c>
      <c r="B5" s="112">
        <v>6.0</v>
      </c>
      <c r="C5" s="112">
        <f>42.803+7.26</f>
        <v>50.063</v>
      </c>
      <c r="D5" s="112">
        <v>75.0</v>
      </c>
      <c r="E5" s="87">
        <f t="shared" si="1"/>
        <v>0.6675066667</v>
      </c>
      <c r="F5" s="69">
        <v>0.0</v>
      </c>
      <c r="G5" s="111">
        <v>39.55</v>
      </c>
      <c r="H5" s="107" t="s">
        <v>550</v>
      </c>
    </row>
    <row r="6">
      <c r="A6" s="38" t="s">
        <v>91</v>
      </c>
      <c r="B6" s="112">
        <v>11.0</v>
      </c>
      <c r="C6" s="112">
        <v>40.825</v>
      </c>
      <c r="D6" s="112">
        <v>100.0</v>
      </c>
      <c r="E6" s="87">
        <f t="shared" si="1"/>
        <v>0.40825</v>
      </c>
      <c r="F6" s="69">
        <v>2.0</v>
      </c>
      <c r="G6" s="114">
        <v>48.5</v>
      </c>
      <c r="H6" s="107" t="s">
        <v>551</v>
      </c>
    </row>
    <row r="7">
      <c r="A7" s="38" t="s">
        <v>94</v>
      </c>
      <c r="B7" s="112">
        <v>9.0</v>
      </c>
      <c r="C7" s="112">
        <v>75.04</v>
      </c>
      <c r="D7" s="112">
        <v>100.0</v>
      </c>
      <c r="E7" s="87">
        <f t="shared" si="1"/>
        <v>0.7504</v>
      </c>
      <c r="F7" s="69">
        <v>5.0</v>
      </c>
      <c r="G7" s="111">
        <v>42.03</v>
      </c>
      <c r="H7" s="107" t="s">
        <v>552</v>
      </c>
    </row>
    <row r="8">
      <c r="A8" s="7" t="s">
        <v>96</v>
      </c>
      <c r="B8" s="112">
        <v>4.0</v>
      </c>
      <c r="C8" s="115">
        <v>75.872</v>
      </c>
      <c r="D8" s="112">
        <v>80.0</v>
      </c>
      <c r="E8" s="87">
        <f t="shared" si="1"/>
        <v>0.9484</v>
      </c>
      <c r="F8" s="69">
        <v>0.0</v>
      </c>
      <c r="G8" s="111">
        <v>53.47</v>
      </c>
      <c r="H8" s="107" t="s">
        <v>553</v>
      </c>
    </row>
    <row r="9">
      <c r="C9" s="39">
        <f t="shared" ref="C9:D9" si="2">SUM(C2:C8)</f>
        <v>405.219</v>
      </c>
      <c r="D9" s="39">
        <f t="shared" si="2"/>
        <v>622.5</v>
      </c>
      <c r="E9" s="87">
        <f t="shared" si="1"/>
        <v>0.6509542169</v>
      </c>
    </row>
    <row r="11">
      <c r="C11" s="94">
        <v>1.0</v>
      </c>
      <c r="D11" s="116" t="s">
        <v>96</v>
      </c>
      <c r="E11" s="116">
        <v>4.5</v>
      </c>
    </row>
    <row r="12">
      <c r="C12" s="110">
        <v>2.0</v>
      </c>
      <c r="D12" s="118" t="s">
        <v>90</v>
      </c>
      <c r="E12" s="118">
        <v>3.68</v>
      </c>
    </row>
    <row r="13">
      <c r="C13" s="110">
        <v>3.0</v>
      </c>
      <c r="D13" s="117" t="s">
        <v>88</v>
      </c>
      <c r="E13" s="117">
        <v>2.84</v>
      </c>
    </row>
    <row r="14">
      <c r="C14" s="111">
        <v>4.0</v>
      </c>
      <c r="D14" s="117" t="s">
        <v>85</v>
      </c>
      <c r="E14" s="117">
        <v>2.81</v>
      </c>
    </row>
    <row r="15">
      <c r="C15" s="111">
        <v>5.0</v>
      </c>
      <c r="D15" s="117" t="s">
        <v>108</v>
      </c>
      <c r="E15" s="117">
        <v>2.76</v>
      </c>
    </row>
    <row r="16">
      <c r="C16" s="111">
        <v>6.0</v>
      </c>
      <c r="D16" s="117" t="s">
        <v>94</v>
      </c>
      <c r="E16" s="117">
        <v>2.52</v>
      </c>
    </row>
    <row r="17">
      <c r="C17" s="111">
        <v>7.0</v>
      </c>
      <c r="D17" s="118" t="s">
        <v>91</v>
      </c>
      <c r="E17" s="118">
        <v>2.2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4" max="4" width="9.0"/>
    <col customWidth="1" min="6" max="6" width="8.13"/>
    <col customWidth="1" min="7" max="7" width="8.88"/>
    <col customWidth="1" min="8" max="8" width="92.88"/>
  </cols>
  <sheetData>
    <row r="1">
      <c r="A1" s="38"/>
      <c r="B1" s="69" t="s">
        <v>180</v>
      </c>
      <c r="C1" s="7" t="s">
        <v>181</v>
      </c>
      <c r="D1" s="69" t="s">
        <v>182</v>
      </c>
      <c r="E1" s="7" t="s">
        <v>163</v>
      </c>
      <c r="F1" s="69" t="s">
        <v>183</v>
      </c>
      <c r="G1" s="92" t="s">
        <v>184</v>
      </c>
      <c r="H1" s="7" t="s">
        <v>185</v>
      </c>
    </row>
    <row r="2">
      <c r="A2" s="38" t="s">
        <v>85</v>
      </c>
      <c r="B2" s="71">
        <v>9.0</v>
      </c>
      <c r="C2" s="71">
        <v>55.5</v>
      </c>
      <c r="D2" s="71">
        <v>100.0</v>
      </c>
      <c r="E2" s="87">
        <f t="shared" ref="E2:E9" si="1">C2/D2</f>
        <v>0.555</v>
      </c>
      <c r="F2" s="69">
        <v>2.0</v>
      </c>
      <c r="G2" s="94">
        <v>34.92</v>
      </c>
      <c r="H2" s="129" t="s">
        <v>554</v>
      </c>
    </row>
    <row r="3">
      <c r="A3" s="38" t="s">
        <v>86</v>
      </c>
      <c r="B3" s="112">
        <v>1.0</v>
      </c>
      <c r="C3" s="113">
        <v>36.432</v>
      </c>
      <c r="D3" s="112">
        <v>52.5</v>
      </c>
      <c r="E3" s="87">
        <f t="shared" si="1"/>
        <v>0.6939428571</v>
      </c>
      <c r="F3" s="69">
        <v>0.0</v>
      </c>
      <c r="G3" s="110">
        <v>60.0</v>
      </c>
      <c r="H3" s="107" t="s">
        <v>555</v>
      </c>
    </row>
    <row r="4">
      <c r="A4" s="38" t="s">
        <v>88</v>
      </c>
      <c r="B4" s="112">
        <v>10.0</v>
      </c>
      <c r="C4" s="112">
        <v>64.395</v>
      </c>
      <c r="D4" s="112">
        <v>95.0</v>
      </c>
      <c r="E4" s="87">
        <f t="shared" si="1"/>
        <v>0.6778421053</v>
      </c>
      <c r="F4" s="69">
        <v>1.0</v>
      </c>
      <c r="G4" s="110">
        <v>60.0</v>
      </c>
      <c r="H4" s="107" t="s">
        <v>556</v>
      </c>
    </row>
    <row r="5">
      <c r="A5" s="38" t="s">
        <v>90</v>
      </c>
      <c r="B5" s="112">
        <v>7.0</v>
      </c>
      <c r="C5" s="112">
        <v>51.925</v>
      </c>
      <c r="D5" s="112">
        <v>37.5</v>
      </c>
      <c r="E5" s="87">
        <f t="shared" si="1"/>
        <v>1.384666667</v>
      </c>
      <c r="F5" s="69">
        <v>0.0</v>
      </c>
      <c r="G5" s="111">
        <v>43.45</v>
      </c>
      <c r="H5" s="107" t="s">
        <v>557</v>
      </c>
    </row>
    <row r="6">
      <c r="A6" s="38" t="s">
        <v>91</v>
      </c>
      <c r="B6" s="112">
        <v>9.0</v>
      </c>
      <c r="C6" s="112">
        <v>32.36</v>
      </c>
      <c r="D6" s="112">
        <v>100.0</v>
      </c>
      <c r="E6" s="87">
        <f t="shared" si="1"/>
        <v>0.3236</v>
      </c>
      <c r="F6" s="69">
        <v>3.0</v>
      </c>
      <c r="G6" s="114">
        <v>43.62</v>
      </c>
      <c r="H6" s="107" t="s">
        <v>558</v>
      </c>
    </row>
    <row r="7">
      <c r="A7" s="38" t="s">
        <v>94</v>
      </c>
      <c r="B7" s="112">
        <v>4.0</v>
      </c>
      <c r="C7" s="112">
        <v>31.97</v>
      </c>
      <c r="D7" s="112">
        <v>85.0</v>
      </c>
      <c r="E7" s="87">
        <f t="shared" si="1"/>
        <v>0.3761176471</v>
      </c>
      <c r="F7" s="69">
        <v>5.0</v>
      </c>
      <c r="G7" s="111">
        <v>42.35</v>
      </c>
      <c r="H7" s="107" t="s">
        <v>559</v>
      </c>
    </row>
    <row r="8">
      <c r="A8" s="7" t="s">
        <v>96</v>
      </c>
      <c r="B8" s="112">
        <v>6.0</v>
      </c>
      <c r="C8" s="115">
        <v>29.872</v>
      </c>
      <c r="D8" s="112">
        <v>80.0</v>
      </c>
      <c r="E8" s="87">
        <f t="shared" si="1"/>
        <v>0.3734</v>
      </c>
      <c r="F8" s="69">
        <v>2.0</v>
      </c>
      <c r="G8" s="111">
        <v>34.0</v>
      </c>
      <c r="H8" s="107" t="s">
        <v>560</v>
      </c>
    </row>
    <row r="9">
      <c r="B9" s="56"/>
      <c r="C9" s="39">
        <f t="shared" ref="C9:D9" si="2">SUM(C2:C8)</f>
        <v>302.454</v>
      </c>
      <c r="D9" s="39">
        <f t="shared" si="2"/>
        <v>550</v>
      </c>
      <c r="E9" s="87">
        <f t="shared" si="1"/>
        <v>0.5499163636</v>
      </c>
      <c r="F9" s="56"/>
    </row>
    <row r="10">
      <c r="B10" s="56"/>
      <c r="D10" s="56"/>
      <c r="F10" s="56"/>
    </row>
    <row r="11">
      <c r="B11" s="56"/>
      <c r="D11" s="94">
        <v>1.0</v>
      </c>
      <c r="E11" s="116" t="s">
        <v>90</v>
      </c>
      <c r="F11" s="116">
        <v>3.65</v>
      </c>
    </row>
    <row r="12">
      <c r="B12" s="56"/>
      <c r="D12" s="110">
        <v>2.0</v>
      </c>
      <c r="E12" s="118" t="s">
        <v>108</v>
      </c>
      <c r="F12" s="118">
        <v>3.2</v>
      </c>
    </row>
    <row r="13">
      <c r="B13" s="56"/>
      <c r="D13" s="110">
        <v>3.0</v>
      </c>
      <c r="E13" s="117" t="s">
        <v>88</v>
      </c>
      <c r="F13" s="117">
        <v>3.15</v>
      </c>
    </row>
    <row r="14">
      <c r="B14" s="56"/>
      <c r="D14" s="111">
        <v>4.0</v>
      </c>
      <c r="E14" s="117" t="s">
        <v>85</v>
      </c>
      <c r="F14" s="117">
        <v>2.42</v>
      </c>
    </row>
    <row r="15">
      <c r="B15" s="56"/>
      <c r="D15" s="111">
        <v>5.0</v>
      </c>
      <c r="E15" s="117" t="s">
        <v>96</v>
      </c>
      <c r="F15" s="130">
        <v>2.33</v>
      </c>
    </row>
    <row r="16">
      <c r="B16" s="56"/>
      <c r="D16" s="111">
        <v>6.0</v>
      </c>
      <c r="E16" s="117" t="s">
        <v>91</v>
      </c>
      <c r="F16" s="117">
        <v>1.68</v>
      </c>
    </row>
    <row r="17">
      <c r="B17" s="56"/>
      <c r="D17" s="111">
        <v>7.0</v>
      </c>
      <c r="E17" s="118" t="s">
        <v>94</v>
      </c>
      <c r="F17" s="118">
        <v>1.56</v>
      </c>
    </row>
    <row r="18">
      <c r="B18" s="56"/>
      <c r="D18" s="56"/>
      <c r="F18" s="56"/>
    </row>
    <row r="19">
      <c r="B19" s="56"/>
      <c r="D19" s="56"/>
      <c r="F19" s="56"/>
    </row>
    <row r="20">
      <c r="B20" s="56"/>
      <c r="D20" s="56"/>
      <c r="F20" s="56"/>
    </row>
    <row r="21">
      <c r="B21" s="56"/>
      <c r="D21" s="56"/>
      <c r="F21" s="56"/>
    </row>
    <row r="22">
      <c r="B22" s="56"/>
      <c r="D22" s="56"/>
      <c r="F22" s="56"/>
    </row>
    <row r="23">
      <c r="B23" s="56"/>
      <c r="D23" s="56"/>
      <c r="F23" s="56"/>
    </row>
    <row r="24">
      <c r="B24" s="56"/>
      <c r="D24" s="56"/>
      <c r="F24" s="56"/>
    </row>
    <row r="25">
      <c r="B25" s="56"/>
      <c r="D25" s="56"/>
      <c r="F25" s="56"/>
    </row>
    <row r="26">
      <c r="B26" s="56"/>
      <c r="D26" s="56"/>
      <c r="F26" s="56"/>
    </row>
    <row r="27">
      <c r="B27" s="56"/>
      <c r="D27" s="56"/>
      <c r="F27" s="56"/>
    </row>
    <row r="28">
      <c r="B28" s="56"/>
      <c r="D28" s="56"/>
      <c r="F28" s="56"/>
    </row>
    <row r="29">
      <c r="B29" s="56"/>
      <c r="D29" s="56"/>
      <c r="F29" s="56"/>
    </row>
    <row r="30">
      <c r="B30" s="56"/>
      <c r="D30" s="56"/>
      <c r="F30" s="56"/>
    </row>
    <row r="31">
      <c r="B31" s="56"/>
      <c r="D31" s="56"/>
      <c r="F31" s="56"/>
    </row>
    <row r="32">
      <c r="B32" s="56"/>
      <c r="D32" s="56"/>
      <c r="F32" s="56"/>
    </row>
    <row r="33">
      <c r="B33" s="56"/>
      <c r="D33" s="56"/>
      <c r="F33" s="56"/>
    </row>
    <row r="34">
      <c r="B34" s="56"/>
      <c r="D34" s="56"/>
      <c r="F34" s="56"/>
    </row>
    <row r="35">
      <c r="B35" s="56"/>
      <c r="D35" s="56"/>
      <c r="F35" s="56"/>
    </row>
    <row r="36">
      <c r="B36" s="56"/>
      <c r="D36" s="56"/>
      <c r="F36" s="56"/>
    </row>
    <row r="37">
      <c r="B37" s="56"/>
      <c r="D37" s="56"/>
      <c r="F37" s="56"/>
    </row>
    <row r="38">
      <c r="B38" s="56"/>
      <c r="D38" s="56"/>
      <c r="F38" s="56"/>
    </row>
    <row r="39">
      <c r="B39" s="56"/>
      <c r="D39" s="56"/>
      <c r="F39" s="56"/>
    </row>
    <row r="40">
      <c r="B40" s="56"/>
      <c r="D40" s="56"/>
      <c r="F40" s="56"/>
    </row>
    <row r="41">
      <c r="B41" s="56"/>
      <c r="D41" s="56"/>
      <c r="F41" s="56"/>
    </row>
    <row r="42">
      <c r="B42" s="56"/>
      <c r="D42" s="56"/>
      <c r="F42" s="56"/>
    </row>
    <row r="43">
      <c r="B43" s="56"/>
      <c r="D43" s="56"/>
      <c r="F43" s="56"/>
    </row>
    <row r="44">
      <c r="B44" s="56"/>
      <c r="D44" s="56"/>
      <c r="F44" s="56"/>
    </row>
    <row r="45">
      <c r="B45" s="56"/>
      <c r="D45" s="56"/>
      <c r="F45" s="56"/>
    </row>
    <row r="46">
      <c r="B46" s="56"/>
      <c r="D46" s="56"/>
      <c r="F46" s="56"/>
    </row>
    <row r="47">
      <c r="B47" s="56"/>
      <c r="D47" s="56"/>
      <c r="F47" s="56"/>
    </row>
    <row r="48">
      <c r="B48" s="56"/>
      <c r="D48" s="56"/>
      <c r="F48" s="56"/>
    </row>
    <row r="49">
      <c r="B49" s="56"/>
      <c r="D49" s="56"/>
      <c r="F49" s="56"/>
    </row>
    <row r="50">
      <c r="B50" s="56"/>
      <c r="D50" s="56"/>
      <c r="F50" s="56"/>
    </row>
    <row r="51">
      <c r="B51" s="56"/>
      <c r="D51" s="56"/>
      <c r="F51" s="56"/>
    </row>
    <row r="52">
      <c r="B52" s="56"/>
      <c r="D52" s="56"/>
      <c r="F52" s="56"/>
    </row>
    <row r="53">
      <c r="B53" s="56"/>
      <c r="D53" s="56"/>
      <c r="F53" s="56"/>
    </row>
    <row r="54">
      <c r="B54" s="56"/>
      <c r="D54" s="56"/>
      <c r="F54" s="56"/>
    </row>
    <row r="55">
      <c r="B55" s="56"/>
      <c r="D55" s="56"/>
      <c r="F55" s="56"/>
    </row>
    <row r="56">
      <c r="B56" s="56"/>
      <c r="D56" s="56"/>
      <c r="F56" s="56"/>
    </row>
    <row r="57">
      <c r="B57" s="56"/>
      <c r="D57" s="56"/>
      <c r="F57" s="56"/>
    </row>
    <row r="58">
      <c r="B58" s="56"/>
      <c r="D58" s="56"/>
      <c r="F58" s="56"/>
    </row>
    <row r="59">
      <c r="B59" s="56"/>
      <c r="D59" s="56"/>
      <c r="F59" s="56"/>
    </row>
    <row r="60">
      <c r="B60" s="56"/>
      <c r="D60" s="56"/>
      <c r="F60" s="56"/>
    </row>
    <row r="61">
      <c r="B61" s="56"/>
      <c r="D61" s="56"/>
      <c r="F61" s="56"/>
    </row>
    <row r="62">
      <c r="B62" s="56"/>
      <c r="D62" s="56"/>
      <c r="F62" s="56"/>
    </row>
    <row r="63">
      <c r="B63" s="56"/>
      <c r="D63" s="56"/>
      <c r="F63" s="56"/>
    </row>
    <row r="64">
      <c r="B64" s="56"/>
      <c r="D64" s="56"/>
      <c r="F64" s="56"/>
    </row>
    <row r="65">
      <c r="B65" s="56"/>
      <c r="D65" s="56"/>
      <c r="F65" s="56"/>
    </row>
    <row r="66">
      <c r="B66" s="56"/>
      <c r="D66" s="56"/>
      <c r="F66" s="56"/>
    </row>
    <row r="67">
      <c r="B67" s="56"/>
      <c r="D67" s="56"/>
      <c r="F67" s="56"/>
    </row>
    <row r="68">
      <c r="B68" s="56"/>
      <c r="D68" s="56"/>
      <c r="F68" s="56"/>
    </row>
    <row r="69">
      <c r="B69" s="56"/>
      <c r="D69" s="56"/>
      <c r="F69" s="56"/>
    </row>
    <row r="70">
      <c r="B70" s="56"/>
      <c r="D70" s="56"/>
      <c r="F70" s="56"/>
    </row>
    <row r="71">
      <c r="B71" s="56"/>
      <c r="D71" s="56"/>
      <c r="F71" s="56"/>
    </row>
    <row r="72">
      <c r="B72" s="56"/>
      <c r="D72" s="56"/>
      <c r="F72" s="56"/>
    </row>
    <row r="73">
      <c r="B73" s="56"/>
      <c r="D73" s="56"/>
      <c r="F73" s="56"/>
    </row>
    <row r="74">
      <c r="B74" s="56"/>
      <c r="D74" s="56"/>
      <c r="F74" s="56"/>
    </row>
    <row r="75">
      <c r="B75" s="56"/>
      <c r="D75" s="56"/>
      <c r="F75" s="56"/>
    </row>
    <row r="76">
      <c r="B76" s="56"/>
      <c r="D76" s="56"/>
      <c r="F76" s="56"/>
    </row>
    <row r="77">
      <c r="B77" s="56"/>
      <c r="D77" s="56"/>
      <c r="F77" s="56"/>
    </row>
    <row r="78">
      <c r="B78" s="56"/>
      <c r="D78" s="56"/>
      <c r="F78" s="56"/>
    </row>
    <row r="79">
      <c r="B79" s="56"/>
      <c r="D79" s="56"/>
      <c r="F79" s="56"/>
    </row>
    <row r="80">
      <c r="B80" s="56"/>
      <c r="D80" s="56"/>
      <c r="F80" s="56"/>
    </row>
    <row r="81">
      <c r="B81" s="56"/>
      <c r="D81" s="56"/>
      <c r="F81" s="56"/>
    </row>
    <row r="82">
      <c r="B82" s="56"/>
      <c r="D82" s="56"/>
      <c r="F82" s="56"/>
    </row>
    <row r="83">
      <c r="B83" s="56"/>
      <c r="D83" s="56"/>
      <c r="F83" s="56"/>
    </row>
    <row r="84">
      <c r="B84" s="56"/>
      <c r="D84" s="56"/>
      <c r="F84" s="56"/>
    </row>
    <row r="85">
      <c r="B85" s="56"/>
      <c r="D85" s="56"/>
      <c r="F85" s="56"/>
    </row>
    <row r="86">
      <c r="B86" s="56"/>
      <c r="D86" s="56"/>
      <c r="F86" s="56"/>
    </row>
    <row r="87">
      <c r="B87" s="56"/>
      <c r="D87" s="56"/>
      <c r="F87" s="56"/>
    </row>
    <row r="88">
      <c r="B88" s="56"/>
      <c r="D88" s="56"/>
      <c r="F88" s="56"/>
    </row>
    <row r="89">
      <c r="B89" s="56"/>
      <c r="D89" s="56"/>
      <c r="F89" s="56"/>
    </row>
    <row r="90">
      <c r="B90" s="56"/>
      <c r="D90" s="56"/>
      <c r="F90" s="56"/>
    </row>
    <row r="91">
      <c r="B91" s="56"/>
      <c r="D91" s="56"/>
      <c r="F91" s="56"/>
    </row>
    <row r="92">
      <c r="B92" s="56"/>
      <c r="D92" s="56"/>
      <c r="F92" s="56"/>
    </row>
    <row r="93">
      <c r="B93" s="56"/>
      <c r="D93" s="56"/>
      <c r="F93" s="56"/>
    </row>
    <row r="94">
      <c r="B94" s="56"/>
      <c r="D94" s="56"/>
      <c r="F94" s="56"/>
    </row>
    <row r="95">
      <c r="B95" s="56"/>
      <c r="D95" s="56"/>
      <c r="F95" s="56"/>
    </row>
    <row r="96">
      <c r="B96" s="56"/>
      <c r="D96" s="56"/>
      <c r="F96" s="56"/>
    </row>
    <row r="97">
      <c r="B97" s="56"/>
      <c r="D97" s="56"/>
      <c r="F97" s="56"/>
    </row>
    <row r="98">
      <c r="B98" s="56"/>
      <c r="D98" s="56"/>
      <c r="F98" s="56"/>
    </row>
    <row r="99">
      <c r="B99" s="56"/>
      <c r="D99" s="56"/>
      <c r="F99" s="56"/>
    </row>
    <row r="100">
      <c r="B100" s="56"/>
      <c r="D100" s="56"/>
      <c r="F100" s="56"/>
    </row>
    <row r="101">
      <c r="B101" s="56"/>
      <c r="D101" s="56"/>
      <c r="F101" s="56"/>
    </row>
    <row r="102">
      <c r="B102" s="56"/>
      <c r="D102" s="56"/>
      <c r="F102" s="56"/>
    </row>
    <row r="103">
      <c r="B103" s="56"/>
      <c r="D103" s="56"/>
      <c r="F103" s="56"/>
    </row>
    <row r="104">
      <c r="B104" s="56"/>
      <c r="D104" s="56"/>
      <c r="F104" s="56"/>
    </row>
    <row r="105">
      <c r="B105" s="56"/>
      <c r="D105" s="56"/>
      <c r="F105" s="56"/>
    </row>
    <row r="106">
      <c r="B106" s="56"/>
      <c r="D106" s="56"/>
      <c r="F106" s="56"/>
    </row>
    <row r="107">
      <c r="B107" s="56"/>
      <c r="D107" s="56"/>
      <c r="F107" s="56"/>
    </row>
    <row r="108">
      <c r="B108" s="56"/>
      <c r="D108" s="56"/>
      <c r="F108" s="56"/>
    </row>
    <row r="109">
      <c r="B109" s="56"/>
      <c r="D109" s="56"/>
      <c r="F109" s="56"/>
    </row>
    <row r="110">
      <c r="B110" s="56"/>
      <c r="D110" s="56"/>
      <c r="F110" s="56"/>
    </row>
    <row r="111">
      <c r="B111" s="56"/>
      <c r="D111" s="56"/>
      <c r="F111" s="56"/>
    </row>
    <row r="112">
      <c r="B112" s="56"/>
      <c r="D112" s="56"/>
      <c r="F112" s="56"/>
    </row>
    <row r="113">
      <c r="B113" s="56"/>
      <c r="D113" s="56"/>
      <c r="F113" s="56"/>
    </row>
    <row r="114">
      <c r="B114" s="56"/>
      <c r="D114" s="56"/>
      <c r="F114" s="56"/>
    </row>
    <row r="115">
      <c r="B115" s="56"/>
      <c r="D115" s="56"/>
      <c r="F115" s="56"/>
    </row>
    <row r="116">
      <c r="B116" s="56"/>
      <c r="D116" s="56"/>
      <c r="F116" s="56"/>
    </row>
    <row r="117">
      <c r="B117" s="56"/>
      <c r="D117" s="56"/>
      <c r="F117" s="56"/>
    </row>
    <row r="118">
      <c r="B118" s="56"/>
      <c r="D118" s="56"/>
      <c r="F118" s="56"/>
    </row>
    <row r="119">
      <c r="B119" s="56"/>
      <c r="D119" s="56"/>
      <c r="F119" s="56"/>
    </row>
    <row r="120">
      <c r="B120" s="56"/>
      <c r="D120" s="56"/>
      <c r="F120" s="56"/>
    </row>
    <row r="121">
      <c r="B121" s="56"/>
      <c r="D121" s="56"/>
      <c r="F121" s="56"/>
    </row>
    <row r="122">
      <c r="B122" s="56"/>
      <c r="D122" s="56"/>
      <c r="F122" s="56"/>
    </row>
    <row r="123">
      <c r="B123" s="56"/>
      <c r="D123" s="56"/>
      <c r="F123" s="56"/>
    </row>
    <row r="124">
      <c r="B124" s="56"/>
      <c r="D124" s="56"/>
      <c r="F124" s="56"/>
    </row>
    <row r="125">
      <c r="B125" s="56"/>
      <c r="D125" s="56"/>
      <c r="F125" s="56"/>
    </row>
    <row r="126">
      <c r="B126" s="56"/>
      <c r="D126" s="56"/>
      <c r="F126" s="56"/>
    </row>
    <row r="127">
      <c r="B127" s="56"/>
      <c r="D127" s="56"/>
      <c r="F127" s="56"/>
    </row>
    <row r="128">
      <c r="B128" s="56"/>
      <c r="D128" s="56"/>
      <c r="F128" s="56"/>
    </row>
    <row r="129">
      <c r="B129" s="56"/>
      <c r="D129" s="56"/>
      <c r="F129" s="56"/>
    </row>
    <row r="130">
      <c r="B130" s="56"/>
      <c r="D130" s="56"/>
      <c r="F130" s="56"/>
    </row>
    <row r="131">
      <c r="B131" s="56"/>
      <c r="D131" s="56"/>
      <c r="F131" s="56"/>
    </row>
    <row r="132">
      <c r="B132" s="56"/>
      <c r="D132" s="56"/>
      <c r="F132" s="56"/>
    </row>
    <row r="133">
      <c r="B133" s="56"/>
      <c r="D133" s="56"/>
      <c r="F133" s="56"/>
    </row>
    <row r="134">
      <c r="B134" s="56"/>
      <c r="D134" s="56"/>
      <c r="F134" s="56"/>
    </row>
    <row r="135">
      <c r="B135" s="56"/>
      <c r="D135" s="56"/>
      <c r="F135" s="56"/>
    </row>
    <row r="136">
      <c r="B136" s="56"/>
      <c r="D136" s="56"/>
      <c r="F136" s="56"/>
    </row>
    <row r="137">
      <c r="B137" s="56"/>
      <c r="D137" s="56"/>
      <c r="F137" s="56"/>
    </row>
    <row r="138">
      <c r="B138" s="56"/>
      <c r="D138" s="56"/>
      <c r="F138" s="56"/>
    </row>
    <row r="139">
      <c r="B139" s="56"/>
      <c r="D139" s="56"/>
      <c r="F139" s="56"/>
    </row>
    <row r="140">
      <c r="B140" s="56"/>
      <c r="D140" s="56"/>
      <c r="F140" s="56"/>
    </row>
    <row r="141">
      <c r="B141" s="56"/>
      <c r="D141" s="56"/>
      <c r="F141" s="56"/>
    </row>
    <row r="142">
      <c r="B142" s="56"/>
      <c r="D142" s="56"/>
      <c r="F142" s="56"/>
    </row>
    <row r="143">
      <c r="B143" s="56"/>
      <c r="D143" s="56"/>
      <c r="F143" s="56"/>
    </row>
    <row r="144">
      <c r="B144" s="56"/>
      <c r="D144" s="56"/>
      <c r="F144" s="56"/>
    </row>
    <row r="145">
      <c r="B145" s="56"/>
      <c r="D145" s="56"/>
      <c r="F145" s="56"/>
    </row>
    <row r="146">
      <c r="B146" s="56"/>
      <c r="D146" s="56"/>
      <c r="F146" s="56"/>
    </row>
    <row r="147">
      <c r="B147" s="56"/>
      <c r="D147" s="56"/>
      <c r="F147" s="56"/>
    </row>
    <row r="148">
      <c r="B148" s="56"/>
      <c r="D148" s="56"/>
      <c r="F148" s="56"/>
    </row>
    <row r="149">
      <c r="B149" s="56"/>
      <c r="D149" s="56"/>
      <c r="F149" s="56"/>
    </row>
    <row r="150">
      <c r="B150" s="56"/>
      <c r="D150" s="56"/>
      <c r="F150" s="56"/>
    </row>
    <row r="151">
      <c r="B151" s="56"/>
      <c r="D151" s="56"/>
      <c r="F151" s="56"/>
    </row>
    <row r="152">
      <c r="B152" s="56"/>
      <c r="D152" s="56"/>
      <c r="F152" s="56"/>
    </row>
    <row r="153">
      <c r="B153" s="56"/>
      <c r="D153" s="56"/>
      <c r="F153" s="56"/>
    </row>
    <row r="154">
      <c r="B154" s="56"/>
      <c r="D154" s="56"/>
      <c r="F154" s="56"/>
    </row>
    <row r="155">
      <c r="B155" s="56"/>
      <c r="D155" s="56"/>
      <c r="F155" s="56"/>
    </row>
    <row r="156">
      <c r="B156" s="56"/>
      <c r="D156" s="56"/>
      <c r="F156" s="56"/>
    </row>
    <row r="157">
      <c r="B157" s="56"/>
      <c r="D157" s="56"/>
      <c r="F157" s="56"/>
    </row>
    <row r="158">
      <c r="B158" s="56"/>
      <c r="D158" s="56"/>
      <c r="F158" s="56"/>
    </row>
    <row r="159">
      <c r="B159" s="56"/>
      <c r="D159" s="56"/>
      <c r="F159" s="56"/>
    </row>
    <row r="160">
      <c r="B160" s="56"/>
      <c r="D160" s="56"/>
      <c r="F160" s="56"/>
    </row>
    <row r="161">
      <c r="B161" s="56"/>
      <c r="D161" s="56"/>
      <c r="F161" s="56"/>
    </row>
    <row r="162">
      <c r="B162" s="56"/>
      <c r="D162" s="56"/>
      <c r="F162" s="56"/>
    </row>
    <row r="163">
      <c r="B163" s="56"/>
      <c r="D163" s="56"/>
      <c r="F163" s="56"/>
    </row>
    <row r="164">
      <c r="B164" s="56"/>
      <c r="D164" s="56"/>
      <c r="F164" s="56"/>
    </row>
    <row r="165">
      <c r="B165" s="56"/>
      <c r="D165" s="56"/>
      <c r="F165" s="56"/>
    </row>
    <row r="166">
      <c r="B166" s="56"/>
      <c r="D166" s="56"/>
      <c r="F166" s="56"/>
    </row>
    <row r="167">
      <c r="B167" s="56"/>
      <c r="D167" s="56"/>
      <c r="F167" s="56"/>
    </row>
    <row r="168">
      <c r="B168" s="56"/>
      <c r="D168" s="56"/>
      <c r="F168" s="56"/>
    </row>
    <row r="169">
      <c r="B169" s="56"/>
      <c r="D169" s="56"/>
      <c r="F169" s="56"/>
    </row>
    <row r="170">
      <c r="B170" s="56"/>
      <c r="D170" s="56"/>
      <c r="F170" s="56"/>
    </row>
    <row r="171">
      <c r="B171" s="56"/>
      <c r="D171" s="56"/>
      <c r="F171" s="56"/>
    </row>
    <row r="172">
      <c r="B172" s="56"/>
      <c r="D172" s="56"/>
      <c r="F172" s="56"/>
    </row>
    <row r="173">
      <c r="B173" s="56"/>
      <c r="D173" s="56"/>
      <c r="F173" s="56"/>
    </row>
    <row r="174">
      <c r="B174" s="56"/>
      <c r="D174" s="56"/>
      <c r="F174" s="56"/>
    </row>
    <row r="175">
      <c r="B175" s="56"/>
      <c r="D175" s="56"/>
      <c r="F175" s="56"/>
    </row>
    <row r="176">
      <c r="B176" s="56"/>
      <c r="D176" s="56"/>
      <c r="F176" s="56"/>
    </row>
    <row r="177">
      <c r="B177" s="56"/>
      <c r="D177" s="56"/>
      <c r="F177" s="56"/>
    </row>
    <row r="178">
      <c r="B178" s="56"/>
      <c r="D178" s="56"/>
      <c r="F178" s="56"/>
    </row>
    <row r="179">
      <c r="B179" s="56"/>
      <c r="D179" s="56"/>
      <c r="F179" s="56"/>
    </row>
    <row r="180">
      <c r="B180" s="56"/>
      <c r="D180" s="56"/>
      <c r="F180" s="56"/>
    </row>
    <row r="181">
      <c r="B181" s="56"/>
      <c r="D181" s="56"/>
      <c r="F181" s="56"/>
    </row>
    <row r="182">
      <c r="B182" s="56"/>
      <c r="D182" s="56"/>
      <c r="F182" s="56"/>
    </row>
    <row r="183">
      <c r="B183" s="56"/>
      <c r="D183" s="56"/>
      <c r="F183" s="56"/>
    </row>
    <row r="184">
      <c r="B184" s="56"/>
      <c r="D184" s="56"/>
      <c r="F184" s="56"/>
    </row>
    <row r="185">
      <c r="B185" s="56"/>
      <c r="D185" s="56"/>
      <c r="F185" s="56"/>
    </row>
    <row r="186">
      <c r="B186" s="56"/>
      <c r="D186" s="56"/>
      <c r="F186" s="56"/>
    </row>
    <row r="187">
      <c r="B187" s="56"/>
      <c r="D187" s="56"/>
      <c r="F187" s="56"/>
    </row>
    <row r="188">
      <c r="B188" s="56"/>
      <c r="D188" s="56"/>
      <c r="F188" s="56"/>
    </row>
    <row r="189">
      <c r="B189" s="56"/>
      <c r="D189" s="56"/>
      <c r="F189" s="56"/>
    </row>
    <row r="190">
      <c r="B190" s="56"/>
      <c r="D190" s="56"/>
      <c r="F190" s="56"/>
    </row>
    <row r="191">
      <c r="B191" s="56"/>
      <c r="D191" s="56"/>
      <c r="F191" s="56"/>
    </row>
    <row r="192">
      <c r="B192" s="56"/>
      <c r="D192" s="56"/>
      <c r="F192" s="56"/>
    </row>
    <row r="193">
      <c r="B193" s="56"/>
      <c r="D193" s="56"/>
      <c r="F193" s="56"/>
    </row>
    <row r="194">
      <c r="B194" s="56"/>
      <c r="D194" s="56"/>
      <c r="F194" s="56"/>
    </row>
    <row r="195">
      <c r="B195" s="56"/>
      <c r="D195" s="56"/>
      <c r="F195" s="56"/>
    </row>
    <row r="196">
      <c r="B196" s="56"/>
      <c r="D196" s="56"/>
      <c r="F196" s="56"/>
    </row>
    <row r="197">
      <c r="B197" s="56"/>
      <c r="D197" s="56"/>
      <c r="F197" s="56"/>
    </row>
    <row r="198">
      <c r="B198" s="56"/>
      <c r="D198" s="56"/>
      <c r="F198" s="56"/>
    </row>
    <row r="199">
      <c r="B199" s="56"/>
      <c r="D199" s="56"/>
      <c r="F199" s="56"/>
    </row>
    <row r="200">
      <c r="B200" s="56"/>
      <c r="D200" s="56"/>
      <c r="F200" s="56"/>
    </row>
    <row r="201">
      <c r="B201" s="56"/>
      <c r="D201" s="56"/>
      <c r="F201" s="56"/>
    </row>
    <row r="202">
      <c r="B202" s="56"/>
      <c r="D202" s="56"/>
      <c r="F202" s="56"/>
    </row>
    <row r="203">
      <c r="B203" s="56"/>
      <c r="D203" s="56"/>
      <c r="F203" s="56"/>
    </row>
    <row r="204">
      <c r="B204" s="56"/>
      <c r="D204" s="56"/>
      <c r="F204" s="56"/>
    </row>
    <row r="205">
      <c r="B205" s="56"/>
      <c r="D205" s="56"/>
      <c r="F205" s="56"/>
    </row>
    <row r="206">
      <c r="B206" s="56"/>
      <c r="D206" s="56"/>
      <c r="F206" s="56"/>
    </row>
    <row r="207">
      <c r="B207" s="56"/>
      <c r="D207" s="56"/>
      <c r="F207" s="56"/>
    </row>
    <row r="208">
      <c r="B208" s="56"/>
      <c r="D208" s="56"/>
      <c r="F208" s="56"/>
    </row>
    <row r="209">
      <c r="B209" s="56"/>
      <c r="D209" s="56"/>
      <c r="F209" s="56"/>
    </row>
    <row r="210">
      <c r="B210" s="56"/>
      <c r="D210" s="56"/>
      <c r="F210" s="56"/>
    </row>
    <row r="211">
      <c r="B211" s="56"/>
      <c r="D211" s="56"/>
      <c r="F211" s="56"/>
    </row>
    <row r="212">
      <c r="B212" s="56"/>
      <c r="D212" s="56"/>
      <c r="F212" s="56"/>
    </row>
    <row r="213">
      <c r="B213" s="56"/>
      <c r="D213" s="56"/>
      <c r="F213" s="56"/>
    </row>
    <row r="214">
      <c r="B214" s="56"/>
      <c r="D214" s="56"/>
      <c r="F214" s="56"/>
    </row>
    <row r="215">
      <c r="B215" s="56"/>
      <c r="D215" s="56"/>
      <c r="F215" s="56"/>
    </row>
    <row r="216">
      <c r="B216" s="56"/>
      <c r="D216" s="56"/>
      <c r="F216" s="56"/>
    </row>
    <row r="217">
      <c r="B217" s="56"/>
      <c r="D217" s="56"/>
      <c r="F217" s="56"/>
    </row>
    <row r="218">
      <c r="B218" s="56"/>
      <c r="D218" s="56"/>
      <c r="F218" s="56"/>
    </row>
    <row r="219">
      <c r="B219" s="56"/>
      <c r="D219" s="56"/>
      <c r="F219" s="56"/>
    </row>
    <row r="220">
      <c r="B220" s="56"/>
      <c r="D220" s="56"/>
      <c r="F220" s="56"/>
    </row>
    <row r="221">
      <c r="B221" s="56"/>
      <c r="D221" s="56"/>
      <c r="F221" s="56"/>
    </row>
    <row r="222">
      <c r="B222" s="56"/>
      <c r="D222" s="56"/>
      <c r="F222" s="56"/>
    </row>
    <row r="223">
      <c r="B223" s="56"/>
      <c r="D223" s="56"/>
      <c r="F223" s="56"/>
    </row>
    <row r="224">
      <c r="B224" s="56"/>
      <c r="D224" s="56"/>
      <c r="F224" s="56"/>
    </row>
    <row r="225">
      <c r="B225" s="56"/>
      <c r="D225" s="56"/>
      <c r="F225" s="56"/>
    </row>
    <row r="226">
      <c r="B226" s="56"/>
      <c r="D226" s="56"/>
      <c r="F226" s="56"/>
    </row>
    <row r="227">
      <c r="B227" s="56"/>
      <c r="D227" s="56"/>
      <c r="F227" s="56"/>
    </row>
    <row r="228">
      <c r="B228" s="56"/>
      <c r="D228" s="56"/>
      <c r="F228" s="56"/>
    </row>
    <row r="229">
      <c r="B229" s="56"/>
      <c r="D229" s="56"/>
      <c r="F229" s="56"/>
    </row>
    <row r="230">
      <c r="B230" s="56"/>
      <c r="D230" s="56"/>
      <c r="F230" s="56"/>
    </row>
    <row r="231">
      <c r="B231" s="56"/>
      <c r="D231" s="56"/>
      <c r="F231" s="56"/>
    </row>
    <row r="232">
      <c r="B232" s="56"/>
      <c r="D232" s="56"/>
      <c r="F232" s="56"/>
    </row>
    <row r="233">
      <c r="B233" s="56"/>
      <c r="D233" s="56"/>
      <c r="F233" s="56"/>
    </row>
    <row r="234">
      <c r="B234" s="56"/>
      <c r="D234" s="56"/>
      <c r="F234" s="56"/>
    </row>
    <row r="235">
      <c r="B235" s="56"/>
      <c r="D235" s="56"/>
      <c r="F235" s="56"/>
    </row>
    <row r="236">
      <c r="B236" s="56"/>
      <c r="D236" s="56"/>
      <c r="F236" s="56"/>
    </row>
    <row r="237">
      <c r="B237" s="56"/>
      <c r="D237" s="56"/>
      <c r="F237" s="56"/>
    </row>
    <row r="238">
      <c r="B238" s="56"/>
      <c r="D238" s="56"/>
      <c r="F238" s="56"/>
    </row>
    <row r="239">
      <c r="B239" s="56"/>
      <c r="D239" s="56"/>
      <c r="F239" s="56"/>
    </row>
    <row r="240">
      <c r="B240" s="56"/>
      <c r="D240" s="56"/>
      <c r="F240" s="56"/>
    </row>
    <row r="241">
      <c r="B241" s="56"/>
      <c r="D241" s="56"/>
      <c r="F241" s="56"/>
    </row>
    <row r="242">
      <c r="B242" s="56"/>
      <c r="D242" s="56"/>
      <c r="F242" s="56"/>
    </row>
    <row r="243">
      <c r="B243" s="56"/>
      <c r="D243" s="56"/>
      <c r="F243" s="56"/>
    </row>
    <row r="244">
      <c r="B244" s="56"/>
      <c r="D244" s="56"/>
      <c r="F244" s="56"/>
    </row>
    <row r="245">
      <c r="B245" s="56"/>
      <c r="D245" s="56"/>
      <c r="F245" s="56"/>
    </row>
    <row r="246">
      <c r="B246" s="56"/>
      <c r="D246" s="56"/>
      <c r="F246" s="56"/>
    </row>
    <row r="247">
      <c r="B247" s="56"/>
      <c r="D247" s="56"/>
      <c r="F247" s="56"/>
    </row>
    <row r="248">
      <c r="B248" s="56"/>
      <c r="D248" s="56"/>
      <c r="F248" s="56"/>
    </row>
    <row r="249">
      <c r="B249" s="56"/>
      <c r="D249" s="56"/>
      <c r="F249" s="56"/>
    </row>
    <row r="250">
      <c r="B250" s="56"/>
      <c r="D250" s="56"/>
      <c r="F250" s="56"/>
    </row>
    <row r="251">
      <c r="B251" s="56"/>
      <c r="D251" s="56"/>
      <c r="F251" s="56"/>
    </row>
    <row r="252">
      <c r="B252" s="56"/>
      <c r="D252" s="56"/>
      <c r="F252" s="56"/>
    </row>
    <row r="253">
      <c r="B253" s="56"/>
      <c r="D253" s="56"/>
      <c r="F253" s="56"/>
    </row>
    <row r="254">
      <c r="B254" s="56"/>
      <c r="D254" s="56"/>
      <c r="F254" s="56"/>
    </row>
    <row r="255">
      <c r="B255" s="56"/>
      <c r="D255" s="56"/>
      <c r="F255" s="56"/>
    </row>
    <row r="256">
      <c r="B256" s="56"/>
      <c r="D256" s="56"/>
      <c r="F256" s="56"/>
    </row>
    <row r="257">
      <c r="B257" s="56"/>
      <c r="D257" s="56"/>
      <c r="F257" s="56"/>
    </row>
    <row r="258">
      <c r="B258" s="56"/>
      <c r="D258" s="56"/>
      <c r="F258" s="56"/>
    </row>
    <row r="259">
      <c r="B259" s="56"/>
      <c r="D259" s="56"/>
      <c r="F259" s="56"/>
    </row>
    <row r="260">
      <c r="B260" s="56"/>
      <c r="D260" s="56"/>
      <c r="F260" s="56"/>
    </row>
    <row r="261">
      <c r="B261" s="56"/>
      <c r="D261" s="56"/>
      <c r="F261" s="56"/>
    </row>
    <row r="262">
      <c r="B262" s="56"/>
      <c r="D262" s="56"/>
      <c r="F262" s="56"/>
    </row>
    <row r="263">
      <c r="B263" s="56"/>
      <c r="D263" s="56"/>
      <c r="F263" s="56"/>
    </row>
    <row r="264">
      <c r="B264" s="56"/>
      <c r="D264" s="56"/>
      <c r="F264" s="56"/>
    </row>
    <row r="265">
      <c r="B265" s="56"/>
      <c r="D265" s="56"/>
      <c r="F265" s="56"/>
    </row>
    <row r="266">
      <c r="B266" s="56"/>
      <c r="D266" s="56"/>
      <c r="F266" s="56"/>
    </row>
    <row r="267">
      <c r="B267" s="56"/>
      <c r="D267" s="56"/>
      <c r="F267" s="56"/>
    </row>
    <row r="268">
      <c r="B268" s="56"/>
      <c r="D268" s="56"/>
      <c r="F268" s="56"/>
    </row>
    <row r="269">
      <c r="B269" s="56"/>
      <c r="D269" s="56"/>
      <c r="F269" s="56"/>
    </row>
    <row r="270">
      <c r="B270" s="56"/>
      <c r="D270" s="56"/>
      <c r="F270" s="56"/>
    </row>
    <row r="271">
      <c r="B271" s="56"/>
      <c r="D271" s="56"/>
      <c r="F271" s="56"/>
    </row>
    <row r="272">
      <c r="B272" s="56"/>
      <c r="D272" s="56"/>
      <c r="F272" s="56"/>
    </row>
    <row r="273">
      <c r="B273" s="56"/>
      <c r="D273" s="56"/>
      <c r="F273" s="56"/>
    </row>
    <row r="274">
      <c r="B274" s="56"/>
      <c r="D274" s="56"/>
      <c r="F274" s="56"/>
    </row>
    <row r="275">
      <c r="B275" s="56"/>
      <c r="D275" s="56"/>
      <c r="F275" s="56"/>
    </row>
    <row r="276">
      <c r="B276" s="56"/>
      <c r="D276" s="56"/>
      <c r="F276" s="56"/>
    </row>
    <row r="277">
      <c r="B277" s="56"/>
      <c r="D277" s="56"/>
      <c r="F277" s="56"/>
    </row>
    <row r="278">
      <c r="B278" s="56"/>
      <c r="D278" s="56"/>
      <c r="F278" s="56"/>
    </row>
    <row r="279">
      <c r="B279" s="56"/>
      <c r="D279" s="56"/>
      <c r="F279" s="56"/>
    </row>
    <row r="280">
      <c r="B280" s="56"/>
      <c r="D280" s="56"/>
      <c r="F280" s="56"/>
    </row>
    <row r="281">
      <c r="B281" s="56"/>
      <c r="D281" s="56"/>
      <c r="F281" s="56"/>
    </row>
    <row r="282">
      <c r="B282" s="56"/>
      <c r="D282" s="56"/>
      <c r="F282" s="56"/>
    </row>
    <row r="283">
      <c r="B283" s="56"/>
      <c r="D283" s="56"/>
      <c r="F283" s="56"/>
    </row>
    <row r="284">
      <c r="B284" s="56"/>
      <c r="D284" s="56"/>
      <c r="F284" s="56"/>
    </row>
    <row r="285">
      <c r="B285" s="56"/>
      <c r="D285" s="56"/>
      <c r="F285" s="56"/>
    </row>
    <row r="286">
      <c r="B286" s="56"/>
      <c r="D286" s="56"/>
      <c r="F286" s="56"/>
    </row>
    <row r="287">
      <c r="B287" s="56"/>
      <c r="D287" s="56"/>
      <c r="F287" s="56"/>
    </row>
    <row r="288">
      <c r="B288" s="56"/>
      <c r="D288" s="56"/>
      <c r="F288" s="56"/>
    </row>
    <row r="289">
      <c r="B289" s="56"/>
      <c r="D289" s="56"/>
      <c r="F289" s="56"/>
    </row>
    <row r="290">
      <c r="B290" s="56"/>
      <c r="D290" s="56"/>
      <c r="F290" s="56"/>
    </row>
    <row r="291">
      <c r="B291" s="56"/>
      <c r="D291" s="56"/>
      <c r="F291" s="56"/>
    </row>
    <row r="292">
      <c r="B292" s="56"/>
      <c r="D292" s="56"/>
      <c r="F292" s="56"/>
    </row>
    <row r="293">
      <c r="B293" s="56"/>
      <c r="D293" s="56"/>
      <c r="F293" s="56"/>
    </row>
    <row r="294">
      <c r="B294" s="56"/>
      <c r="D294" s="56"/>
      <c r="F294" s="56"/>
    </row>
    <row r="295">
      <c r="B295" s="56"/>
      <c r="D295" s="56"/>
      <c r="F295" s="56"/>
    </row>
    <row r="296">
      <c r="B296" s="56"/>
      <c r="D296" s="56"/>
      <c r="F296" s="56"/>
    </row>
    <row r="297">
      <c r="B297" s="56"/>
      <c r="D297" s="56"/>
      <c r="F297" s="56"/>
    </row>
    <row r="298">
      <c r="B298" s="56"/>
      <c r="D298" s="56"/>
      <c r="F298" s="56"/>
    </row>
    <row r="299">
      <c r="B299" s="56"/>
      <c r="D299" s="56"/>
      <c r="F299" s="56"/>
    </row>
    <row r="300">
      <c r="B300" s="56"/>
      <c r="D300" s="56"/>
      <c r="F300" s="56"/>
    </row>
    <row r="301">
      <c r="B301" s="56"/>
      <c r="D301" s="56"/>
      <c r="F301" s="56"/>
    </row>
    <row r="302">
      <c r="B302" s="56"/>
      <c r="D302" s="56"/>
      <c r="F302" s="56"/>
    </row>
    <row r="303">
      <c r="B303" s="56"/>
      <c r="D303" s="56"/>
      <c r="F303" s="56"/>
    </row>
    <row r="304">
      <c r="B304" s="56"/>
      <c r="D304" s="56"/>
      <c r="F304" s="56"/>
    </row>
    <row r="305">
      <c r="B305" s="56"/>
      <c r="D305" s="56"/>
      <c r="F305" s="56"/>
    </row>
    <row r="306">
      <c r="B306" s="56"/>
      <c r="D306" s="56"/>
      <c r="F306" s="56"/>
    </row>
    <row r="307">
      <c r="B307" s="56"/>
      <c r="D307" s="56"/>
      <c r="F307" s="56"/>
    </row>
    <row r="308">
      <c r="B308" s="56"/>
      <c r="D308" s="56"/>
      <c r="F308" s="56"/>
    </row>
    <row r="309">
      <c r="B309" s="56"/>
      <c r="D309" s="56"/>
      <c r="F309" s="56"/>
    </row>
    <row r="310">
      <c r="B310" s="56"/>
      <c r="D310" s="56"/>
      <c r="F310" s="56"/>
    </row>
    <row r="311">
      <c r="B311" s="56"/>
      <c r="D311" s="56"/>
      <c r="F311" s="56"/>
    </row>
    <row r="312">
      <c r="B312" s="56"/>
      <c r="D312" s="56"/>
      <c r="F312" s="56"/>
    </row>
    <row r="313">
      <c r="B313" s="56"/>
      <c r="D313" s="56"/>
      <c r="F313" s="56"/>
    </row>
    <row r="314">
      <c r="B314" s="56"/>
      <c r="D314" s="56"/>
      <c r="F314" s="56"/>
    </row>
    <row r="315">
      <c r="B315" s="56"/>
      <c r="D315" s="56"/>
      <c r="F315" s="56"/>
    </row>
    <row r="316">
      <c r="B316" s="56"/>
      <c r="D316" s="56"/>
      <c r="F316" s="56"/>
    </row>
    <row r="317">
      <c r="B317" s="56"/>
      <c r="D317" s="56"/>
      <c r="F317" s="56"/>
    </row>
    <row r="318">
      <c r="B318" s="56"/>
      <c r="D318" s="56"/>
      <c r="F318" s="56"/>
    </row>
    <row r="319">
      <c r="B319" s="56"/>
      <c r="D319" s="56"/>
      <c r="F319" s="56"/>
    </row>
    <row r="320">
      <c r="B320" s="56"/>
      <c r="D320" s="56"/>
      <c r="F320" s="56"/>
    </row>
    <row r="321">
      <c r="B321" s="56"/>
      <c r="D321" s="56"/>
      <c r="F321" s="56"/>
    </row>
    <row r="322">
      <c r="B322" s="56"/>
      <c r="D322" s="56"/>
      <c r="F322" s="56"/>
    </row>
    <row r="323">
      <c r="B323" s="56"/>
      <c r="D323" s="56"/>
      <c r="F323" s="56"/>
    </row>
    <row r="324">
      <c r="B324" s="56"/>
      <c r="D324" s="56"/>
      <c r="F324" s="56"/>
    </row>
    <row r="325">
      <c r="B325" s="56"/>
      <c r="D325" s="56"/>
      <c r="F325" s="56"/>
    </row>
    <row r="326">
      <c r="B326" s="56"/>
      <c r="D326" s="56"/>
      <c r="F326" s="56"/>
    </row>
    <row r="327">
      <c r="B327" s="56"/>
      <c r="D327" s="56"/>
      <c r="F327" s="56"/>
    </row>
    <row r="328">
      <c r="B328" s="56"/>
      <c r="D328" s="56"/>
      <c r="F328" s="56"/>
    </row>
    <row r="329">
      <c r="B329" s="56"/>
      <c r="D329" s="56"/>
      <c r="F329" s="56"/>
    </row>
    <row r="330">
      <c r="B330" s="56"/>
      <c r="D330" s="56"/>
      <c r="F330" s="56"/>
    </row>
    <row r="331">
      <c r="B331" s="56"/>
      <c r="D331" s="56"/>
      <c r="F331" s="56"/>
    </row>
    <row r="332">
      <c r="B332" s="56"/>
      <c r="D332" s="56"/>
      <c r="F332" s="56"/>
    </row>
    <row r="333">
      <c r="B333" s="56"/>
      <c r="D333" s="56"/>
      <c r="F333" s="56"/>
    </row>
    <row r="334">
      <c r="B334" s="56"/>
      <c r="D334" s="56"/>
      <c r="F334" s="56"/>
    </row>
    <row r="335">
      <c r="B335" s="56"/>
      <c r="D335" s="56"/>
      <c r="F335" s="56"/>
    </row>
    <row r="336">
      <c r="B336" s="56"/>
      <c r="D336" s="56"/>
      <c r="F336" s="56"/>
    </row>
    <row r="337">
      <c r="B337" s="56"/>
      <c r="D337" s="56"/>
      <c r="F337" s="56"/>
    </row>
    <row r="338">
      <c r="B338" s="56"/>
      <c r="D338" s="56"/>
      <c r="F338" s="56"/>
    </row>
    <row r="339">
      <c r="B339" s="56"/>
      <c r="D339" s="56"/>
      <c r="F339" s="56"/>
    </row>
    <row r="340">
      <c r="B340" s="56"/>
      <c r="D340" s="56"/>
      <c r="F340" s="56"/>
    </row>
    <row r="341">
      <c r="B341" s="56"/>
      <c r="D341" s="56"/>
      <c r="F341" s="56"/>
    </row>
    <row r="342">
      <c r="B342" s="56"/>
      <c r="D342" s="56"/>
      <c r="F342" s="56"/>
    </row>
    <row r="343">
      <c r="B343" s="56"/>
      <c r="D343" s="56"/>
      <c r="F343" s="56"/>
    </row>
    <row r="344">
      <c r="B344" s="56"/>
      <c r="D344" s="56"/>
      <c r="F344" s="56"/>
    </row>
    <row r="345">
      <c r="B345" s="56"/>
      <c r="D345" s="56"/>
      <c r="F345" s="56"/>
    </row>
    <row r="346">
      <c r="B346" s="56"/>
      <c r="D346" s="56"/>
      <c r="F346" s="56"/>
    </row>
    <row r="347">
      <c r="B347" s="56"/>
      <c r="D347" s="56"/>
      <c r="F347" s="56"/>
    </row>
    <row r="348">
      <c r="B348" s="56"/>
      <c r="D348" s="56"/>
      <c r="F348" s="56"/>
    </row>
    <row r="349">
      <c r="B349" s="56"/>
      <c r="D349" s="56"/>
      <c r="F349" s="56"/>
    </row>
    <row r="350">
      <c r="B350" s="56"/>
      <c r="D350" s="56"/>
      <c r="F350" s="56"/>
    </row>
    <row r="351">
      <c r="B351" s="56"/>
      <c r="D351" s="56"/>
      <c r="F351" s="56"/>
    </row>
    <row r="352">
      <c r="B352" s="56"/>
      <c r="D352" s="56"/>
      <c r="F352" s="56"/>
    </row>
    <row r="353">
      <c r="B353" s="56"/>
      <c r="D353" s="56"/>
      <c r="F353" s="56"/>
    </row>
    <row r="354">
      <c r="B354" s="56"/>
      <c r="D354" s="56"/>
      <c r="F354" s="56"/>
    </row>
    <row r="355">
      <c r="B355" s="56"/>
      <c r="D355" s="56"/>
      <c r="F355" s="56"/>
    </row>
    <row r="356">
      <c r="B356" s="56"/>
      <c r="D356" s="56"/>
      <c r="F356" s="56"/>
    </row>
    <row r="357">
      <c r="B357" s="56"/>
      <c r="D357" s="56"/>
      <c r="F357" s="56"/>
    </row>
    <row r="358">
      <c r="B358" s="56"/>
      <c r="D358" s="56"/>
      <c r="F358" s="56"/>
    </row>
    <row r="359">
      <c r="B359" s="56"/>
      <c r="D359" s="56"/>
      <c r="F359" s="56"/>
    </row>
    <row r="360">
      <c r="B360" s="56"/>
      <c r="D360" s="56"/>
      <c r="F360" s="56"/>
    </row>
    <row r="361">
      <c r="B361" s="56"/>
      <c r="D361" s="56"/>
      <c r="F361" s="56"/>
    </row>
    <row r="362">
      <c r="B362" s="56"/>
      <c r="D362" s="56"/>
      <c r="F362" s="56"/>
    </row>
    <row r="363">
      <c r="B363" s="56"/>
      <c r="D363" s="56"/>
      <c r="F363" s="56"/>
    </row>
    <row r="364">
      <c r="B364" s="56"/>
      <c r="D364" s="56"/>
      <c r="F364" s="56"/>
    </row>
    <row r="365">
      <c r="B365" s="56"/>
      <c r="D365" s="56"/>
      <c r="F365" s="56"/>
    </row>
    <row r="366">
      <c r="B366" s="56"/>
      <c r="D366" s="56"/>
      <c r="F366" s="56"/>
    </row>
    <row r="367">
      <c r="B367" s="56"/>
      <c r="D367" s="56"/>
      <c r="F367" s="56"/>
    </row>
    <row r="368">
      <c r="B368" s="56"/>
      <c r="D368" s="56"/>
      <c r="F368" s="56"/>
    </row>
    <row r="369">
      <c r="B369" s="56"/>
      <c r="D369" s="56"/>
      <c r="F369" s="56"/>
    </row>
    <row r="370">
      <c r="B370" s="56"/>
      <c r="D370" s="56"/>
      <c r="F370" s="56"/>
    </row>
    <row r="371">
      <c r="B371" s="56"/>
      <c r="D371" s="56"/>
      <c r="F371" s="56"/>
    </row>
    <row r="372">
      <c r="B372" s="56"/>
      <c r="D372" s="56"/>
      <c r="F372" s="56"/>
    </row>
    <row r="373">
      <c r="B373" s="56"/>
      <c r="D373" s="56"/>
      <c r="F373" s="56"/>
    </row>
    <row r="374">
      <c r="B374" s="56"/>
      <c r="D374" s="56"/>
      <c r="F374" s="56"/>
    </row>
    <row r="375">
      <c r="B375" s="56"/>
      <c r="D375" s="56"/>
      <c r="F375" s="56"/>
    </row>
    <row r="376">
      <c r="B376" s="56"/>
      <c r="D376" s="56"/>
      <c r="F376" s="56"/>
    </row>
    <row r="377">
      <c r="B377" s="56"/>
      <c r="D377" s="56"/>
      <c r="F377" s="56"/>
    </row>
    <row r="378">
      <c r="B378" s="56"/>
      <c r="D378" s="56"/>
      <c r="F378" s="56"/>
    </row>
    <row r="379">
      <c r="B379" s="56"/>
      <c r="D379" s="56"/>
      <c r="F379" s="56"/>
    </row>
    <row r="380">
      <c r="B380" s="56"/>
      <c r="D380" s="56"/>
      <c r="F380" s="56"/>
    </row>
    <row r="381">
      <c r="B381" s="56"/>
      <c r="D381" s="56"/>
      <c r="F381" s="56"/>
    </row>
    <row r="382">
      <c r="B382" s="56"/>
      <c r="D382" s="56"/>
      <c r="F382" s="56"/>
    </row>
    <row r="383">
      <c r="B383" s="56"/>
      <c r="D383" s="56"/>
      <c r="F383" s="56"/>
    </row>
    <row r="384">
      <c r="B384" s="56"/>
      <c r="D384" s="56"/>
      <c r="F384" s="56"/>
    </row>
    <row r="385">
      <c r="B385" s="56"/>
      <c r="D385" s="56"/>
      <c r="F385" s="56"/>
    </row>
    <row r="386">
      <c r="B386" s="56"/>
      <c r="D386" s="56"/>
      <c r="F386" s="56"/>
    </row>
    <row r="387">
      <c r="B387" s="56"/>
      <c r="D387" s="56"/>
      <c r="F387" s="56"/>
    </row>
    <row r="388">
      <c r="B388" s="56"/>
      <c r="D388" s="56"/>
      <c r="F388" s="56"/>
    </row>
    <row r="389">
      <c r="B389" s="56"/>
      <c r="D389" s="56"/>
      <c r="F389" s="56"/>
    </row>
    <row r="390">
      <c r="B390" s="56"/>
      <c r="D390" s="56"/>
      <c r="F390" s="56"/>
    </row>
    <row r="391">
      <c r="B391" s="56"/>
      <c r="D391" s="56"/>
      <c r="F391" s="56"/>
    </row>
    <row r="392">
      <c r="B392" s="56"/>
      <c r="D392" s="56"/>
      <c r="F392" s="56"/>
    </row>
    <row r="393">
      <c r="B393" s="56"/>
      <c r="D393" s="56"/>
      <c r="F393" s="56"/>
    </row>
    <row r="394">
      <c r="B394" s="56"/>
      <c r="D394" s="56"/>
      <c r="F394" s="56"/>
    </row>
    <row r="395">
      <c r="B395" s="56"/>
      <c r="D395" s="56"/>
      <c r="F395" s="56"/>
    </row>
    <row r="396">
      <c r="B396" s="56"/>
      <c r="D396" s="56"/>
      <c r="F396" s="56"/>
    </row>
    <row r="397">
      <c r="B397" s="56"/>
      <c r="D397" s="56"/>
      <c r="F397" s="56"/>
    </row>
    <row r="398">
      <c r="B398" s="56"/>
      <c r="D398" s="56"/>
      <c r="F398" s="56"/>
    </row>
    <row r="399">
      <c r="B399" s="56"/>
      <c r="D399" s="56"/>
      <c r="F399" s="56"/>
    </row>
    <row r="400">
      <c r="B400" s="56"/>
      <c r="D400" s="56"/>
      <c r="F400" s="56"/>
    </row>
    <row r="401">
      <c r="B401" s="56"/>
      <c r="D401" s="56"/>
      <c r="F401" s="56"/>
    </row>
    <row r="402">
      <c r="B402" s="56"/>
      <c r="D402" s="56"/>
      <c r="F402" s="56"/>
    </row>
    <row r="403">
      <c r="B403" s="56"/>
      <c r="D403" s="56"/>
      <c r="F403" s="56"/>
    </row>
    <row r="404">
      <c r="B404" s="56"/>
      <c r="D404" s="56"/>
      <c r="F404" s="56"/>
    </row>
    <row r="405">
      <c r="B405" s="56"/>
      <c r="D405" s="56"/>
      <c r="F405" s="56"/>
    </row>
    <row r="406">
      <c r="B406" s="56"/>
      <c r="D406" s="56"/>
      <c r="F406" s="56"/>
    </row>
    <row r="407">
      <c r="B407" s="56"/>
      <c r="D407" s="56"/>
      <c r="F407" s="56"/>
    </row>
    <row r="408">
      <c r="B408" s="56"/>
      <c r="D408" s="56"/>
      <c r="F408" s="56"/>
    </row>
    <row r="409">
      <c r="B409" s="56"/>
      <c r="D409" s="56"/>
      <c r="F409" s="56"/>
    </row>
    <row r="410">
      <c r="B410" s="56"/>
      <c r="D410" s="56"/>
      <c r="F410" s="56"/>
    </row>
    <row r="411">
      <c r="B411" s="56"/>
      <c r="D411" s="56"/>
      <c r="F411" s="56"/>
    </row>
    <row r="412">
      <c r="B412" s="56"/>
      <c r="D412" s="56"/>
      <c r="F412" s="56"/>
    </row>
    <row r="413">
      <c r="B413" s="56"/>
      <c r="D413" s="56"/>
      <c r="F413" s="56"/>
    </row>
    <row r="414">
      <c r="B414" s="56"/>
      <c r="D414" s="56"/>
      <c r="F414" s="56"/>
    </row>
    <row r="415">
      <c r="B415" s="56"/>
      <c r="D415" s="56"/>
      <c r="F415" s="56"/>
    </row>
    <row r="416">
      <c r="B416" s="56"/>
      <c r="D416" s="56"/>
      <c r="F416" s="56"/>
    </row>
    <row r="417">
      <c r="B417" s="56"/>
      <c r="D417" s="56"/>
      <c r="F417" s="56"/>
    </row>
    <row r="418">
      <c r="B418" s="56"/>
      <c r="D418" s="56"/>
      <c r="F418" s="56"/>
    </row>
    <row r="419">
      <c r="B419" s="56"/>
      <c r="D419" s="56"/>
      <c r="F419" s="56"/>
    </row>
    <row r="420">
      <c r="B420" s="56"/>
      <c r="D420" s="56"/>
      <c r="F420" s="56"/>
    </row>
    <row r="421">
      <c r="B421" s="56"/>
      <c r="D421" s="56"/>
      <c r="F421" s="56"/>
    </row>
    <row r="422">
      <c r="B422" s="56"/>
      <c r="D422" s="56"/>
      <c r="F422" s="56"/>
    </row>
    <row r="423">
      <c r="B423" s="56"/>
      <c r="D423" s="56"/>
      <c r="F423" s="56"/>
    </row>
    <row r="424">
      <c r="B424" s="56"/>
      <c r="D424" s="56"/>
      <c r="F424" s="56"/>
    </row>
    <row r="425">
      <c r="B425" s="56"/>
      <c r="D425" s="56"/>
      <c r="F425" s="56"/>
    </row>
    <row r="426">
      <c r="B426" s="56"/>
      <c r="D426" s="56"/>
      <c r="F426" s="56"/>
    </row>
    <row r="427">
      <c r="B427" s="56"/>
      <c r="D427" s="56"/>
      <c r="F427" s="56"/>
    </row>
    <row r="428">
      <c r="B428" s="56"/>
      <c r="D428" s="56"/>
      <c r="F428" s="56"/>
    </row>
    <row r="429">
      <c r="B429" s="56"/>
      <c r="D429" s="56"/>
      <c r="F429" s="56"/>
    </row>
    <row r="430">
      <c r="B430" s="56"/>
      <c r="D430" s="56"/>
      <c r="F430" s="56"/>
    </row>
    <row r="431">
      <c r="B431" s="56"/>
      <c r="D431" s="56"/>
      <c r="F431" s="56"/>
    </row>
    <row r="432">
      <c r="B432" s="56"/>
      <c r="D432" s="56"/>
      <c r="F432" s="56"/>
    </row>
    <row r="433">
      <c r="B433" s="56"/>
      <c r="D433" s="56"/>
      <c r="F433" s="56"/>
    </row>
    <row r="434">
      <c r="B434" s="56"/>
      <c r="D434" s="56"/>
      <c r="F434" s="56"/>
    </row>
    <row r="435">
      <c r="B435" s="56"/>
      <c r="D435" s="56"/>
      <c r="F435" s="56"/>
    </row>
    <row r="436">
      <c r="B436" s="56"/>
      <c r="D436" s="56"/>
      <c r="F436" s="56"/>
    </row>
    <row r="437">
      <c r="B437" s="56"/>
      <c r="D437" s="56"/>
      <c r="F437" s="56"/>
    </row>
    <row r="438">
      <c r="B438" s="56"/>
      <c r="D438" s="56"/>
      <c r="F438" s="56"/>
    </row>
    <row r="439">
      <c r="B439" s="56"/>
      <c r="D439" s="56"/>
      <c r="F439" s="56"/>
    </row>
    <row r="440">
      <c r="B440" s="56"/>
      <c r="D440" s="56"/>
      <c r="F440" s="56"/>
    </row>
    <row r="441">
      <c r="B441" s="56"/>
      <c r="D441" s="56"/>
      <c r="F441" s="56"/>
    </row>
    <row r="442">
      <c r="B442" s="56"/>
      <c r="D442" s="56"/>
      <c r="F442" s="56"/>
    </row>
    <row r="443">
      <c r="B443" s="56"/>
      <c r="D443" s="56"/>
      <c r="F443" s="56"/>
    </row>
    <row r="444">
      <c r="B444" s="56"/>
      <c r="D444" s="56"/>
      <c r="F444" s="56"/>
    </row>
    <row r="445">
      <c r="B445" s="56"/>
      <c r="D445" s="56"/>
      <c r="F445" s="56"/>
    </row>
    <row r="446">
      <c r="B446" s="56"/>
      <c r="D446" s="56"/>
      <c r="F446" s="56"/>
    </row>
    <row r="447">
      <c r="B447" s="56"/>
      <c r="D447" s="56"/>
      <c r="F447" s="56"/>
    </row>
    <row r="448">
      <c r="B448" s="56"/>
      <c r="D448" s="56"/>
      <c r="F448" s="56"/>
    </row>
    <row r="449">
      <c r="B449" s="56"/>
      <c r="D449" s="56"/>
      <c r="F449" s="56"/>
    </row>
    <row r="450">
      <c r="B450" s="56"/>
      <c r="D450" s="56"/>
      <c r="F450" s="56"/>
    </row>
    <row r="451">
      <c r="B451" s="56"/>
      <c r="D451" s="56"/>
      <c r="F451" s="56"/>
    </row>
    <row r="452">
      <c r="B452" s="56"/>
      <c r="D452" s="56"/>
      <c r="F452" s="56"/>
    </row>
    <row r="453">
      <c r="B453" s="56"/>
      <c r="D453" s="56"/>
      <c r="F453" s="56"/>
    </row>
    <row r="454">
      <c r="B454" s="56"/>
      <c r="D454" s="56"/>
      <c r="F454" s="56"/>
    </row>
    <row r="455">
      <c r="B455" s="56"/>
      <c r="D455" s="56"/>
      <c r="F455" s="56"/>
    </row>
    <row r="456">
      <c r="B456" s="56"/>
      <c r="D456" s="56"/>
      <c r="F456" s="56"/>
    </row>
    <row r="457">
      <c r="B457" s="56"/>
      <c r="D457" s="56"/>
      <c r="F457" s="56"/>
    </row>
    <row r="458">
      <c r="B458" s="56"/>
      <c r="D458" s="56"/>
      <c r="F458" s="56"/>
    </row>
    <row r="459">
      <c r="B459" s="56"/>
      <c r="D459" s="56"/>
      <c r="F459" s="56"/>
    </row>
    <row r="460">
      <c r="B460" s="56"/>
      <c r="D460" s="56"/>
      <c r="F460" s="56"/>
    </row>
    <row r="461">
      <c r="B461" s="56"/>
      <c r="D461" s="56"/>
      <c r="F461" s="56"/>
    </row>
    <row r="462">
      <c r="B462" s="56"/>
      <c r="D462" s="56"/>
      <c r="F462" s="56"/>
    </row>
    <row r="463">
      <c r="B463" s="56"/>
      <c r="D463" s="56"/>
      <c r="F463" s="56"/>
    </row>
    <row r="464">
      <c r="B464" s="56"/>
      <c r="D464" s="56"/>
      <c r="F464" s="56"/>
    </row>
    <row r="465">
      <c r="B465" s="56"/>
      <c r="D465" s="56"/>
      <c r="F465" s="56"/>
    </row>
    <row r="466">
      <c r="B466" s="56"/>
      <c r="D466" s="56"/>
      <c r="F466" s="56"/>
    </row>
    <row r="467">
      <c r="B467" s="56"/>
      <c r="D467" s="56"/>
      <c r="F467" s="56"/>
    </row>
    <row r="468">
      <c r="B468" s="56"/>
      <c r="D468" s="56"/>
      <c r="F468" s="56"/>
    </row>
    <row r="469">
      <c r="B469" s="56"/>
      <c r="D469" s="56"/>
      <c r="F469" s="56"/>
    </row>
    <row r="470">
      <c r="B470" s="56"/>
      <c r="D470" s="56"/>
      <c r="F470" s="56"/>
    </row>
    <row r="471">
      <c r="B471" s="56"/>
      <c r="D471" s="56"/>
      <c r="F471" s="56"/>
    </row>
    <row r="472">
      <c r="B472" s="56"/>
      <c r="D472" s="56"/>
      <c r="F472" s="56"/>
    </row>
    <row r="473">
      <c r="B473" s="56"/>
      <c r="D473" s="56"/>
      <c r="F473" s="56"/>
    </row>
    <row r="474">
      <c r="B474" s="56"/>
      <c r="D474" s="56"/>
      <c r="F474" s="56"/>
    </row>
    <row r="475">
      <c r="B475" s="56"/>
      <c r="D475" s="56"/>
      <c r="F475" s="56"/>
    </row>
    <row r="476">
      <c r="B476" s="56"/>
      <c r="D476" s="56"/>
      <c r="F476" s="56"/>
    </row>
    <row r="477">
      <c r="B477" s="56"/>
      <c r="D477" s="56"/>
      <c r="F477" s="56"/>
    </row>
    <row r="478">
      <c r="B478" s="56"/>
      <c r="D478" s="56"/>
      <c r="F478" s="56"/>
    </row>
    <row r="479">
      <c r="B479" s="56"/>
      <c r="D479" s="56"/>
      <c r="F479" s="56"/>
    </row>
    <row r="480">
      <c r="B480" s="56"/>
      <c r="D480" s="56"/>
      <c r="F480" s="56"/>
    </row>
    <row r="481">
      <c r="B481" s="56"/>
      <c r="D481" s="56"/>
      <c r="F481" s="56"/>
    </row>
    <row r="482">
      <c r="B482" s="56"/>
      <c r="D482" s="56"/>
      <c r="F482" s="56"/>
    </row>
    <row r="483">
      <c r="B483" s="56"/>
      <c r="D483" s="56"/>
      <c r="F483" s="56"/>
    </row>
    <row r="484">
      <c r="B484" s="56"/>
      <c r="D484" s="56"/>
      <c r="F484" s="56"/>
    </row>
    <row r="485">
      <c r="B485" s="56"/>
      <c r="D485" s="56"/>
      <c r="F485" s="56"/>
    </row>
    <row r="486">
      <c r="B486" s="56"/>
      <c r="D486" s="56"/>
      <c r="F486" s="56"/>
    </row>
    <row r="487">
      <c r="B487" s="56"/>
      <c r="D487" s="56"/>
      <c r="F487" s="56"/>
    </row>
    <row r="488">
      <c r="B488" s="56"/>
      <c r="D488" s="56"/>
      <c r="F488" s="56"/>
    </row>
    <row r="489">
      <c r="B489" s="56"/>
      <c r="D489" s="56"/>
      <c r="F489" s="56"/>
    </row>
    <row r="490">
      <c r="B490" s="56"/>
      <c r="D490" s="56"/>
      <c r="F490" s="56"/>
    </row>
    <row r="491">
      <c r="B491" s="56"/>
      <c r="D491" s="56"/>
      <c r="F491" s="56"/>
    </row>
    <row r="492">
      <c r="B492" s="56"/>
      <c r="D492" s="56"/>
      <c r="F492" s="56"/>
    </row>
    <row r="493">
      <c r="B493" s="56"/>
      <c r="D493" s="56"/>
      <c r="F493" s="56"/>
    </row>
    <row r="494">
      <c r="B494" s="56"/>
      <c r="D494" s="56"/>
      <c r="F494" s="56"/>
    </row>
    <row r="495">
      <c r="B495" s="56"/>
      <c r="D495" s="56"/>
      <c r="F495" s="56"/>
    </row>
    <row r="496">
      <c r="B496" s="56"/>
      <c r="D496" s="56"/>
      <c r="F496" s="56"/>
    </row>
    <row r="497">
      <c r="B497" s="56"/>
      <c r="D497" s="56"/>
      <c r="F497" s="56"/>
    </row>
    <row r="498">
      <c r="B498" s="56"/>
      <c r="D498" s="56"/>
      <c r="F498" s="56"/>
    </row>
    <row r="499">
      <c r="B499" s="56"/>
      <c r="D499" s="56"/>
      <c r="F499" s="56"/>
    </row>
    <row r="500">
      <c r="B500" s="56"/>
      <c r="D500" s="56"/>
      <c r="F500" s="56"/>
    </row>
    <row r="501">
      <c r="B501" s="56"/>
      <c r="D501" s="56"/>
      <c r="F501" s="56"/>
    </row>
    <row r="502">
      <c r="B502" s="56"/>
      <c r="D502" s="56"/>
      <c r="F502" s="56"/>
    </row>
    <row r="503">
      <c r="B503" s="56"/>
      <c r="D503" s="56"/>
      <c r="F503" s="56"/>
    </row>
    <row r="504">
      <c r="B504" s="56"/>
      <c r="D504" s="56"/>
      <c r="F504" s="56"/>
    </row>
    <row r="505">
      <c r="B505" s="56"/>
      <c r="D505" s="56"/>
      <c r="F505" s="56"/>
    </row>
    <row r="506">
      <c r="B506" s="56"/>
      <c r="D506" s="56"/>
      <c r="F506" s="56"/>
    </row>
    <row r="507">
      <c r="B507" s="56"/>
      <c r="D507" s="56"/>
      <c r="F507" s="56"/>
    </row>
    <row r="508">
      <c r="B508" s="56"/>
      <c r="D508" s="56"/>
      <c r="F508" s="56"/>
    </row>
    <row r="509">
      <c r="B509" s="56"/>
      <c r="D509" s="56"/>
      <c r="F509" s="56"/>
    </row>
    <row r="510">
      <c r="B510" s="56"/>
      <c r="D510" s="56"/>
      <c r="F510" s="56"/>
    </row>
    <row r="511">
      <c r="B511" s="56"/>
      <c r="D511" s="56"/>
      <c r="F511" s="56"/>
    </row>
    <row r="512">
      <c r="B512" s="56"/>
      <c r="D512" s="56"/>
      <c r="F512" s="56"/>
    </row>
    <row r="513">
      <c r="B513" s="56"/>
      <c r="D513" s="56"/>
      <c r="F513" s="56"/>
    </row>
    <row r="514">
      <c r="B514" s="56"/>
      <c r="D514" s="56"/>
      <c r="F514" s="56"/>
    </row>
    <row r="515">
      <c r="B515" s="56"/>
      <c r="D515" s="56"/>
      <c r="F515" s="56"/>
    </row>
    <row r="516">
      <c r="B516" s="56"/>
      <c r="D516" s="56"/>
      <c r="F516" s="56"/>
    </row>
    <row r="517">
      <c r="B517" s="56"/>
      <c r="D517" s="56"/>
      <c r="F517" s="56"/>
    </row>
    <row r="518">
      <c r="B518" s="56"/>
      <c r="D518" s="56"/>
      <c r="F518" s="56"/>
    </row>
    <row r="519">
      <c r="B519" s="56"/>
      <c r="D519" s="56"/>
      <c r="F519" s="56"/>
    </row>
    <row r="520">
      <c r="B520" s="56"/>
      <c r="D520" s="56"/>
      <c r="F520" s="56"/>
    </row>
    <row r="521">
      <c r="B521" s="56"/>
      <c r="D521" s="56"/>
      <c r="F521" s="56"/>
    </row>
    <row r="522">
      <c r="B522" s="56"/>
      <c r="D522" s="56"/>
      <c r="F522" s="56"/>
    </row>
    <row r="523">
      <c r="B523" s="56"/>
      <c r="D523" s="56"/>
      <c r="F523" s="56"/>
    </row>
    <row r="524">
      <c r="B524" s="56"/>
      <c r="D524" s="56"/>
      <c r="F524" s="56"/>
    </row>
    <row r="525">
      <c r="B525" s="56"/>
      <c r="D525" s="56"/>
      <c r="F525" s="56"/>
    </row>
    <row r="526">
      <c r="B526" s="56"/>
      <c r="D526" s="56"/>
      <c r="F526" s="56"/>
    </row>
    <row r="527">
      <c r="B527" s="56"/>
      <c r="D527" s="56"/>
      <c r="F527" s="56"/>
    </row>
    <row r="528">
      <c r="B528" s="56"/>
      <c r="D528" s="56"/>
      <c r="F528" s="56"/>
    </row>
    <row r="529">
      <c r="B529" s="56"/>
      <c r="D529" s="56"/>
      <c r="F529" s="56"/>
    </row>
    <row r="530">
      <c r="B530" s="56"/>
      <c r="D530" s="56"/>
      <c r="F530" s="56"/>
    </row>
    <row r="531">
      <c r="B531" s="56"/>
      <c r="D531" s="56"/>
      <c r="F531" s="56"/>
    </row>
    <row r="532">
      <c r="B532" s="56"/>
      <c r="D532" s="56"/>
      <c r="F532" s="56"/>
    </row>
    <row r="533">
      <c r="B533" s="56"/>
      <c r="D533" s="56"/>
      <c r="F533" s="56"/>
    </row>
    <row r="534">
      <c r="B534" s="56"/>
      <c r="D534" s="56"/>
      <c r="F534" s="56"/>
    </row>
    <row r="535">
      <c r="B535" s="56"/>
      <c r="D535" s="56"/>
      <c r="F535" s="56"/>
    </row>
    <row r="536">
      <c r="B536" s="56"/>
      <c r="D536" s="56"/>
      <c r="F536" s="56"/>
    </row>
    <row r="537">
      <c r="B537" s="56"/>
      <c r="D537" s="56"/>
      <c r="F537" s="56"/>
    </row>
    <row r="538">
      <c r="B538" s="56"/>
      <c r="D538" s="56"/>
      <c r="F538" s="56"/>
    </row>
    <row r="539">
      <c r="B539" s="56"/>
      <c r="D539" s="56"/>
      <c r="F539" s="56"/>
    </row>
    <row r="540">
      <c r="B540" s="56"/>
      <c r="D540" s="56"/>
      <c r="F540" s="56"/>
    </row>
    <row r="541">
      <c r="B541" s="56"/>
      <c r="D541" s="56"/>
      <c r="F541" s="56"/>
    </row>
    <row r="542">
      <c r="B542" s="56"/>
      <c r="D542" s="56"/>
      <c r="F542" s="56"/>
    </row>
    <row r="543">
      <c r="B543" s="56"/>
      <c r="D543" s="56"/>
      <c r="F543" s="56"/>
    </row>
    <row r="544">
      <c r="B544" s="56"/>
      <c r="D544" s="56"/>
      <c r="F544" s="56"/>
    </row>
    <row r="545">
      <c r="B545" s="56"/>
      <c r="D545" s="56"/>
      <c r="F545" s="56"/>
    </row>
    <row r="546">
      <c r="B546" s="56"/>
      <c r="D546" s="56"/>
      <c r="F546" s="56"/>
    </row>
    <row r="547">
      <c r="B547" s="56"/>
      <c r="D547" s="56"/>
      <c r="F547" s="56"/>
    </row>
    <row r="548">
      <c r="B548" s="56"/>
      <c r="D548" s="56"/>
      <c r="F548" s="56"/>
    </row>
    <row r="549">
      <c r="B549" s="56"/>
      <c r="D549" s="56"/>
      <c r="F549" s="56"/>
    </row>
    <row r="550">
      <c r="B550" s="56"/>
      <c r="D550" s="56"/>
      <c r="F550" s="56"/>
    </row>
    <row r="551">
      <c r="B551" s="56"/>
      <c r="D551" s="56"/>
      <c r="F551" s="56"/>
    </row>
    <row r="552">
      <c r="B552" s="56"/>
      <c r="D552" s="56"/>
      <c r="F552" s="56"/>
    </row>
    <row r="553">
      <c r="B553" s="56"/>
      <c r="D553" s="56"/>
      <c r="F553" s="56"/>
    </row>
    <row r="554">
      <c r="B554" s="56"/>
      <c r="D554" s="56"/>
      <c r="F554" s="56"/>
    </row>
    <row r="555">
      <c r="B555" s="56"/>
      <c r="D555" s="56"/>
      <c r="F555" s="56"/>
    </row>
    <row r="556">
      <c r="B556" s="56"/>
      <c r="D556" s="56"/>
      <c r="F556" s="56"/>
    </row>
    <row r="557">
      <c r="B557" s="56"/>
      <c r="D557" s="56"/>
      <c r="F557" s="56"/>
    </row>
    <row r="558">
      <c r="B558" s="56"/>
      <c r="D558" s="56"/>
      <c r="F558" s="56"/>
    </row>
    <row r="559">
      <c r="B559" s="56"/>
      <c r="D559" s="56"/>
      <c r="F559" s="56"/>
    </row>
    <row r="560">
      <c r="B560" s="56"/>
      <c r="D560" s="56"/>
      <c r="F560" s="56"/>
    </row>
    <row r="561">
      <c r="B561" s="56"/>
      <c r="D561" s="56"/>
      <c r="F561" s="56"/>
    </row>
    <row r="562">
      <c r="B562" s="56"/>
      <c r="D562" s="56"/>
      <c r="F562" s="56"/>
    </row>
    <row r="563">
      <c r="B563" s="56"/>
      <c r="D563" s="56"/>
      <c r="F563" s="56"/>
    </row>
    <row r="564">
      <c r="B564" s="56"/>
      <c r="D564" s="56"/>
      <c r="F564" s="56"/>
    </row>
    <row r="565">
      <c r="B565" s="56"/>
      <c r="D565" s="56"/>
      <c r="F565" s="56"/>
    </row>
    <row r="566">
      <c r="B566" s="56"/>
      <c r="D566" s="56"/>
      <c r="F566" s="56"/>
    </row>
    <row r="567">
      <c r="B567" s="56"/>
      <c r="D567" s="56"/>
      <c r="F567" s="56"/>
    </row>
    <row r="568">
      <c r="B568" s="56"/>
      <c r="D568" s="56"/>
      <c r="F568" s="56"/>
    </row>
    <row r="569">
      <c r="B569" s="56"/>
      <c r="D569" s="56"/>
      <c r="F569" s="56"/>
    </row>
    <row r="570">
      <c r="B570" s="56"/>
      <c r="D570" s="56"/>
      <c r="F570" s="56"/>
    </row>
    <row r="571">
      <c r="B571" s="56"/>
      <c r="D571" s="56"/>
      <c r="F571" s="56"/>
    </row>
    <row r="572">
      <c r="B572" s="56"/>
      <c r="D572" s="56"/>
      <c r="F572" s="56"/>
    </row>
    <row r="573">
      <c r="B573" s="56"/>
      <c r="D573" s="56"/>
      <c r="F573" s="56"/>
    </row>
    <row r="574">
      <c r="B574" s="56"/>
      <c r="D574" s="56"/>
      <c r="F574" s="56"/>
    </row>
    <row r="575">
      <c r="B575" s="56"/>
      <c r="D575" s="56"/>
      <c r="F575" s="56"/>
    </row>
    <row r="576">
      <c r="B576" s="56"/>
      <c r="D576" s="56"/>
      <c r="F576" s="56"/>
    </row>
    <row r="577">
      <c r="B577" s="56"/>
      <c r="D577" s="56"/>
      <c r="F577" s="56"/>
    </row>
    <row r="578">
      <c r="B578" s="56"/>
      <c r="D578" s="56"/>
      <c r="F578" s="56"/>
    </row>
    <row r="579">
      <c r="B579" s="56"/>
      <c r="D579" s="56"/>
      <c r="F579" s="56"/>
    </row>
    <row r="580">
      <c r="B580" s="56"/>
      <c r="D580" s="56"/>
      <c r="F580" s="56"/>
    </row>
    <row r="581">
      <c r="B581" s="56"/>
      <c r="D581" s="56"/>
      <c r="F581" s="56"/>
    </row>
    <row r="582">
      <c r="B582" s="56"/>
      <c r="D582" s="56"/>
      <c r="F582" s="56"/>
    </row>
    <row r="583">
      <c r="B583" s="56"/>
      <c r="D583" s="56"/>
      <c r="F583" s="56"/>
    </row>
    <row r="584">
      <c r="B584" s="56"/>
      <c r="D584" s="56"/>
      <c r="F584" s="56"/>
    </row>
    <row r="585">
      <c r="B585" s="56"/>
      <c r="D585" s="56"/>
      <c r="F585" s="56"/>
    </row>
    <row r="586">
      <c r="B586" s="56"/>
      <c r="D586" s="56"/>
      <c r="F586" s="56"/>
    </row>
    <row r="587">
      <c r="B587" s="56"/>
      <c r="D587" s="56"/>
      <c r="F587" s="56"/>
    </row>
    <row r="588">
      <c r="B588" s="56"/>
      <c r="D588" s="56"/>
      <c r="F588" s="56"/>
    </row>
    <row r="589">
      <c r="B589" s="56"/>
      <c r="D589" s="56"/>
      <c r="F589" s="56"/>
    </row>
    <row r="590">
      <c r="B590" s="56"/>
      <c r="D590" s="56"/>
      <c r="F590" s="56"/>
    </row>
    <row r="591">
      <c r="B591" s="56"/>
      <c r="D591" s="56"/>
      <c r="F591" s="56"/>
    </row>
    <row r="592">
      <c r="B592" s="56"/>
      <c r="D592" s="56"/>
      <c r="F592" s="56"/>
    </row>
    <row r="593">
      <c r="B593" s="56"/>
      <c r="D593" s="56"/>
      <c r="F593" s="56"/>
    </row>
    <row r="594">
      <c r="B594" s="56"/>
      <c r="D594" s="56"/>
      <c r="F594" s="56"/>
    </row>
    <row r="595">
      <c r="B595" s="56"/>
      <c r="D595" s="56"/>
      <c r="F595" s="56"/>
    </row>
    <row r="596">
      <c r="B596" s="56"/>
      <c r="D596" s="56"/>
      <c r="F596" s="56"/>
    </row>
    <row r="597">
      <c r="B597" s="56"/>
      <c r="D597" s="56"/>
      <c r="F597" s="56"/>
    </row>
    <row r="598">
      <c r="B598" s="56"/>
      <c r="D598" s="56"/>
      <c r="F598" s="56"/>
    </row>
    <row r="599">
      <c r="B599" s="56"/>
      <c r="D599" s="56"/>
      <c r="F599" s="56"/>
    </row>
    <row r="600">
      <c r="B600" s="56"/>
      <c r="D600" s="56"/>
      <c r="F600" s="56"/>
    </row>
    <row r="601">
      <c r="B601" s="56"/>
      <c r="D601" s="56"/>
      <c r="F601" s="56"/>
    </row>
    <row r="602">
      <c r="B602" s="56"/>
      <c r="D602" s="56"/>
      <c r="F602" s="56"/>
    </row>
    <row r="603">
      <c r="B603" s="56"/>
      <c r="D603" s="56"/>
      <c r="F603" s="56"/>
    </row>
    <row r="604">
      <c r="B604" s="56"/>
      <c r="D604" s="56"/>
      <c r="F604" s="56"/>
    </row>
    <row r="605">
      <c r="B605" s="56"/>
      <c r="D605" s="56"/>
      <c r="F605" s="56"/>
    </row>
    <row r="606">
      <c r="B606" s="56"/>
      <c r="D606" s="56"/>
      <c r="F606" s="56"/>
    </row>
    <row r="607">
      <c r="B607" s="56"/>
      <c r="D607" s="56"/>
      <c r="F607" s="56"/>
    </row>
    <row r="608">
      <c r="B608" s="56"/>
      <c r="D608" s="56"/>
      <c r="F608" s="56"/>
    </row>
    <row r="609">
      <c r="B609" s="56"/>
      <c r="D609" s="56"/>
      <c r="F609" s="56"/>
    </row>
    <row r="610">
      <c r="B610" s="56"/>
      <c r="D610" s="56"/>
      <c r="F610" s="56"/>
    </row>
    <row r="611">
      <c r="B611" s="56"/>
      <c r="D611" s="56"/>
      <c r="F611" s="56"/>
    </row>
    <row r="612">
      <c r="B612" s="56"/>
      <c r="D612" s="56"/>
      <c r="F612" s="56"/>
    </row>
    <row r="613">
      <c r="B613" s="56"/>
      <c r="D613" s="56"/>
      <c r="F613" s="56"/>
    </row>
    <row r="614">
      <c r="B614" s="56"/>
      <c r="D614" s="56"/>
      <c r="F614" s="56"/>
    </row>
    <row r="615">
      <c r="B615" s="56"/>
      <c r="D615" s="56"/>
      <c r="F615" s="56"/>
    </row>
    <row r="616">
      <c r="B616" s="56"/>
      <c r="D616" s="56"/>
      <c r="F616" s="56"/>
    </row>
    <row r="617">
      <c r="B617" s="56"/>
      <c r="D617" s="56"/>
      <c r="F617" s="56"/>
    </row>
    <row r="618">
      <c r="B618" s="56"/>
      <c r="D618" s="56"/>
      <c r="F618" s="56"/>
    </row>
    <row r="619">
      <c r="B619" s="56"/>
      <c r="D619" s="56"/>
      <c r="F619" s="56"/>
    </row>
    <row r="620">
      <c r="B620" s="56"/>
      <c r="D620" s="56"/>
      <c r="F620" s="56"/>
    </row>
    <row r="621">
      <c r="B621" s="56"/>
      <c r="D621" s="56"/>
      <c r="F621" s="56"/>
    </row>
    <row r="622">
      <c r="B622" s="56"/>
      <c r="D622" s="56"/>
      <c r="F622" s="56"/>
    </row>
    <row r="623">
      <c r="B623" s="56"/>
      <c r="D623" s="56"/>
      <c r="F623" s="56"/>
    </row>
    <row r="624">
      <c r="B624" s="56"/>
      <c r="D624" s="56"/>
      <c r="F624" s="56"/>
    </row>
    <row r="625">
      <c r="B625" s="56"/>
      <c r="D625" s="56"/>
      <c r="F625" s="56"/>
    </row>
    <row r="626">
      <c r="B626" s="56"/>
      <c r="D626" s="56"/>
      <c r="F626" s="56"/>
    </row>
    <row r="627">
      <c r="B627" s="56"/>
      <c r="D627" s="56"/>
      <c r="F627" s="56"/>
    </row>
    <row r="628">
      <c r="B628" s="56"/>
      <c r="D628" s="56"/>
      <c r="F628" s="56"/>
    </row>
    <row r="629">
      <c r="B629" s="56"/>
      <c r="D629" s="56"/>
      <c r="F629" s="56"/>
    </row>
    <row r="630">
      <c r="B630" s="56"/>
      <c r="D630" s="56"/>
      <c r="F630" s="56"/>
    </row>
    <row r="631">
      <c r="B631" s="56"/>
      <c r="D631" s="56"/>
      <c r="F631" s="56"/>
    </row>
    <row r="632">
      <c r="B632" s="56"/>
      <c r="D632" s="56"/>
      <c r="F632" s="56"/>
    </row>
    <row r="633">
      <c r="B633" s="56"/>
      <c r="D633" s="56"/>
      <c r="F633" s="56"/>
    </row>
    <row r="634">
      <c r="B634" s="56"/>
      <c r="D634" s="56"/>
      <c r="F634" s="56"/>
    </row>
    <row r="635">
      <c r="B635" s="56"/>
      <c r="D635" s="56"/>
      <c r="F635" s="56"/>
    </row>
    <row r="636">
      <c r="B636" s="56"/>
      <c r="D636" s="56"/>
      <c r="F636" s="56"/>
    </row>
    <row r="637">
      <c r="B637" s="56"/>
      <c r="D637" s="56"/>
      <c r="F637" s="56"/>
    </row>
    <row r="638">
      <c r="B638" s="56"/>
      <c r="D638" s="56"/>
      <c r="F638" s="56"/>
    </row>
    <row r="639">
      <c r="B639" s="56"/>
      <c r="D639" s="56"/>
      <c r="F639" s="56"/>
    </row>
    <row r="640">
      <c r="B640" s="56"/>
      <c r="D640" s="56"/>
      <c r="F640" s="56"/>
    </row>
    <row r="641">
      <c r="B641" s="56"/>
      <c r="D641" s="56"/>
      <c r="F641" s="56"/>
    </row>
    <row r="642">
      <c r="B642" s="56"/>
      <c r="D642" s="56"/>
      <c r="F642" s="56"/>
    </row>
    <row r="643">
      <c r="B643" s="56"/>
      <c r="D643" s="56"/>
      <c r="F643" s="56"/>
    </row>
    <row r="644">
      <c r="B644" s="56"/>
      <c r="D644" s="56"/>
      <c r="F644" s="56"/>
    </row>
    <row r="645">
      <c r="B645" s="56"/>
      <c r="D645" s="56"/>
      <c r="F645" s="56"/>
    </row>
    <row r="646">
      <c r="B646" s="56"/>
      <c r="D646" s="56"/>
      <c r="F646" s="56"/>
    </row>
    <row r="647">
      <c r="B647" s="56"/>
      <c r="D647" s="56"/>
      <c r="F647" s="56"/>
    </row>
    <row r="648">
      <c r="B648" s="56"/>
      <c r="D648" s="56"/>
      <c r="F648" s="56"/>
    </row>
    <row r="649">
      <c r="B649" s="56"/>
      <c r="D649" s="56"/>
      <c r="F649" s="56"/>
    </row>
    <row r="650">
      <c r="B650" s="56"/>
      <c r="D650" s="56"/>
      <c r="F650" s="56"/>
    </row>
    <row r="651">
      <c r="B651" s="56"/>
      <c r="D651" s="56"/>
      <c r="F651" s="56"/>
    </row>
    <row r="652">
      <c r="B652" s="56"/>
      <c r="D652" s="56"/>
      <c r="F652" s="56"/>
    </row>
    <row r="653">
      <c r="B653" s="56"/>
      <c r="D653" s="56"/>
      <c r="F653" s="56"/>
    </row>
    <row r="654">
      <c r="B654" s="56"/>
      <c r="D654" s="56"/>
      <c r="F654" s="56"/>
    </row>
    <row r="655">
      <c r="B655" s="56"/>
      <c r="D655" s="56"/>
      <c r="F655" s="56"/>
    </row>
    <row r="656">
      <c r="B656" s="56"/>
      <c r="D656" s="56"/>
      <c r="F656" s="56"/>
    </row>
    <row r="657">
      <c r="B657" s="56"/>
      <c r="D657" s="56"/>
      <c r="F657" s="56"/>
    </row>
    <row r="658">
      <c r="B658" s="56"/>
      <c r="D658" s="56"/>
      <c r="F658" s="56"/>
    </row>
    <row r="659">
      <c r="B659" s="56"/>
      <c r="D659" s="56"/>
      <c r="F659" s="56"/>
    </row>
    <row r="660">
      <c r="B660" s="56"/>
      <c r="D660" s="56"/>
      <c r="F660" s="56"/>
    </row>
    <row r="661">
      <c r="B661" s="56"/>
      <c r="D661" s="56"/>
      <c r="F661" s="56"/>
    </row>
    <row r="662">
      <c r="B662" s="56"/>
      <c r="D662" s="56"/>
      <c r="F662" s="56"/>
    </row>
    <row r="663">
      <c r="B663" s="56"/>
      <c r="D663" s="56"/>
      <c r="F663" s="56"/>
    </row>
    <row r="664">
      <c r="B664" s="56"/>
      <c r="D664" s="56"/>
      <c r="F664" s="56"/>
    </row>
    <row r="665">
      <c r="B665" s="56"/>
      <c r="D665" s="56"/>
      <c r="F665" s="56"/>
    </row>
    <row r="666">
      <c r="B666" s="56"/>
      <c r="D666" s="56"/>
      <c r="F666" s="56"/>
    </row>
    <row r="667">
      <c r="B667" s="56"/>
      <c r="D667" s="56"/>
      <c r="F667" s="56"/>
    </row>
    <row r="668">
      <c r="B668" s="56"/>
      <c r="D668" s="56"/>
      <c r="F668" s="56"/>
    </row>
    <row r="669">
      <c r="B669" s="56"/>
      <c r="D669" s="56"/>
      <c r="F669" s="56"/>
    </row>
    <row r="670">
      <c r="B670" s="56"/>
      <c r="D670" s="56"/>
      <c r="F670" s="56"/>
    </row>
    <row r="671">
      <c r="B671" s="56"/>
      <c r="D671" s="56"/>
      <c r="F671" s="56"/>
    </row>
    <row r="672">
      <c r="B672" s="56"/>
      <c r="D672" s="56"/>
      <c r="F672" s="56"/>
    </row>
    <row r="673">
      <c r="B673" s="56"/>
      <c r="D673" s="56"/>
      <c r="F673" s="56"/>
    </row>
    <row r="674">
      <c r="B674" s="56"/>
      <c r="D674" s="56"/>
      <c r="F674" s="56"/>
    </row>
    <row r="675">
      <c r="B675" s="56"/>
      <c r="D675" s="56"/>
      <c r="F675" s="56"/>
    </row>
    <row r="676">
      <c r="B676" s="56"/>
      <c r="D676" s="56"/>
      <c r="F676" s="56"/>
    </row>
    <row r="677">
      <c r="B677" s="56"/>
      <c r="D677" s="56"/>
      <c r="F677" s="56"/>
    </row>
    <row r="678">
      <c r="B678" s="56"/>
      <c r="D678" s="56"/>
      <c r="F678" s="56"/>
    </row>
    <row r="679">
      <c r="B679" s="56"/>
      <c r="D679" s="56"/>
      <c r="F679" s="56"/>
    </row>
    <row r="680">
      <c r="B680" s="56"/>
      <c r="D680" s="56"/>
      <c r="F680" s="56"/>
    </row>
    <row r="681">
      <c r="B681" s="56"/>
      <c r="D681" s="56"/>
      <c r="F681" s="56"/>
    </row>
    <row r="682">
      <c r="B682" s="56"/>
      <c r="D682" s="56"/>
      <c r="F682" s="56"/>
    </row>
    <row r="683">
      <c r="B683" s="56"/>
      <c r="D683" s="56"/>
      <c r="F683" s="56"/>
    </row>
    <row r="684">
      <c r="B684" s="56"/>
      <c r="D684" s="56"/>
      <c r="F684" s="56"/>
    </row>
    <row r="685">
      <c r="B685" s="56"/>
      <c r="D685" s="56"/>
      <c r="F685" s="56"/>
    </row>
    <row r="686">
      <c r="B686" s="56"/>
      <c r="D686" s="56"/>
      <c r="F686" s="56"/>
    </row>
    <row r="687">
      <c r="B687" s="56"/>
      <c r="D687" s="56"/>
      <c r="F687" s="56"/>
    </row>
    <row r="688">
      <c r="B688" s="56"/>
      <c r="D688" s="56"/>
      <c r="F688" s="56"/>
    </row>
    <row r="689">
      <c r="B689" s="56"/>
      <c r="D689" s="56"/>
      <c r="F689" s="56"/>
    </row>
    <row r="690">
      <c r="B690" s="56"/>
      <c r="D690" s="56"/>
      <c r="F690" s="56"/>
    </row>
    <row r="691">
      <c r="B691" s="56"/>
      <c r="D691" s="56"/>
      <c r="F691" s="56"/>
    </row>
    <row r="692">
      <c r="B692" s="56"/>
      <c r="D692" s="56"/>
      <c r="F692" s="56"/>
    </row>
    <row r="693">
      <c r="B693" s="56"/>
      <c r="D693" s="56"/>
      <c r="F693" s="56"/>
    </row>
    <row r="694">
      <c r="B694" s="56"/>
      <c r="D694" s="56"/>
      <c r="F694" s="56"/>
    </row>
    <row r="695">
      <c r="B695" s="56"/>
      <c r="D695" s="56"/>
      <c r="F695" s="56"/>
    </row>
    <row r="696">
      <c r="B696" s="56"/>
      <c r="D696" s="56"/>
      <c r="F696" s="56"/>
    </row>
    <row r="697">
      <c r="B697" s="56"/>
      <c r="D697" s="56"/>
      <c r="F697" s="56"/>
    </row>
    <row r="698">
      <c r="B698" s="56"/>
      <c r="D698" s="56"/>
      <c r="F698" s="56"/>
    </row>
    <row r="699">
      <c r="B699" s="56"/>
      <c r="D699" s="56"/>
      <c r="F699" s="56"/>
    </row>
    <row r="700">
      <c r="B700" s="56"/>
      <c r="D700" s="56"/>
      <c r="F700" s="56"/>
    </row>
    <row r="701">
      <c r="B701" s="56"/>
      <c r="D701" s="56"/>
      <c r="F701" s="56"/>
    </row>
    <row r="702">
      <c r="B702" s="56"/>
      <c r="D702" s="56"/>
      <c r="F702" s="56"/>
    </row>
    <row r="703">
      <c r="B703" s="56"/>
      <c r="D703" s="56"/>
      <c r="F703" s="56"/>
    </row>
    <row r="704">
      <c r="B704" s="56"/>
      <c r="D704" s="56"/>
      <c r="F704" s="56"/>
    </row>
    <row r="705">
      <c r="B705" s="56"/>
      <c r="D705" s="56"/>
      <c r="F705" s="56"/>
    </row>
    <row r="706">
      <c r="B706" s="56"/>
      <c r="D706" s="56"/>
      <c r="F706" s="56"/>
    </row>
    <row r="707">
      <c r="B707" s="56"/>
      <c r="D707" s="56"/>
      <c r="F707" s="56"/>
    </row>
    <row r="708">
      <c r="B708" s="56"/>
      <c r="D708" s="56"/>
      <c r="F708" s="56"/>
    </row>
    <row r="709">
      <c r="B709" s="56"/>
      <c r="D709" s="56"/>
      <c r="F709" s="56"/>
    </row>
    <row r="710">
      <c r="B710" s="56"/>
      <c r="D710" s="56"/>
      <c r="F710" s="56"/>
    </row>
    <row r="711">
      <c r="B711" s="56"/>
      <c r="D711" s="56"/>
      <c r="F711" s="56"/>
    </row>
    <row r="712">
      <c r="B712" s="56"/>
      <c r="D712" s="56"/>
      <c r="F712" s="56"/>
    </row>
    <row r="713">
      <c r="B713" s="56"/>
      <c r="D713" s="56"/>
      <c r="F713" s="56"/>
    </row>
    <row r="714">
      <c r="B714" s="56"/>
      <c r="D714" s="56"/>
      <c r="F714" s="56"/>
    </row>
    <row r="715">
      <c r="B715" s="56"/>
      <c r="D715" s="56"/>
      <c r="F715" s="56"/>
    </row>
    <row r="716">
      <c r="B716" s="56"/>
      <c r="D716" s="56"/>
      <c r="F716" s="56"/>
    </row>
    <row r="717">
      <c r="B717" s="56"/>
      <c r="D717" s="56"/>
      <c r="F717" s="56"/>
    </row>
    <row r="718">
      <c r="B718" s="56"/>
      <c r="D718" s="56"/>
      <c r="F718" s="56"/>
    </row>
    <row r="719">
      <c r="B719" s="56"/>
      <c r="D719" s="56"/>
      <c r="F719" s="56"/>
    </row>
    <row r="720">
      <c r="B720" s="56"/>
      <c r="D720" s="56"/>
      <c r="F720" s="56"/>
    </row>
    <row r="721">
      <c r="B721" s="56"/>
      <c r="D721" s="56"/>
      <c r="F721" s="56"/>
    </row>
    <row r="722">
      <c r="B722" s="56"/>
      <c r="D722" s="56"/>
      <c r="F722" s="56"/>
    </row>
    <row r="723">
      <c r="B723" s="56"/>
      <c r="D723" s="56"/>
      <c r="F723" s="56"/>
    </row>
    <row r="724">
      <c r="B724" s="56"/>
      <c r="D724" s="56"/>
      <c r="F724" s="56"/>
    </row>
    <row r="725">
      <c r="B725" s="56"/>
      <c r="D725" s="56"/>
      <c r="F725" s="56"/>
    </row>
    <row r="726">
      <c r="B726" s="56"/>
      <c r="D726" s="56"/>
      <c r="F726" s="56"/>
    </row>
    <row r="727">
      <c r="B727" s="56"/>
      <c r="D727" s="56"/>
      <c r="F727" s="56"/>
    </row>
    <row r="728">
      <c r="B728" s="56"/>
      <c r="D728" s="56"/>
      <c r="F728" s="56"/>
    </row>
    <row r="729">
      <c r="B729" s="56"/>
      <c r="D729" s="56"/>
      <c r="F729" s="56"/>
    </row>
    <row r="730">
      <c r="B730" s="56"/>
      <c r="D730" s="56"/>
      <c r="F730" s="56"/>
    </row>
    <row r="731">
      <c r="B731" s="56"/>
      <c r="D731" s="56"/>
      <c r="F731" s="56"/>
    </row>
    <row r="732">
      <c r="B732" s="56"/>
      <c r="D732" s="56"/>
      <c r="F732" s="56"/>
    </row>
    <row r="733">
      <c r="B733" s="56"/>
      <c r="D733" s="56"/>
      <c r="F733" s="56"/>
    </row>
    <row r="734">
      <c r="B734" s="56"/>
      <c r="D734" s="56"/>
      <c r="F734" s="56"/>
    </row>
    <row r="735">
      <c r="B735" s="56"/>
      <c r="D735" s="56"/>
      <c r="F735" s="56"/>
    </row>
    <row r="736">
      <c r="B736" s="56"/>
      <c r="D736" s="56"/>
      <c r="F736" s="56"/>
    </row>
    <row r="737">
      <c r="B737" s="56"/>
      <c r="D737" s="56"/>
      <c r="F737" s="56"/>
    </row>
    <row r="738">
      <c r="B738" s="56"/>
      <c r="D738" s="56"/>
      <c r="F738" s="56"/>
    </row>
    <row r="739">
      <c r="B739" s="56"/>
      <c r="D739" s="56"/>
      <c r="F739" s="56"/>
    </row>
    <row r="740">
      <c r="B740" s="56"/>
      <c r="D740" s="56"/>
      <c r="F740" s="56"/>
    </row>
    <row r="741">
      <c r="B741" s="56"/>
      <c r="D741" s="56"/>
      <c r="F741" s="56"/>
    </row>
    <row r="742">
      <c r="B742" s="56"/>
      <c r="D742" s="56"/>
      <c r="F742" s="56"/>
    </row>
    <row r="743">
      <c r="B743" s="56"/>
      <c r="D743" s="56"/>
      <c r="F743" s="56"/>
    </row>
    <row r="744">
      <c r="B744" s="56"/>
      <c r="D744" s="56"/>
      <c r="F744" s="56"/>
    </row>
    <row r="745">
      <c r="B745" s="56"/>
      <c r="D745" s="56"/>
      <c r="F745" s="56"/>
    </row>
    <row r="746">
      <c r="B746" s="56"/>
      <c r="D746" s="56"/>
      <c r="F746" s="56"/>
    </row>
    <row r="747">
      <c r="B747" s="56"/>
      <c r="D747" s="56"/>
      <c r="F747" s="56"/>
    </row>
    <row r="748">
      <c r="B748" s="56"/>
      <c r="D748" s="56"/>
      <c r="F748" s="56"/>
    </row>
    <row r="749">
      <c r="B749" s="56"/>
      <c r="D749" s="56"/>
      <c r="F749" s="56"/>
    </row>
    <row r="750">
      <c r="B750" s="56"/>
      <c r="D750" s="56"/>
      <c r="F750" s="56"/>
    </row>
    <row r="751">
      <c r="B751" s="56"/>
      <c r="D751" s="56"/>
      <c r="F751" s="56"/>
    </row>
    <row r="752">
      <c r="B752" s="56"/>
      <c r="D752" s="56"/>
      <c r="F752" s="56"/>
    </row>
    <row r="753">
      <c r="B753" s="56"/>
      <c r="D753" s="56"/>
      <c r="F753" s="56"/>
    </row>
    <row r="754">
      <c r="B754" s="56"/>
      <c r="D754" s="56"/>
      <c r="F754" s="56"/>
    </row>
    <row r="755">
      <c r="B755" s="56"/>
      <c r="D755" s="56"/>
      <c r="F755" s="56"/>
    </row>
    <row r="756">
      <c r="B756" s="56"/>
      <c r="D756" s="56"/>
      <c r="F756" s="56"/>
    </row>
    <row r="757">
      <c r="B757" s="56"/>
      <c r="D757" s="56"/>
      <c r="F757" s="56"/>
    </row>
    <row r="758">
      <c r="B758" s="56"/>
      <c r="D758" s="56"/>
      <c r="F758" s="56"/>
    </row>
    <row r="759">
      <c r="B759" s="56"/>
      <c r="D759" s="56"/>
      <c r="F759" s="56"/>
    </row>
    <row r="760">
      <c r="B760" s="56"/>
      <c r="D760" s="56"/>
      <c r="F760" s="56"/>
    </row>
    <row r="761">
      <c r="B761" s="56"/>
      <c r="D761" s="56"/>
      <c r="F761" s="56"/>
    </row>
    <row r="762">
      <c r="B762" s="56"/>
      <c r="D762" s="56"/>
      <c r="F762" s="56"/>
    </row>
    <row r="763">
      <c r="B763" s="56"/>
      <c r="D763" s="56"/>
      <c r="F763" s="56"/>
    </row>
    <row r="764">
      <c r="B764" s="56"/>
      <c r="D764" s="56"/>
      <c r="F764" s="56"/>
    </row>
    <row r="765">
      <c r="B765" s="56"/>
      <c r="D765" s="56"/>
      <c r="F765" s="56"/>
    </row>
    <row r="766">
      <c r="B766" s="56"/>
      <c r="D766" s="56"/>
      <c r="F766" s="56"/>
    </row>
    <row r="767">
      <c r="B767" s="56"/>
      <c r="D767" s="56"/>
      <c r="F767" s="56"/>
    </row>
    <row r="768">
      <c r="B768" s="56"/>
      <c r="D768" s="56"/>
      <c r="F768" s="56"/>
    </row>
    <row r="769">
      <c r="B769" s="56"/>
      <c r="D769" s="56"/>
      <c r="F769" s="56"/>
    </row>
    <row r="770">
      <c r="B770" s="56"/>
      <c r="D770" s="56"/>
      <c r="F770" s="56"/>
    </row>
    <row r="771">
      <c r="B771" s="56"/>
      <c r="D771" s="56"/>
      <c r="F771" s="56"/>
    </row>
    <row r="772">
      <c r="B772" s="56"/>
      <c r="D772" s="56"/>
      <c r="F772" s="56"/>
    </row>
    <row r="773">
      <c r="B773" s="56"/>
      <c r="D773" s="56"/>
      <c r="F773" s="56"/>
    </row>
    <row r="774">
      <c r="B774" s="56"/>
      <c r="D774" s="56"/>
      <c r="F774" s="56"/>
    </row>
    <row r="775">
      <c r="B775" s="56"/>
      <c r="D775" s="56"/>
      <c r="F775" s="56"/>
    </row>
    <row r="776">
      <c r="B776" s="56"/>
      <c r="D776" s="56"/>
      <c r="F776" s="56"/>
    </row>
    <row r="777">
      <c r="B777" s="56"/>
      <c r="D777" s="56"/>
      <c r="F777" s="56"/>
    </row>
    <row r="778">
      <c r="B778" s="56"/>
      <c r="D778" s="56"/>
      <c r="F778" s="56"/>
    </row>
    <row r="779">
      <c r="B779" s="56"/>
      <c r="D779" s="56"/>
      <c r="F779" s="56"/>
    </row>
    <row r="780">
      <c r="B780" s="56"/>
      <c r="D780" s="56"/>
      <c r="F780" s="56"/>
    </row>
    <row r="781">
      <c r="B781" s="56"/>
      <c r="D781" s="56"/>
      <c r="F781" s="56"/>
    </row>
    <row r="782">
      <c r="B782" s="56"/>
      <c r="D782" s="56"/>
      <c r="F782" s="56"/>
    </row>
    <row r="783">
      <c r="B783" s="56"/>
      <c r="D783" s="56"/>
      <c r="F783" s="56"/>
    </row>
    <row r="784">
      <c r="B784" s="56"/>
      <c r="D784" s="56"/>
      <c r="F784" s="56"/>
    </row>
    <row r="785">
      <c r="B785" s="56"/>
      <c r="D785" s="56"/>
      <c r="F785" s="56"/>
    </row>
    <row r="786">
      <c r="B786" s="56"/>
      <c r="D786" s="56"/>
      <c r="F786" s="56"/>
    </row>
    <row r="787">
      <c r="B787" s="56"/>
      <c r="D787" s="56"/>
      <c r="F787" s="56"/>
    </row>
    <row r="788">
      <c r="B788" s="56"/>
      <c r="D788" s="56"/>
      <c r="F788" s="56"/>
    </row>
    <row r="789">
      <c r="B789" s="56"/>
      <c r="D789" s="56"/>
      <c r="F789" s="56"/>
    </row>
    <row r="790">
      <c r="B790" s="56"/>
      <c r="D790" s="56"/>
      <c r="F790" s="56"/>
    </row>
    <row r="791">
      <c r="B791" s="56"/>
      <c r="D791" s="56"/>
      <c r="F791" s="56"/>
    </row>
    <row r="792">
      <c r="B792" s="56"/>
      <c r="D792" s="56"/>
      <c r="F792" s="56"/>
    </row>
    <row r="793">
      <c r="B793" s="56"/>
      <c r="D793" s="56"/>
      <c r="F793" s="56"/>
    </row>
    <row r="794">
      <c r="B794" s="56"/>
      <c r="D794" s="56"/>
      <c r="F794" s="56"/>
    </row>
    <row r="795">
      <c r="B795" s="56"/>
      <c r="D795" s="56"/>
      <c r="F795" s="56"/>
    </row>
    <row r="796">
      <c r="B796" s="56"/>
      <c r="D796" s="56"/>
      <c r="F796" s="56"/>
    </row>
    <row r="797">
      <c r="B797" s="56"/>
      <c r="D797" s="56"/>
      <c r="F797" s="56"/>
    </row>
    <row r="798">
      <c r="B798" s="56"/>
      <c r="D798" s="56"/>
      <c r="F798" s="56"/>
    </row>
    <row r="799">
      <c r="B799" s="56"/>
      <c r="D799" s="56"/>
      <c r="F799" s="56"/>
    </row>
    <row r="800">
      <c r="B800" s="56"/>
      <c r="D800" s="56"/>
      <c r="F800" s="56"/>
    </row>
    <row r="801">
      <c r="B801" s="56"/>
      <c r="D801" s="56"/>
      <c r="F801" s="56"/>
    </row>
    <row r="802">
      <c r="B802" s="56"/>
      <c r="D802" s="56"/>
      <c r="F802" s="56"/>
    </row>
    <row r="803">
      <c r="B803" s="56"/>
      <c r="D803" s="56"/>
      <c r="F803" s="56"/>
    </row>
    <row r="804">
      <c r="B804" s="56"/>
      <c r="D804" s="56"/>
      <c r="F804" s="56"/>
    </row>
    <row r="805">
      <c r="B805" s="56"/>
      <c r="D805" s="56"/>
      <c r="F805" s="56"/>
    </row>
    <row r="806">
      <c r="B806" s="56"/>
      <c r="D806" s="56"/>
      <c r="F806" s="56"/>
    </row>
    <row r="807">
      <c r="B807" s="56"/>
      <c r="D807" s="56"/>
      <c r="F807" s="56"/>
    </row>
    <row r="808">
      <c r="B808" s="56"/>
      <c r="D808" s="56"/>
      <c r="F808" s="56"/>
    </row>
    <row r="809">
      <c r="B809" s="56"/>
      <c r="D809" s="56"/>
      <c r="F809" s="56"/>
    </row>
    <row r="810">
      <c r="B810" s="56"/>
      <c r="D810" s="56"/>
      <c r="F810" s="56"/>
    </row>
    <row r="811">
      <c r="B811" s="56"/>
      <c r="D811" s="56"/>
      <c r="F811" s="56"/>
    </row>
    <row r="812">
      <c r="B812" s="56"/>
      <c r="D812" s="56"/>
      <c r="F812" s="56"/>
    </row>
    <row r="813">
      <c r="B813" s="56"/>
      <c r="D813" s="56"/>
      <c r="F813" s="56"/>
    </row>
    <row r="814">
      <c r="B814" s="56"/>
      <c r="D814" s="56"/>
      <c r="F814" s="56"/>
    </row>
    <row r="815">
      <c r="B815" s="56"/>
      <c r="D815" s="56"/>
      <c r="F815" s="56"/>
    </row>
    <row r="816">
      <c r="B816" s="56"/>
      <c r="D816" s="56"/>
      <c r="F816" s="56"/>
    </row>
    <row r="817">
      <c r="B817" s="56"/>
      <c r="D817" s="56"/>
      <c r="F817" s="56"/>
    </row>
    <row r="818">
      <c r="B818" s="56"/>
      <c r="D818" s="56"/>
      <c r="F818" s="56"/>
    </row>
    <row r="819">
      <c r="B819" s="56"/>
      <c r="D819" s="56"/>
      <c r="F819" s="56"/>
    </row>
    <row r="820">
      <c r="B820" s="56"/>
      <c r="D820" s="56"/>
      <c r="F820" s="56"/>
    </row>
    <row r="821">
      <c r="B821" s="56"/>
      <c r="D821" s="56"/>
      <c r="F821" s="56"/>
    </row>
    <row r="822">
      <c r="B822" s="56"/>
      <c r="D822" s="56"/>
      <c r="F822" s="56"/>
    </row>
    <row r="823">
      <c r="B823" s="56"/>
      <c r="D823" s="56"/>
      <c r="F823" s="56"/>
    </row>
    <row r="824">
      <c r="B824" s="56"/>
      <c r="D824" s="56"/>
      <c r="F824" s="56"/>
    </row>
    <row r="825">
      <c r="B825" s="56"/>
      <c r="D825" s="56"/>
      <c r="F825" s="56"/>
    </row>
    <row r="826">
      <c r="B826" s="56"/>
      <c r="D826" s="56"/>
      <c r="F826" s="56"/>
    </row>
    <row r="827">
      <c r="B827" s="56"/>
      <c r="D827" s="56"/>
      <c r="F827" s="56"/>
    </row>
    <row r="828">
      <c r="B828" s="56"/>
      <c r="D828" s="56"/>
      <c r="F828" s="56"/>
    </row>
    <row r="829">
      <c r="B829" s="56"/>
      <c r="D829" s="56"/>
      <c r="F829" s="56"/>
    </row>
    <row r="830">
      <c r="B830" s="56"/>
      <c r="D830" s="56"/>
      <c r="F830" s="56"/>
    </row>
    <row r="831">
      <c r="B831" s="56"/>
      <c r="D831" s="56"/>
      <c r="F831" s="56"/>
    </row>
    <row r="832">
      <c r="B832" s="56"/>
      <c r="D832" s="56"/>
      <c r="F832" s="56"/>
    </row>
    <row r="833">
      <c r="B833" s="56"/>
      <c r="D833" s="56"/>
      <c r="F833" s="56"/>
    </row>
    <row r="834">
      <c r="B834" s="56"/>
      <c r="D834" s="56"/>
      <c r="F834" s="56"/>
    </row>
    <row r="835">
      <c r="B835" s="56"/>
      <c r="D835" s="56"/>
      <c r="F835" s="56"/>
    </row>
    <row r="836">
      <c r="B836" s="56"/>
      <c r="D836" s="56"/>
      <c r="F836" s="56"/>
    </row>
    <row r="837">
      <c r="B837" s="56"/>
      <c r="D837" s="56"/>
      <c r="F837" s="56"/>
    </row>
    <row r="838">
      <c r="B838" s="56"/>
      <c r="D838" s="56"/>
      <c r="F838" s="56"/>
    </row>
    <row r="839">
      <c r="B839" s="56"/>
      <c r="D839" s="56"/>
      <c r="F839" s="56"/>
    </row>
    <row r="840">
      <c r="B840" s="56"/>
      <c r="D840" s="56"/>
      <c r="F840" s="56"/>
    </row>
    <row r="841">
      <c r="B841" s="56"/>
      <c r="D841" s="56"/>
      <c r="F841" s="56"/>
    </row>
    <row r="842">
      <c r="B842" s="56"/>
      <c r="D842" s="56"/>
      <c r="F842" s="56"/>
    </row>
    <row r="843">
      <c r="B843" s="56"/>
      <c r="D843" s="56"/>
      <c r="F843" s="56"/>
    </row>
    <row r="844">
      <c r="B844" s="56"/>
      <c r="D844" s="56"/>
      <c r="F844" s="56"/>
    </row>
    <row r="845">
      <c r="B845" s="56"/>
      <c r="D845" s="56"/>
      <c r="F845" s="56"/>
    </row>
    <row r="846">
      <c r="B846" s="56"/>
      <c r="D846" s="56"/>
      <c r="F846" s="56"/>
    </row>
    <row r="847">
      <c r="B847" s="56"/>
      <c r="D847" s="56"/>
      <c r="F847" s="56"/>
    </row>
    <row r="848">
      <c r="B848" s="56"/>
      <c r="D848" s="56"/>
      <c r="F848" s="56"/>
    </row>
    <row r="849">
      <c r="B849" s="56"/>
      <c r="D849" s="56"/>
      <c r="F849" s="56"/>
    </row>
    <row r="850">
      <c r="B850" s="56"/>
      <c r="D850" s="56"/>
      <c r="F850" s="56"/>
    </row>
    <row r="851">
      <c r="B851" s="56"/>
      <c r="D851" s="56"/>
      <c r="F851" s="56"/>
    </row>
    <row r="852">
      <c r="B852" s="56"/>
      <c r="D852" s="56"/>
      <c r="F852" s="56"/>
    </row>
    <row r="853">
      <c r="B853" s="56"/>
      <c r="D853" s="56"/>
      <c r="F853" s="56"/>
    </row>
    <row r="854">
      <c r="B854" s="56"/>
      <c r="D854" s="56"/>
      <c r="F854" s="56"/>
    </row>
    <row r="855">
      <c r="B855" s="56"/>
      <c r="D855" s="56"/>
      <c r="F855" s="56"/>
    </row>
    <row r="856">
      <c r="B856" s="56"/>
      <c r="D856" s="56"/>
      <c r="F856" s="56"/>
    </row>
    <row r="857">
      <c r="B857" s="56"/>
      <c r="D857" s="56"/>
      <c r="F857" s="56"/>
    </row>
    <row r="858">
      <c r="B858" s="56"/>
      <c r="D858" s="56"/>
      <c r="F858" s="56"/>
    </row>
    <row r="859">
      <c r="B859" s="56"/>
      <c r="D859" s="56"/>
      <c r="F859" s="56"/>
    </row>
    <row r="860">
      <c r="B860" s="56"/>
      <c r="D860" s="56"/>
      <c r="F860" s="56"/>
    </row>
    <row r="861">
      <c r="B861" s="56"/>
      <c r="D861" s="56"/>
      <c r="F861" s="56"/>
    </row>
    <row r="862">
      <c r="B862" s="56"/>
      <c r="D862" s="56"/>
      <c r="F862" s="56"/>
    </row>
    <row r="863">
      <c r="B863" s="56"/>
      <c r="D863" s="56"/>
      <c r="F863" s="56"/>
    </row>
    <row r="864">
      <c r="B864" s="56"/>
      <c r="D864" s="56"/>
      <c r="F864" s="56"/>
    </row>
    <row r="865">
      <c r="B865" s="56"/>
      <c r="D865" s="56"/>
      <c r="F865" s="56"/>
    </row>
    <row r="866">
      <c r="B866" s="56"/>
      <c r="D866" s="56"/>
      <c r="F866" s="56"/>
    </row>
    <row r="867">
      <c r="B867" s="56"/>
      <c r="D867" s="56"/>
      <c r="F867" s="56"/>
    </row>
    <row r="868">
      <c r="B868" s="56"/>
      <c r="D868" s="56"/>
      <c r="F868" s="56"/>
    </row>
    <row r="869">
      <c r="B869" s="56"/>
      <c r="D869" s="56"/>
      <c r="F869" s="56"/>
    </row>
    <row r="870">
      <c r="B870" s="56"/>
      <c r="D870" s="56"/>
      <c r="F870" s="56"/>
    </row>
    <row r="871">
      <c r="B871" s="56"/>
      <c r="D871" s="56"/>
      <c r="F871" s="56"/>
    </row>
    <row r="872">
      <c r="B872" s="56"/>
      <c r="D872" s="56"/>
      <c r="F872" s="56"/>
    </row>
    <row r="873">
      <c r="B873" s="56"/>
      <c r="D873" s="56"/>
      <c r="F873" s="56"/>
    </row>
    <row r="874">
      <c r="B874" s="56"/>
      <c r="D874" s="56"/>
      <c r="F874" s="56"/>
    </row>
    <row r="875">
      <c r="B875" s="56"/>
      <c r="D875" s="56"/>
      <c r="F875" s="56"/>
    </row>
    <row r="876">
      <c r="B876" s="56"/>
      <c r="D876" s="56"/>
      <c r="F876" s="56"/>
    </row>
    <row r="877">
      <c r="B877" s="56"/>
      <c r="D877" s="56"/>
      <c r="F877" s="56"/>
    </row>
    <row r="878">
      <c r="B878" s="56"/>
      <c r="D878" s="56"/>
      <c r="F878" s="56"/>
    </row>
    <row r="879">
      <c r="B879" s="56"/>
      <c r="D879" s="56"/>
      <c r="F879" s="56"/>
    </row>
    <row r="880">
      <c r="B880" s="56"/>
      <c r="D880" s="56"/>
      <c r="F880" s="56"/>
    </row>
    <row r="881">
      <c r="B881" s="56"/>
      <c r="D881" s="56"/>
      <c r="F881" s="56"/>
    </row>
    <row r="882">
      <c r="B882" s="56"/>
      <c r="D882" s="56"/>
      <c r="F882" s="56"/>
    </row>
    <row r="883">
      <c r="B883" s="56"/>
      <c r="D883" s="56"/>
      <c r="F883" s="56"/>
    </row>
    <row r="884">
      <c r="B884" s="56"/>
      <c r="D884" s="56"/>
      <c r="F884" s="56"/>
    </row>
    <row r="885">
      <c r="B885" s="56"/>
      <c r="D885" s="56"/>
      <c r="F885" s="56"/>
    </row>
    <row r="886">
      <c r="B886" s="56"/>
      <c r="D886" s="56"/>
      <c r="F886" s="56"/>
    </row>
    <row r="887">
      <c r="B887" s="56"/>
      <c r="D887" s="56"/>
      <c r="F887" s="56"/>
    </row>
    <row r="888">
      <c r="B888" s="56"/>
      <c r="D888" s="56"/>
      <c r="F888" s="56"/>
    </row>
    <row r="889">
      <c r="B889" s="56"/>
      <c r="D889" s="56"/>
      <c r="F889" s="56"/>
    </row>
    <row r="890">
      <c r="B890" s="56"/>
      <c r="D890" s="56"/>
      <c r="F890" s="56"/>
    </row>
    <row r="891">
      <c r="B891" s="56"/>
      <c r="D891" s="56"/>
      <c r="F891" s="56"/>
    </row>
    <row r="892">
      <c r="B892" s="56"/>
      <c r="D892" s="56"/>
      <c r="F892" s="56"/>
    </row>
    <row r="893">
      <c r="B893" s="56"/>
      <c r="D893" s="56"/>
      <c r="F893" s="56"/>
    </row>
    <row r="894">
      <c r="B894" s="56"/>
      <c r="D894" s="56"/>
      <c r="F894" s="56"/>
    </row>
    <row r="895">
      <c r="B895" s="56"/>
      <c r="D895" s="56"/>
      <c r="F895" s="56"/>
    </row>
    <row r="896">
      <c r="B896" s="56"/>
      <c r="D896" s="56"/>
      <c r="F896" s="56"/>
    </row>
    <row r="897">
      <c r="B897" s="56"/>
      <c r="D897" s="56"/>
      <c r="F897" s="56"/>
    </row>
    <row r="898">
      <c r="B898" s="56"/>
      <c r="D898" s="56"/>
      <c r="F898" s="56"/>
    </row>
    <row r="899">
      <c r="B899" s="56"/>
      <c r="D899" s="56"/>
      <c r="F899" s="56"/>
    </row>
    <row r="900">
      <c r="B900" s="56"/>
      <c r="D900" s="56"/>
      <c r="F900" s="56"/>
    </row>
    <row r="901">
      <c r="B901" s="56"/>
      <c r="D901" s="56"/>
      <c r="F901" s="56"/>
    </row>
    <row r="902">
      <c r="B902" s="56"/>
      <c r="D902" s="56"/>
      <c r="F902" s="56"/>
    </row>
    <row r="903">
      <c r="B903" s="56"/>
      <c r="D903" s="56"/>
      <c r="F903" s="56"/>
    </row>
    <row r="904">
      <c r="B904" s="56"/>
      <c r="D904" s="56"/>
      <c r="F904" s="56"/>
    </row>
    <row r="905">
      <c r="B905" s="56"/>
      <c r="D905" s="56"/>
      <c r="F905" s="56"/>
    </row>
    <row r="906">
      <c r="B906" s="56"/>
      <c r="D906" s="56"/>
      <c r="F906" s="56"/>
    </row>
    <row r="907">
      <c r="B907" s="56"/>
      <c r="D907" s="56"/>
      <c r="F907" s="56"/>
    </row>
    <row r="908">
      <c r="B908" s="56"/>
      <c r="D908" s="56"/>
      <c r="F908" s="56"/>
    </row>
    <row r="909">
      <c r="B909" s="56"/>
      <c r="D909" s="56"/>
      <c r="F909" s="56"/>
    </row>
    <row r="910">
      <c r="B910" s="56"/>
      <c r="D910" s="56"/>
      <c r="F910" s="56"/>
    </row>
    <row r="911">
      <c r="B911" s="56"/>
      <c r="D911" s="56"/>
      <c r="F911" s="56"/>
    </row>
    <row r="912">
      <c r="B912" s="56"/>
      <c r="D912" s="56"/>
      <c r="F912" s="56"/>
    </row>
    <row r="913">
      <c r="B913" s="56"/>
      <c r="D913" s="56"/>
      <c r="F913" s="56"/>
    </row>
    <row r="914">
      <c r="B914" s="56"/>
      <c r="D914" s="56"/>
      <c r="F914" s="56"/>
    </row>
    <row r="915">
      <c r="B915" s="56"/>
      <c r="D915" s="56"/>
      <c r="F915" s="56"/>
    </row>
    <row r="916">
      <c r="B916" s="56"/>
      <c r="D916" s="56"/>
      <c r="F916" s="56"/>
    </row>
    <row r="917">
      <c r="B917" s="56"/>
      <c r="D917" s="56"/>
      <c r="F917" s="56"/>
    </row>
    <row r="918">
      <c r="B918" s="56"/>
      <c r="D918" s="56"/>
      <c r="F918" s="56"/>
    </row>
    <row r="919">
      <c r="B919" s="56"/>
      <c r="D919" s="56"/>
      <c r="F919" s="56"/>
    </row>
    <row r="920">
      <c r="B920" s="56"/>
      <c r="D920" s="56"/>
      <c r="F920" s="56"/>
    </row>
    <row r="921">
      <c r="B921" s="56"/>
      <c r="D921" s="56"/>
      <c r="F921" s="56"/>
    </row>
    <row r="922">
      <c r="B922" s="56"/>
      <c r="D922" s="56"/>
      <c r="F922" s="56"/>
    </row>
    <row r="923">
      <c r="B923" s="56"/>
      <c r="D923" s="56"/>
      <c r="F923" s="56"/>
    </row>
    <row r="924">
      <c r="B924" s="56"/>
      <c r="D924" s="56"/>
      <c r="F924" s="56"/>
    </row>
    <row r="925">
      <c r="B925" s="56"/>
      <c r="D925" s="56"/>
      <c r="F925" s="56"/>
    </row>
    <row r="926">
      <c r="B926" s="56"/>
      <c r="D926" s="56"/>
      <c r="F926" s="56"/>
    </row>
    <row r="927">
      <c r="B927" s="56"/>
      <c r="D927" s="56"/>
      <c r="F927" s="56"/>
    </row>
    <row r="928">
      <c r="B928" s="56"/>
      <c r="D928" s="56"/>
      <c r="F928" s="56"/>
    </row>
    <row r="929">
      <c r="B929" s="56"/>
      <c r="D929" s="56"/>
      <c r="F929" s="56"/>
    </row>
    <row r="930">
      <c r="B930" s="56"/>
      <c r="D930" s="56"/>
      <c r="F930" s="56"/>
    </row>
    <row r="931">
      <c r="B931" s="56"/>
      <c r="D931" s="56"/>
      <c r="F931" s="56"/>
    </row>
    <row r="932">
      <c r="B932" s="56"/>
      <c r="D932" s="56"/>
      <c r="F932" s="56"/>
    </row>
    <row r="933">
      <c r="B933" s="56"/>
      <c r="D933" s="56"/>
      <c r="F933" s="56"/>
    </row>
    <row r="934">
      <c r="B934" s="56"/>
      <c r="D934" s="56"/>
      <c r="F934" s="56"/>
    </row>
    <row r="935">
      <c r="B935" s="56"/>
      <c r="D935" s="56"/>
      <c r="F935" s="56"/>
    </row>
    <row r="936">
      <c r="B936" s="56"/>
      <c r="D936" s="56"/>
      <c r="F936" s="56"/>
    </row>
    <row r="937">
      <c r="B937" s="56"/>
      <c r="D937" s="56"/>
      <c r="F937" s="56"/>
    </row>
    <row r="938">
      <c r="B938" s="56"/>
      <c r="D938" s="56"/>
      <c r="F938" s="56"/>
    </row>
    <row r="939">
      <c r="B939" s="56"/>
      <c r="D939" s="56"/>
      <c r="F939" s="56"/>
    </row>
    <row r="940">
      <c r="B940" s="56"/>
      <c r="D940" s="56"/>
      <c r="F940" s="56"/>
    </row>
    <row r="941">
      <c r="B941" s="56"/>
      <c r="D941" s="56"/>
      <c r="F941" s="56"/>
    </row>
    <row r="942">
      <c r="B942" s="56"/>
      <c r="D942" s="56"/>
      <c r="F942" s="56"/>
    </row>
    <row r="943">
      <c r="B943" s="56"/>
      <c r="D943" s="56"/>
      <c r="F943" s="56"/>
    </row>
    <row r="944">
      <c r="B944" s="56"/>
      <c r="D944" s="56"/>
      <c r="F944" s="56"/>
    </row>
    <row r="945">
      <c r="B945" s="56"/>
      <c r="D945" s="56"/>
      <c r="F945" s="56"/>
    </row>
    <row r="946">
      <c r="B946" s="56"/>
      <c r="D946" s="56"/>
      <c r="F946" s="56"/>
    </row>
    <row r="947">
      <c r="B947" s="56"/>
      <c r="D947" s="56"/>
      <c r="F947" s="56"/>
    </row>
    <row r="948">
      <c r="B948" s="56"/>
      <c r="D948" s="56"/>
      <c r="F948" s="56"/>
    </row>
    <row r="949">
      <c r="B949" s="56"/>
      <c r="D949" s="56"/>
      <c r="F949" s="56"/>
    </row>
    <row r="950">
      <c r="B950" s="56"/>
      <c r="D950" s="56"/>
      <c r="F950" s="56"/>
    </row>
    <row r="951">
      <c r="B951" s="56"/>
      <c r="D951" s="56"/>
      <c r="F951" s="56"/>
    </row>
    <row r="952">
      <c r="B952" s="56"/>
      <c r="D952" s="56"/>
      <c r="F952" s="56"/>
    </row>
    <row r="953">
      <c r="B953" s="56"/>
      <c r="D953" s="56"/>
      <c r="F953" s="56"/>
    </row>
    <row r="954">
      <c r="B954" s="56"/>
      <c r="D954" s="56"/>
      <c r="F954" s="56"/>
    </row>
    <row r="955">
      <c r="B955" s="56"/>
      <c r="D955" s="56"/>
      <c r="F955" s="56"/>
    </row>
    <row r="956">
      <c r="B956" s="56"/>
      <c r="D956" s="56"/>
      <c r="F956" s="56"/>
    </row>
    <row r="957">
      <c r="B957" s="56"/>
      <c r="D957" s="56"/>
      <c r="F957" s="56"/>
    </row>
    <row r="958">
      <c r="B958" s="56"/>
      <c r="D958" s="56"/>
      <c r="F958" s="56"/>
    </row>
    <row r="959">
      <c r="B959" s="56"/>
      <c r="D959" s="56"/>
      <c r="F959" s="56"/>
    </row>
    <row r="960">
      <c r="B960" s="56"/>
      <c r="D960" s="56"/>
      <c r="F960" s="56"/>
    </row>
    <row r="961">
      <c r="B961" s="56"/>
      <c r="D961" s="56"/>
      <c r="F961" s="56"/>
    </row>
    <row r="962">
      <c r="B962" s="56"/>
      <c r="D962" s="56"/>
      <c r="F962" s="56"/>
    </row>
    <row r="963">
      <c r="B963" s="56"/>
      <c r="D963" s="56"/>
      <c r="F963" s="56"/>
    </row>
    <row r="964">
      <c r="B964" s="56"/>
      <c r="D964" s="56"/>
      <c r="F964" s="56"/>
    </row>
    <row r="965">
      <c r="B965" s="56"/>
      <c r="D965" s="56"/>
      <c r="F965" s="56"/>
    </row>
    <row r="966">
      <c r="B966" s="56"/>
      <c r="D966" s="56"/>
      <c r="F966" s="56"/>
    </row>
    <row r="967">
      <c r="B967" s="56"/>
      <c r="D967" s="56"/>
      <c r="F967" s="56"/>
    </row>
    <row r="968">
      <c r="B968" s="56"/>
      <c r="D968" s="56"/>
      <c r="F968" s="56"/>
    </row>
    <row r="969">
      <c r="B969" s="56"/>
      <c r="D969" s="56"/>
      <c r="F969" s="56"/>
    </row>
    <row r="970">
      <c r="B970" s="56"/>
      <c r="D970" s="56"/>
      <c r="F970" s="56"/>
    </row>
    <row r="971">
      <c r="B971" s="56"/>
      <c r="D971" s="56"/>
      <c r="F971" s="56"/>
    </row>
    <row r="972">
      <c r="B972" s="56"/>
      <c r="D972" s="56"/>
      <c r="F972" s="56"/>
    </row>
    <row r="973">
      <c r="B973" s="56"/>
      <c r="D973" s="56"/>
      <c r="F973" s="56"/>
    </row>
    <row r="974">
      <c r="B974" s="56"/>
      <c r="D974" s="56"/>
      <c r="F974" s="56"/>
    </row>
    <row r="975">
      <c r="B975" s="56"/>
      <c r="D975" s="56"/>
      <c r="F975" s="56"/>
    </row>
    <row r="976">
      <c r="B976" s="56"/>
      <c r="D976" s="56"/>
      <c r="F976" s="56"/>
    </row>
    <row r="977">
      <c r="B977" s="56"/>
      <c r="D977" s="56"/>
      <c r="F977" s="56"/>
    </row>
    <row r="978">
      <c r="B978" s="56"/>
      <c r="D978" s="56"/>
      <c r="F978" s="56"/>
    </row>
    <row r="979">
      <c r="B979" s="56"/>
      <c r="D979" s="56"/>
      <c r="F979" s="56"/>
    </row>
    <row r="980">
      <c r="B980" s="56"/>
      <c r="D980" s="56"/>
      <c r="F980" s="56"/>
    </row>
    <row r="981">
      <c r="B981" s="56"/>
      <c r="D981" s="56"/>
      <c r="F981" s="56"/>
    </row>
    <row r="982">
      <c r="B982" s="56"/>
      <c r="D982" s="56"/>
      <c r="F982" s="56"/>
    </row>
    <row r="983">
      <c r="B983" s="56"/>
      <c r="D983" s="56"/>
      <c r="F983" s="56"/>
    </row>
    <row r="984">
      <c r="B984" s="56"/>
      <c r="D984" s="56"/>
      <c r="F984" s="56"/>
    </row>
    <row r="985">
      <c r="B985" s="56"/>
      <c r="D985" s="56"/>
      <c r="F985" s="56"/>
    </row>
    <row r="986">
      <c r="B986" s="56"/>
      <c r="D986" s="56"/>
      <c r="F986" s="56"/>
    </row>
    <row r="987">
      <c r="B987" s="56"/>
      <c r="D987" s="56"/>
      <c r="F987" s="56"/>
    </row>
    <row r="988">
      <c r="B988" s="56"/>
      <c r="D988" s="56"/>
      <c r="F988" s="56"/>
    </row>
    <row r="989">
      <c r="B989" s="56"/>
      <c r="D989" s="56"/>
      <c r="F989" s="56"/>
    </row>
    <row r="990">
      <c r="B990" s="56"/>
      <c r="D990" s="56"/>
      <c r="F990" s="56"/>
    </row>
    <row r="991">
      <c r="B991" s="56"/>
      <c r="D991" s="56"/>
      <c r="F991" s="56"/>
    </row>
    <row r="992">
      <c r="B992" s="56"/>
      <c r="D992" s="56"/>
      <c r="F992" s="56"/>
    </row>
    <row r="993">
      <c r="B993" s="56"/>
      <c r="D993" s="56"/>
      <c r="F993" s="56"/>
    </row>
    <row r="994">
      <c r="B994" s="56"/>
      <c r="D994" s="56"/>
      <c r="F994" s="56"/>
    </row>
    <row r="995">
      <c r="B995" s="56"/>
      <c r="D995" s="56"/>
      <c r="F995" s="56"/>
    </row>
    <row r="996">
      <c r="B996" s="56"/>
      <c r="D996" s="56"/>
      <c r="F996" s="56"/>
    </row>
    <row r="997">
      <c r="B997" s="56"/>
      <c r="D997" s="56"/>
      <c r="F997" s="56"/>
    </row>
    <row r="998">
      <c r="B998" s="56"/>
      <c r="D998" s="56"/>
      <c r="F998" s="56"/>
    </row>
    <row r="999">
      <c r="B999" s="56"/>
      <c r="D999" s="56"/>
      <c r="F999" s="56"/>
    </row>
    <row r="1000">
      <c r="B1000" s="56"/>
      <c r="D1000" s="56"/>
      <c r="F1000" s="56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5" max="5" width="23.5"/>
    <col customWidth="1" min="6" max="6" width="22.38"/>
    <col customWidth="1" min="8" max="8" width="90.5"/>
  </cols>
  <sheetData>
    <row r="1">
      <c r="A1" s="38"/>
      <c r="B1" s="7" t="s">
        <v>180</v>
      </c>
      <c r="C1" s="7" t="s">
        <v>181</v>
      </c>
      <c r="D1" s="7" t="s">
        <v>182</v>
      </c>
      <c r="E1" s="7" t="s">
        <v>163</v>
      </c>
      <c r="F1" s="7" t="s">
        <v>183</v>
      </c>
      <c r="G1" s="92" t="s">
        <v>184</v>
      </c>
      <c r="H1" s="7" t="s">
        <v>185</v>
      </c>
    </row>
    <row r="2">
      <c r="A2" s="38" t="s">
        <v>85</v>
      </c>
      <c r="B2" s="71">
        <v>12.0</v>
      </c>
      <c r="C2" s="71">
        <v>76.789</v>
      </c>
      <c r="D2" s="71">
        <v>100.0</v>
      </c>
      <c r="E2" s="87">
        <f t="shared" ref="E2:E9" si="1">C2/D2</f>
        <v>0.76789</v>
      </c>
      <c r="F2" s="7">
        <v>2.0</v>
      </c>
      <c r="G2" s="94">
        <v>63.58</v>
      </c>
      <c r="H2" s="129" t="s">
        <v>561</v>
      </c>
    </row>
    <row r="3">
      <c r="A3" s="38" t="s">
        <v>86</v>
      </c>
      <c r="B3" s="112">
        <v>2.0</v>
      </c>
      <c r="C3" s="112">
        <v>18.018</v>
      </c>
      <c r="D3" s="112">
        <v>52.5</v>
      </c>
      <c r="E3" s="87">
        <f t="shared" si="1"/>
        <v>0.3432</v>
      </c>
      <c r="F3" s="7">
        <v>0.0</v>
      </c>
      <c r="G3" s="110">
        <v>6.0</v>
      </c>
      <c r="H3" s="129" t="s">
        <v>562</v>
      </c>
    </row>
    <row r="4">
      <c r="A4" s="38" t="s">
        <v>88</v>
      </c>
      <c r="B4" s="112">
        <v>15.0</v>
      </c>
      <c r="C4" s="112">
        <v>80.978</v>
      </c>
      <c r="D4" s="112">
        <v>95.0</v>
      </c>
      <c r="E4" s="87">
        <f t="shared" si="1"/>
        <v>0.8524</v>
      </c>
      <c r="F4" s="7">
        <v>0.0</v>
      </c>
      <c r="G4" s="110">
        <v>66.58</v>
      </c>
      <c r="H4" s="129" t="s">
        <v>563</v>
      </c>
    </row>
    <row r="5">
      <c r="A5" s="38" t="s">
        <v>90</v>
      </c>
      <c r="B5" s="112">
        <v>2.0</v>
      </c>
      <c r="C5" s="112">
        <v>9.56</v>
      </c>
      <c r="D5" s="112">
        <v>37.5</v>
      </c>
      <c r="E5" s="87">
        <f t="shared" si="1"/>
        <v>0.2549333333</v>
      </c>
      <c r="F5" s="7">
        <v>0.0</v>
      </c>
      <c r="G5" s="111">
        <v>9.1</v>
      </c>
      <c r="H5" s="107" t="s">
        <v>564</v>
      </c>
    </row>
    <row r="6">
      <c r="A6" s="38" t="s">
        <v>91</v>
      </c>
      <c r="B6" s="112">
        <v>17.0</v>
      </c>
      <c r="C6" s="112">
        <v>53.405</v>
      </c>
      <c r="D6" s="112">
        <v>100.0</v>
      </c>
      <c r="E6" s="87">
        <f t="shared" si="1"/>
        <v>0.53405</v>
      </c>
      <c r="F6" s="7">
        <v>2.0</v>
      </c>
      <c r="G6" s="114">
        <v>49.4</v>
      </c>
      <c r="H6" s="107" t="s">
        <v>565</v>
      </c>
    </row>
    <row r="7">
      <c r="A7" s="38" t="s">
        <v>94</v>
      </c>
      <c r="B7" s="112">
        <v>10.0</v>
      </c>
      <c r="C7" s="112">
        <v>91.875</v>
      </c>
      <c r="D7" s="112">
        <v>85.0</v>
      </c>
      <c r="E7" s="87">
        <f t="shared" si="1"/>
        <v>1.080882353</v>
      </c>
      <c r="F7" s="7">
        <v>5.0</v>
      </c>
      <c r="G7" s="111">
        <v>75.77</v>
      </c>
      <c r="H7" s="107" t="s">
        <v>566</v>
      </c>
    </row>
    <row r="8">
      <c r="A8" s="7" t="s">
        <v>96</v>
      </c>
      <c r="B8" s="112">
        <v>9.0</v>
      </c>
      <c r="C8" s="115">
        <v>34.009</v>
      </c>
      <c r="D8" s="112">
        <v>80.0</v>
      </c>
      <c r="E8" s="87">
        <f t="shared" si="1"/>
        <v>0.4251125</v>
      </c>
      <c r="F8" s="7">
        <v>2.0</v>
      </c>
      <c r="G8" s="111">
        <v>36.77</v>
      </c>
      <c r="H8" s="107" t="s">
        <v>567</v>
      </c>
    </row>
    <row r="9">
      <c r="A9" s="38"/>
      <c r="B9" s="38"/>
      <c r="C9" s="39">
        <f t="shared" ref="C9:D9" si="2">SUM(C2:C8)</f>
        <v>364.634</v>
      </c>
      <c r="D9" s="39">
        <f t="shared" si="2"/>
        <v>550</v>
      </c>
      <c r="E9" s="87">
        <f t="shared" si="1"/>
        <v>0.6629709091</v>
      </c>
      <c r="F9" s="38"/>
      <c r="G9" s="131"/>
      <c r="H9" s="38"/>
    </row>
    <row r="12">
      <c r="D12" s="94">
        <v>1.0</v>
      </c>
      <c r="E12" s="116" t="s">
        <v>88</v>
      </c>
      <c r="F12" s="116">
        <v>3.96</v>
      </c>
    </row>
    <row r="13">
      <c r="D13" s="110">
        <v>2.0</v>
      </c>
      <c r="E13" s="118" t="s">
        <v>94</v>
      </c>
      <c r="F13" s="118">
        <v>3.92</v>
      </c>
      <c r="H13" s="55" t="s">
        <v>568</v>
      </c>
    </row>
    <row r="14">
      <c r="D14" s="110">
        <v>3.0</v>
      </c>
      <c r="E14" s="117" t="s">
        <v>85</v>
      </c>
      <c r="F14" s="117">
        <v>3.33</v>
      </c>
    </row>
    <row r="15">
      <c r="D15" s="111">
        <v>4.0</v>
      </c>
      <c r="E15" s="117" t="s">
        <v>108</v>
      </c>
      <c r="F15" s="117">
        <v>2.92</v>
      </c>
    </row>
    <row r="16">
      <c r="D16" s="111">
        <v>5.0</v>
      </c>
      <c r="E16" s="117" t="s">
        <v>96</v>
      </c>
      <c r="F16" s="130">
        <v>2.79</v>
      </c>
    </row>
    <row r="17">
      <c r="D17" s="111">
        <v>6.0</v>
      </c>
      <c r="E17" s="117" t="s">
        <v>91</v>
      </c>
      <c r="F17" s="117">
        <v>2.78</v>
      </c>
    </row>
    <row r="18">
      <c r="D18" s="111">
        <v>7.0</v>
      </c>
      <c r="E18" s="118" t="s">
        <v>90</v>
      </c>
      <c r="F18" s="118">
        <v>2.65</v>
      </c>
    </row>
    <row r="21">
      <c r="G21" s="126"/>
    </row>
    <row r="22">
      <c r="G22" s="126"/>
    </row>
    <row r="23">
      <c r="G23" s="120"/>
    </row>
    <row r="24">
      <c r="G24" s="120"/>
    </row>
    <row r="25">
      <c r="G25" s="126"/>
    </row>
    <row r="26">
      <c r="G26" s="120"/>
    </row>
    <row r="27">
      <c r="F27" s="55"/>
      <c r="G27" s="122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5" max="5" width="23.5"/>
    <col customWidth="1" min="6" max="6" width="22.38"/>
    <col customWidth="1" min="8" max="8" width="86.5"/>
  </cols>
  <sheetData>
    <row r="1">
      <c r="A1" s="38"/>
      <c r="B1" s="7" t="s">
        <v>180</v>
      </c>
      <c r="C1" s="7" t="s">
        <v>181</v>
      </c>
      <c r="D1" s="7" t="s">
        <v>182</v>
      </c>
      <c r="E1" s="7" t="s">
        <v>163</v>
      </c>
      <c r="F1" s="7" t="s">
        <v>183</v>
      </c>
      <c r="G1" s="92" t="s">
        <v>184</v>
      </c>
      <c r="H1" s="7" t="s">
        <v>185</v>
      </c>
    </row>
    <row r="2">
      <c r="A2" s="38" t="s">
        <v>85</v>
      </c>
      <c r="B2" s="71">
        <v>6.0</v>
      </c>
      <c r="C2" s="71">
        <v>73.098</v>
      </c>
      <c r="D2" s="71">
        <v>100.0</v>
      </c>
      <c r="E2" s="87">
        <f t="shared" ref="E2:E9" si="1">C2/D2</f>
        <v>0.73098</v>
      </c>
      <c r="F2" s="7">
        <v>3.0</v>
      </c>
      <c r="G2" s="94">
        <v>65.58</v>
      </c>
      <c r="H2" s="129" t="s">
        <v>569</v>
      </c>
    </row>
    <row r="3">
      <c r="A3" s="38" t="s">
        <v>86</v>
      </c>
      <c r="B3" s="112">
        <v>4.0</v>
      </c>
      <c r="C3" s="112">
        <v>41.0</v>
      </c>
      <c r="D3" s="112">
        <v>75.0</v>
      </c>
      <c r="E3" s="87">
        <f t="shared" si="1"/>
        <v>0.5466666667</v>
      </c>
      <c r="F3" s="7">
        <v>1.0</v>
      </c>
      <c r="G3" s="110">
        <v>35.5</v>
      </c>
      <c r="H3" s="129" t="s">
        <v>570</v>
      </c>
    </row>
    <row r="4">
      <c r="A4" s="38" t="s">
        <v>88</v>
      </c>
      <c r="B4" s="112">
        <v>14.0</v>
      </c>
      <c r="C4" s="112">
        <v>80.674</v>
      </c>
      <c r="D4" s="112">
        <v>100.0</v>
      </c>
      <c r="E4" s="87">
        <f t="shared" si="1"/>
        <v>0.80674</v>
      </c>
      <c r="F4" s="7">
        <v>1.0</v>
      </c>
      <c r="G4" s="110">
        <v>68.75</v>
      </c>
      <c r="H4" s="129" t="s">
        <v>571</v>
      </c>
    </row>
    <row r="5">
      <c r="A5" s="38" t="s">
        <v>90</v>
      </c>
      <c r="B5" s="112">
        <v>6.0</v>
      </c>
      <c r="C5" s="112">
        <v>51.839</v>
      </c>
      <c r="D5" s="112">
        <v>60.0</v>
      </c>
      <c r="E5" s="87">
        <f t="shared" si="1"/>
        <v>0.8639833333</v>
      </c>
      <c r="F5" s="7"/>
      <c r="G5" s="111">
        <v>42.7</v>
      </c>
      <c r="H5" s="107" t="s">
        <v>572</v>
      </c>
    </row>
    <row r="6">
      <c r="A6" s="38" t="s">
        <v>91</v>
      </c>
      <c r="B6" s="112">
        <v>11.0</v>
      </c>
      <c r="C6" s="112">
        <v>43.775</v>
      </c>
      <c r="D6" s="112">
        <v>100.0</v>
      </c>
      <c r="E6" s="87">
        <f t="shared" si="1"/>
        <v>0.43775</v>
      </c>
      <c r="F6" s="7">
        <v>2.0</v>
      </c>
      <c r="G6" s="114">
        <v>42.58</v>
      </c>
      <c r="H6" s="107" t="s">
        <v>573</v>
      </c>
    </row>
    <row r="7">
      <c r="A7" s="38" t="s">
        <v>94</v>
      </c>
      <c r="B7" s="112">
        <v>7.0</v>
      </c>
      <c r="C7" s="112">
        <v>104.84</v>
      </c>
      <c r="D7" s="112">
        <v>100.0</v>
      </c>
      <c r="E7" s="87">
        <f t="shared" si="1"/>
        <v>1.0484</v>
      </c>
      <c r="F7" s="7">
        <v>1.0</v>
      </c>
      <c r="G7" s="111">
        <v>82.53</v>
      </c>
      <c r="H7" s="107" t="s">
        <v>574</v>
      </c>
    </row>
    <row r="8">
      <c r="A8" s="7" t="s">
        <v>96</v>
      </c>
      <c r="B8" s="112">
        <v>7.0</v>
      </c>
      <c r="C8" s="115">
        <v>19.602</v>
      </c>
      <c r="D8" s="112">
        <v>80.0</v>
      </c>
      <c r="E8" s="87">
        <f t="shared" si="1"/>
        <v>0.245025</v>
      </c>
      <c r="F8" s="7">
        <v>0.0</v>
      </c>
      <c r="G8" s="111">
        <v>35.23</v>
      </c>
      <c r="H8" s="107" t="s">
        <v>575</v>
      </c>
    </row>
    <row r="9">
      <c r="A9" s="38"/>
      <c r="B9" s="38"/>
      <c r="C9" s="39">
        <f t="shared" ref="C9:D9" si="2">SUM(C2:C8)</f>
        <v>414.828</v>
      </c>
      <c r="D9" s="39">
        <f t="shared" si="2"/>
        <v>615</v>
      </c>
      <c r="E9" s="87">
        <f t="shared" si="1"/>
        <v>0.6745170732</v>
      </c>
      <c r="F9" s="38"/>
      <c r="G9" s="131"/>
      <c r="H9" s="38"/>
    </row>
    <row r="10">
      <c r="G10" s="98"/>
    </row>
    <row r="11">
      <c r="G11" s="98"/>
    </row>
    <row r="12">
      <c r="D12" s="94">
        <v>1.0</v>
      </c>
      <c r="E12" s="94" t="s">
        <v>94</v>
      </c>
      <c r="F12" s="116">
        <v>4.5</v>
      </c>
      <c r="G12" s="98"/>
    </row>
    <row r="13">
      <c r="D13" s="110">
        <v>2.0</v>
      </c>
      <c r="E13" s="124" t="s">
        <v>90</v>
      </c>
      <c r="F13" s="130">
        <v>4.35</v>
      </c>
      <c r="G13" s="98"/>
      <c r="H13" s="55" t="s">
        <v>576</v>
      </c>
    </row>
    <row r="14">
      <c r="D14" s="110">
        <v>3.0</v>
      </c>
      <c r="E14" s="124" t="s">
        <v>88</v>
      </c>
      <c r="F14" s="117">
        <v>3.63</v>
      </c>
      <c r="G14" s="98"/>
    </row>
    <row r="15">
      <c r="D15" s="111">
        <v>4.0</v>
      </c>
      <c r="E15" s="124" t="s">
        <v>108</v>
      </c>
      <c r="F15" s="117">
        <v>3.08</v>
      </c>
      <c r="G15" s="98"/>
    </row>
    <row r="16">
      <c r="D16" s="111">
        <v>5.0</v>
      </c>
      <c r="E16" s="124" t="s">
        <v>85</v>
      </c>
      <c r="F16" s="132">
        <v>2.67</v>
      </c>
      <c r="G16" s="98"/>
    </row>
    <row r="17">
      <c r="D17" s="111">
        <v>6.0</v>
      </c>
      <c r="E17" s="124" t="s">
        <v>96</v>
      </c>
      <c r="F17" s="117">
        <v>2.59</v>
      </c>
      <c r="G17" s="98"/>
    </row>
    <row r="18">
      <c r="D18" s="111">
        <v>7.0</v>
      </c>
      <c r="E18" s="111" t="s">
        <v>91</v>
      </c>
      <c r="F18" s="118">
        <v>2.43</v>
      </c>
      <c r="G18" s="98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13.63"/>
    <col customWidth="1" min="5" max="5" width="23.5"/>
    <col customWidth="1" min="6" max="6" width="22.38"/>
    <col customWidth="1" min="7" max="7" width="14.38"/>
    <col customWidth="1" min="8" max="8" width="88.38"/>
  </cols>
  <sheetData>
    <row r="1">
      <c r="A1" s="38"/>
      <c r="B1" s="7" t="s">
        <v>180</v>
      </c>
      <c r="C1" s="7" t="s">
        <v>181</v>
      </c>
      <c r="D1" s="7" t="s">
        <v>182</v>
      </c>
      <c r="E1" s="7" t="s">
        <v>163</v>
      </c>
      <c r="F1" s="7" t="s">
        <v>183</v>
      </c>
      <c r="G1" s="92" t="s">
        <v>184</v>
      </c>
      <c r="H1" s="7" t="s">
        <v>185</v>
      </c>
    </row>
    <row r="2">
      <c r="A2" s="38" t="s">
        <v>85</v>
      </c>
      <c r="B2" s="71">
        <v>1.0</v>
      </c>
      <c r="C2" s="71">
        <v>16.0</v>
      </c>
      <c r="D2" s="71">
        <v>40.0</v>
      </c>
      <c r="E2" s="87">
        <f t="shared" ref="E2:E9" si="1">C2/D2</f>
        <v>0.4</v>
      </c>
      <c r="F2" s="7">
        <v>1.0</v>
      </c>
      <c r="G2" s="94">
        <v>15.0</v>
      </c>
      <c r="H2" s="129" t="s">
        <v>577</v>
      </c>
    </row>
    <row r="3">
      <c r="A3" s="38" t="s">
        <v>86</v>
      </c>
      <c r="B3" s="71">
        <v>3.0</v>
      </c>
      <c r="C3" s="112">
        <v>40.48</v>
      </c>
      <c r="D3" s="112">
        <f>75*9/10</f>
        <v>67.5</v>
      </c>
      <c r="E3" s="87">
        <f t="shared" si="1"/>
        <v>0.5997037037</v>
      </c>
      <c r="F3" s="7">
        <v>0.0</v>
      </c>
      <c r="G3" s="110">
        <v>50.5</v>
      </c>
      <c r="H3" s="129" t="s">
        <v>578</v>
      </c>
    </row>
    <row r="4">
      <c r="A4" s="38" t="s">
        <v>88</v>
      </c>
      <c r="B4" s="71">
        <v>9.0</v>
      </c>
      <c r="C4" s="112">
        <v>46.726</v>
      </c>
      <c r="D4" s="112">
        <v>80.0</v>
      </c>
      <c r="E4" s="87">
        <f t="shared" si="1"/>
        <v>0.584075</v>
      </c>
      <c r="F4" s="7">
        <v>3.0</v>
      </c>
      <c r="G4" s="110">
        <v>50.95</v>
      </c>
      <c r="H4" s="129" t="s">
        <v>579</v>
      </c>
    </row>
    <row r="5">
      <c r="A5" s="38" t="s">
        <v>90</v>
      </c>
      <c r="B5" s="71">
        <v>7.0</v>
      </c>
      <c r="C5" s="112">
        <v>102.476</v>
      </c>
      <c r="D5" s="112">
        <f>75*9/10</f>
        <v>67.5</v>
      </c>
      <c r="E5" s="87">
        <f t="shared" si="1"/>
        <v>1.518162963</v>
      </c>
      <c r="F5" s="7">
        <v>1.0</v>
      </c>
      <c r="G5" s="111">
        <v>118.85</v>
      </c>
      <c r="H5" s="107" t="s">
        <v>580</v>
      </c>
    </row>
    <row r="6">
      <c r="A6" s="38" t="s">
        <v>91</v>
      </c>
      <c r="B6" s="71">
        <v>18.0</v>
      </c>
      <c r="C6" s="112">
        <v>55.125</v>
      </c>
      <c r="D6" s="112">
        <v>90.0</v>
      </c>
      <c r="E6" s="87">
        <f t="shared" si="1"/>
        <v>0.6125</v>
      </c>
      <c r="F6" s="7">
        <v>2.0</v>
      </c>
      <c r="G6" s="133">
        <v>49.53</v>
      </c>
      <c r="H6" s="107" t="s">
        <v>581</v>
      </c>
    </row>
    <row r="7">
      <c r="A7" s="38" t="s">
        <v>94</v>
      </c>
      <c r="B7" s="71">
        <v>8.0</v>
      </c>
      <c r="C7" s="112">
        <v>66.44</v>
      </c>
      <c r="D7" s="112">
        <v>80.0</v>
      </c>
      <c r="E7" s="87">
        <f t="shared" si="1"/>
        <v>0.8305</v>
      </c>
      <c r="F7" s="7">
        <v>0.0</v>
      </c>
      <c r="G7" s="111">
        <v>50.73</v>
      </c>
      <c r="H7" s="107" t="s">
        <v>582</v>
      </c>
    </row>
    <row r="8">
      <c r="A8" s="7" t="s">
        <v>96</v>
      </c>
      <c r="B8" s="71">
        <v>9.0</v>
      </c>
      <c r="C8" s="115">
        <v>41.58</v>
      </c>
      <c r="D8" s="112">
        <f>80*9/10</f>
        <v>72</v>
      </c>
      <c r="E8" s="87">
        <f t="shared" si="1"/>
        <v>0.5775</v>
      </c>
      <c r="F8" s="7">
        <v>1.0</v>
      </c>
      <c r="G8" s="111">
        <v>31.1</v>
      </c>
      <c r="H8" s="107" t="s">
        <v>583</v>
      </c>
    </row>
    <row r="9">
      <c r="A9" s="38"/>
      <c r="B9" s="38"/>
      <c r="C9" s="39">
        <f t="shared" ref="C9:D9" si="2">SUM(C2:C8)</f>
        <v>368.827</v>
      </c>
      <c r="D9" s="39">
        <f t="shared" si="2"/>
        <v>497</v>
      </c>
      <c r="E9" s="90">
        <f t="shared" si="1"/>
        <v>0.7421066398</v>
      </c>
      <c r="F9" s="38"/>
      <c r="G9" s="131"/>
      <c r="H9" s="38"/>
    </row>
    <row r="10">
      <c r="G10" s="98"/>
    </row>
    <row r="11">
      <c r="G11" s="98"/>
    </row>
    <row r="12">
      <c r="D12" s="94">
        <v>1.0</v>
      </c>
      <c r="E12" s="116" t="s">
        <v>105</v>
      </c>
      <c r="F12" s="116">
        <v>5.22</v>
      </c>
      <c r="G12" s="98"/>
    </row>
    <row r="13">
      <c r="D13" s="110">
        <v>2.0</v>
      </c>
      <c r="E13" s="117" t="s">
        <v>94</v>
      </c>
      <c r="F13" s="130">
        <v>3.7</v>
      </c>
      <c r="G13" s="98"/>
      <c r="H13" s="55" t="s">
        <v>584</v>
      </c>
    </row>
    <row r="14">
      <c r="D14" s="110">
        <v>3.0</v>
      </c>
      <c r="E14" s="117" t="s">
        <v>108</v>
      </c>
      <c r="F14" s="117">
        <v>3.61</v>
      </c>
      <c r="G14" s="98"/>
    </row>
    <row r="15">
      <c r="D15" s="111">
        <v>4.0</v>
      </c>
      <c r="E15" s="117" t="s">
        <v>585</v>
      </c>
      <c r="F15" s="130">
        <v>3.25</v>
      </c>
      <c r="G15" s="98"/>
    </row>
    <row r="16">
      <c r="D16" s="111">
        <v>5.0</v>
      </c>
      <c r="E16" s="117" t="s">
        <v>139</v>
      </c>
      <c r="F16" s="134">
        <v>2.84</v>
      </c>
      <c r="G16" s="98"/>
    </row>
    <row r="17">
      <c r="D17" s="111">
        <v>6.0</v>
      </c>
      <c r="E17" s="117" t="s">
        <v>88</v>
      </c>
      <c r="F17" s="117">
        <v>2.51</v>
      </c>
      <c r="G17" s="98"/>
    </row>
    <row r="18">
      <c r="D18" s="111">
        <v>7.0</v>
      </c>
      <c r="E18" s="118" t="s">
        <v>85</v>
      </c>
      <c r="F18" s="118">
        <v>1.43</v>
      </c>
      <c r="G18" s="98"/>
    </row>
    <row r="19">
      <c r="G19" s="98"/>
    </row>
    <row r="20">
      <c r="G20" s="98"/>
    </row>
    <row r="21">
      <c r="G21" s="98"/>
    </row>
    <row r="22">
      <c r="G22" s="98"/>
    </row>
    <row r="23">
      <c r="G23" s="98"/>
    </row>
    <row r="24">
      <c r="G24" s="98"/>
    </row>
    <row r="25">
      <c r="G25" s="98"/>
    </row>
    <row r="26">
      <c r="G26" s="98"/>
    </row>
    <row r="27">
      <c r="G27" s="98"/>
    </row>
    <row r="28">
      <c r="G28" s="98"/>
    </row>
    <row r="29">
      <c r="G29" s="98"/>
    </row>
    <row r="30">
      <c r="G30" s="98"/>
    </row>
    <row r="31">
      <c r="G31" s="98"/>
    </row>
    <row r="32">
      <c r="G32" s="98"/>
    </row>
    <row r="33">
      <c r="G33" s="98"/>
    </row>
    <row r="34">
      <c r="G34" s="98"/>
    </row>
    <row r="35">
      <c r="G35" s="98"/>
    </row>
    <row r="36">
      <c r="G36" s="98"/>
    </row>
    <row r="37">
      <c r="G37" s="98"/>
    </row>
    <row r="38">
      <c r="G38" s="98"/>
    </row>
    <row r="39">
      <c r="G39" s="98"/>
    </row>
    <row r="40">
      <c r="G40" s="98"/>
    </row>
    <row r="41">
      <c r="G41" s="98"/>
    </row>
    <row r="42">
      <c r="G42" s="98"/>
    </row>
    <row r="43">
      <c r="G43" s="98"/>
    </row>
    <row r="44">
      <c r="G44" s="98"/>
    </row>
    <row r="45">
      <c r="G45" s="98"/>
    </row>
    <row r="46">
      <c r="G46" s="98"/>
    </row>
    <row r="47">
      <c r="G47" s="98"/>
    </row>
    <row r="48">
      <c r="G48" s="98"/>
    </row>
    <row r="49">
      <c r="G49" s="98"/>
    </row>
    <row r="50">
      <c r="G50" s="98"/>
    </row>
    <row r="51">
      <c r="G51" s="98"/>
    </row>
    <row r="52">
      <c r="G52" s="98"/>
    </row>
    <row r="53">
      <c r="G53" s="98"/>
    </row>
    <row r="54">
      <c r="G54" s="98"/>
    </row>
    <row r="55">
      <c r="G55" s="98"/>
    </row>
    <row r="56">
      <c r="G56" s="98"/>
    </row>
    <row r="57">
      <c r="G57" s="98"/>
    </row>
    <row r="58">
      <c r="G58" s="98"/>
    </row>
    <row r="59">
      <c r="G59" s="98"/>
    </row>
    <row r="60">
      <c r="G60" s="98"/>
    </row>
    <row r="61">
      <c r="G61" s="98"/>
    </row>
    <row r="62">
      <c r="G62" s="98"/>
    </row>
    <row r="63">
      <c r="G63" s="98"/>
    </row>
    <row r="64">
      <c r="G64" s="98"/>
    </row>
    <row r="65">
      <c r="G65" s="98"/>
    </row>
    <row r="66">
      <c r="G66" s="98"/>
    </row>
    <row r="67">
      <c r="G67" s="98"/>
    </row>
    <row r="68">
      <c r="G68" s="98"/>
    </row>
    <row r="69">
      <c r="G69" s="98"/>
    </row>
    <row r="70">
      <c r="G70" s="98"/>
    </row>
    <row r="71">
      <c r="G71" s="98"/>
    </row>
    <row r="72">
      <c r="G72" s="98"/>
    </row>
    <row r="73">
      <c r="G73" s="98"/>
    </row>
    <row r="74">
      <c r="G74" s="98"/>
    </row>
    <row r="75">
      <c r="G75" s="98"/>
    </row>
    <row r="76">
      <c r="G76" s="98"/>
    </row>
    <row r="77">
      <c r="G77" s="98"/>
    </row>
    <row r="78">
      <c r="G78" s="98"/>
    </row>
    <row r="79">
      <c r="G79" s="98"/>
    </row>
    <row r="80">
      <c r="G80" s="98"/>
    </row>
    <row r="81">
      <c r="G81" s="98"/>
    </row>
    <row r="82">
      <c r="G82" s="98"/>
    </row>
    <row r="83">
      <c r="G83" s="98"/>
    </row>
    <row r="84">
      <c r="G84" s="98"/>
    </row>
    <row r="85">
      <c r="G85" s="98"/>
    </row>
    <row r="86">
      <c r="G86" s="98"/>
    </row>
    <row r="87">
      <c r="G87" s="98"/>
    </row>
    <row r="88">
      <c r="G88" s="98"/>
    </row>
    <row r="89">
      <c r="G89" s="98"/>
    </row>
    <row r="90">
      <c r="G90" s="98"/>
    </row>
    <row r="91">
      <c r="G91" s="98"/>
    </row>
    <row r="92">
      <c r="G92" s="98"/>
    </row>
    <row r="93">
      <c r="G93" s="98"/>
    </row>
    <row r="94">
      <c r="G94" s="98"/>
    </row>
    <row r="95">
      <c r="G95" s="98"/>
    </row>
    <row r="96">
      <c r="G96" s="98"/>
    </row>
    <row r="97">
      <c r="G97" s="98"/>
    </row>
    <row r="98">
      <c r="G98" s="98"/>
    </row>
    <row r="99">
      <c r="G99" s="98"/>
    </row>
    <row r="100">
      <c r="G100" s="98"/>
    </row>
    <row r="101">
      <c r="G101" s="98"/>
    </row>
    <row r="102">
      <c r="G102" s="98"/>
    </row>
    <row r="103">
      <c r="G103" s="98"/>
    </row>
    <row r="104">
      <c r="G104" s="98"/>
    </row>
    <row r="105">
      <c r="G105" s="98"/>
    </row>
    <row r="106">
      <c r="G106" s="98"/>
    </row>
    <row r="107">
      <c r="G107" s="98"/>
    </row>
    <row r="108">
      <c r="G108" s="98"/>
    </row>
    <row r="109">
      <c r="G109" s="98"/>
    </row>
    <row r="110">
      <c r="G110" s="98"/>
    </row>
    <row r="111">
      <c r="G111" s="98"/>
    </row>
    <row r="112">
      <c r="G112" s="98"/>
    </row>
    <row r="113">
      <c r="G113" s="98"/>
    </row>
    <row r="114">
      <c r="G114" s="98"/>
    </row>
    <row r="115">
      <c r="G115" s="98"/>
    </row>
    <row r="116">
      <c r="G116" s="98"/>
    </row>
    <row r="117">
      <c r="G117" s="98"/>
    </row>
    <row r="118">
      <c r="G118" s="98"/>
    </row>
    <row r="119">
      <c r="G119" s="98"/>
    </row>
    <row r="120">
      <c r="G120" s="98"/>
    </row>
    <row r="121">
      <c r="G121" s="98"/>
    </row>
    <row r="122">
      <c r="G122" s="98"/>
    </row>
    <row r="123">
      <c r="G123" s="98"/>
    </row>
    <row r="124">
      <c r="G124" s="98"/>
    </row>
    <row r="125">
      <c r="G125" s="98"/>
    </row>
    <row r="126">
      <c r="G126" s="98"/>
    </row>
    <row r="127">
      <c r="G127" s="98"/>
    </row>
    <row r="128">
      <c r="G128" s="98"/>
    </row>
    <row r="129">
      <c r="G129" s="98"/>
    </row>
    <row r="130">
      <c r="G130" s="98"/>
    </row>
    <row r="131">
      <c r="G131" s="98"/>
    </row>
    <row r="132">
      <c r="G132" s="98"/>
    </row>
    <row r="133">
      <c r="G133" s="98"/>
    </row>
    <row r="134">
      <c r="G134" s="98"/>
    </row>
    <row r="135">
      <c r="G135" s="98"/>
    </row>
    <row r="136">
      <c r="G136" s="98"/>
    </row>
    <row r="137">
      <c r="G137" s="98"/>
    </row>
    <row r="138">
      <c r="G138" s="98"/>
    </row>
    <row r="139">
      <c r="G139" s="98"/>
    </row>
    <row r="140">
      <c r="G140" s="98"/>
    </row>
    <row r="141">
      <c r="G141" s="98"/>
    </row>
    <row r="142">
      <c r="G142" s="98"/>
    </row>
    <row r="143">
      <c r="G143" s="98"/>
    </row>
    <row r="144">
      <c r="G144" s="98"/>
    </row>
    <row r="145">
      <c r="G145" s="98"/>
    </row>
    <row r="146">
      <c r="G146" s="98"/>
    </row>
    <row r="147">
      <c r="G147" s="98"/>
    </row>
    <row r="148">
      <c r="G148" s="98"/>
    </row>
    <row r="149">
      <c r="G149" s="98"/>
    </row>
    <row r="150">
      <c r="G150" s="98"/>
    </row>
    <row r="151">
      <c r="G151" s="98"/>
    </row>
    <row r="152">
      <c r="G152" s="98"/>
    </row>
    <row r="153">
      <c r="G153" s="98"/>
    </row>
    <row r="154">
      <c r="G154" s="98"/>
    </row>
    <row r="155">
      <c r="G155" s="98"/>
    </row>
    <row r="156">
      <c r="G156" s="98"/>
    </row>
    <row r="157">
      <c r="G157" s="98"/>
    </row>
    <row r="158">
      <c r="G158" s="98"/>
    </row>
    <row r="159">
      <c r="G159" s="98"/>
    </row>
    <row r="160">
      <c r="G160" s="98"/>
    </row>
    <row r="161">
      <c r="G161" s="98"/>
    </row>
    <row r="162">
      <c r="G162" s="98"/>
    </row>
    <row r="163">
      <c r="G163" s="98"/>
    </row>
    <row r="164">
      <c r="G164" s="98"/>
    </row>
    <row r="165">
      <c r="G165" s="98"/>
    </row>
    <row r="166">
      <c r="G166" s="98"/>
    </row>
    <row r="167">
      <c r="G167" s="98"/>
    </row>
    <row r="168">
      <c r="G168" s="98"/>
    </row>
    <row r="169">
      <c r="G169" s="98"/>
    </row>
    <row r="170">
      <c r="G170" s="98"/>
    </row>
    <row r="171">
      <c r="G171" s="98"/>
    </row>
    <row r="172">
      <c r="G172" s="98"/>
    </row>
    <row r="173">
      <c r="G173" s="98"/>
    </row>
    <row r="174">
      <c r="G174" s="98"/>
    </row>
    <row r="175">
      <c r="G175" s="98"/>
    </row>
    <row r="176">
      <c r="G176" s="98"/>
    </row>
    <row r="177">
      <c r="G177" s="98"/>
    </row>
    <row r="178">
      <c r="G178" s="98"/>
    </row>
    <row r="179">
      <c r="G179" s="98"/>
    </row>
    <row r="180">
      <c r="G180" s="98"/>
    </row>
    <row r="181">
      <c r="G181" s="98"/>
    </row>
    <row r="182">
      <c r="G182" s="98"/>
    </row>
    <row r="183">
      <c r="G183" s="98"/>
    </row>
    <row r="184">
      <c r="G184" s="98"/>
    </row>
    <row r="185">
      <c r="G185" s="98"/>
    </row>
    <row r="186">
      <c r="G186" s="98"/>
    </row>
    <row r="187">
      <c r="G187" s="98"/>
    </row>
    <row r="188">
      <c r="G188" s="98"/>
    </row>
    <row r="189">
      <c r="G189" s="98"/>
    </row>
    <row r="190">
      <c r="G190" s="98"/>
    </row>
    <row r="191">
      <c r="G191" s="98"/>
    </row>
    <row r="192">
      <c r="G192" s="98"/>
    </row>
    <row r="193">
      <c r="G193" s="98"/>
    </row>
    <row r="194">
      <c r="G194" s="98"/>
    </row>
    <row r="195">
      <c r="G195" s="98"/>
    </row>
    <row r="196">
      <c r="G196" s="98"/>
    </row>
    <row r="197">
      <c r="G197" s="98"/>
    </row>
    <row r="198">
      <c r="G198" s="98"/>
    </row>
    <row r="199">
      <c r="G199" s="98"/>
    </row>
    <row r="200">
      <c r="G200" s="98"/>
    </row>
    <row r="201">
      <c r="G201" s="98"/>
    </row>
    <row r="202">
      <c r="G202" s="98"/>
    </row>
    <row r="203">
      <c r="G203" s="98"/>
    </row>
    <row r="204">
      <c r="G204" s="98"/>
    </row>
    <row r="205">
      <c r="G205" s="98"/>
    </row>
    <row r="206">
      <c r="G206" s="98"/>
    </row>
    <row r="207">
      <c r="G207" s="98"/>
    </row>
    <row r="208">
      <c r="G208" s="98"/>
    </row>
    <row r="209">
      <c r="G209" s="98"/>
    </row>
    <row r="210">
      <c r="G210" s="98"/>
    </row>
    <row r="211">
      <c r="G211" s="98"/>
    </row>
    <row r="212">
      <c r="G212" s="98"/>
    </row>
    <row r="213">
      <c r="G213" s="98"/>
    </row>
    <row r="214">
      <c r="G214" s="98"/>
    </row>
    <row r="215">
      <c r="G215" s="98"/>
    </row>
    <row r="216">
      <c r="G216" s="98"/>
    </row>
    <row r="217">
      <c r="G217" s="98"/>
    </row>
    <row r="218">
      <c r="G218" s="98"/>
    </row>
    <row r="219">
      <c r="G219" s="98"/>
    </row>
    <row r="220">
      <c r="G220" s="98"/>
    </row>
    <row r="221">
      <c r="G221" s="98"/>
    </row>
    <row r="222">
      <c r="G222" s="98"/>
    </row>
    <row r="223">
      <c r="G223" s="98"/>
    </row>
    <row r="224">
      <c r="G224" s="98"/>
    </row>
    <row r="225">
      <c r="G225" s="98"/>
    </row>
    <row r="226">
      <c r="G226" s="98"/>
    </row>
    <row r="227">
      <c r="G227" s="98"/>
    </row>
    <row r="228">
      <c r="G228" s="98"/>
    </row>
    <row r="229">
      <c r="G229" s="98"/>
    </row>
    <row r="230">
      <c r="G230" s="98"/>
    </row>
    <row r="231">
      <c r="G231" s="98"/>
    </row>
    <row r="232">
      <c r="G232" s="98"/>
    </row>
    <row r="233">
      <c r="G233" s="98"/>
    </row>
    <row r="234">
      <c r="G234" s="98"/>
    </row>
    <row r="235">
      <c r="G235" s="98"/>
    </row>
    <row r="236">
      <c r="G236" s="98"/>
    </row>
    <row r="237">
      <c r="G237" s="98"/>
    </row>
    <row r="238">
      <c r="G238" s="98"/>
    </row>
    <row r="239">
      <c r="G239" s="98"/>
    </row>
    <row r="240">
      <c r="G240" s="98"/>
    </row>
    <row r="241">
      <c r="G241" s="98"/>
    </row>
    <row r="242">
      <c r="G242" s="98"/>
    </row>
    <row r="243">
      <c r="G243" s="98"/>
    </row>
    <row r="244">
      <c r="G244" s="98"/>
    </row>
    <row r="245">
      <c r="G245" s="98"/>
    </row>
    <row r="246">
      <c r="G246" s="98"/>
    </row>
    <row r="247">
      <c r="G247" s="98"/>
    </row>
    <row r="248">
      <c r="G248" s="98"/>
    </row>
    <row r="249">
      <c r="G249" s="98"/>
    </row>
    <row r="250">
      <c r="G250" s="98"/>
    </row>
    <row r="251">
      <c r="G251" s="98"/>
    </row>
    <row r="252">
      <c r="G252" s="98"/>
    </row>
    <row r="253">
      <c r="G253" s="98"/>
    </row>
    <row r="254">
      <c r="G254" s="98"/>
    </row>
    <row r="255">
      <c r="G255" s="98"/>
    </row>
    <row r="256">
      <c r="G256" s="98"/>
    </row>
    <row r="257">
      <c r="G257" s="98"/>
    </row>
    <row r="258">
      <c r="G258" s="98"/>
    </row>
    <row r="259">
      <c r="G259" s="98"/>
    </row>
    <row r="260">
      <c r="G260" s="98"/>
    </row>
    <row r="261">
      <c r="G261" s="98"/>
    </row>
    <row r="262">
      <c r="G262" s="98"/>
    </row>
    <row r="263">
      <c r="G263" s="98"/>
    </row>
    <row r="264">
      <c r="G264" s="98"/>
    </row>
    <row r="265">
      <c r="G265" s="98"/>
    </row>
    <row r="266">
      <c r="G266" s="98"/>
    </row>
    <row r="267">
      <c r="G267" s="98"/>
    </row>
    <row r="268">
      <c r="G268" s="98"/>
    </row>
    <row r="269">
      <c r="G269" s="98"/>
    </row>
    <row r="270">
      <c r="G270" s="98"/>
    </row>
    <row r="271">
      <c r="G271" s="98"/>
    </row>
    <row r="272">
      <c r="G272" s="98"/>
    </row>
    <row r="273">
      <c r="G273" s="98"/>
    </row>
    <row r="274">
      <c r="G274" s="98"/>
    </row>
    <row r="275">
      <c r="G275" s="98"/>
    </row>
    <row r="276">
      <c r="G276" s="98"/>
    </row>
    <row r="277">
      <c r="G277" s="98"/>
    </row>
    <row r="278">
      <c r="G278" s="98"/>
    </row>
    <row r="279">
      <c r="G279" s="98"/>
    </row>
    <row r="280">
      <c r="G280" s="98"/>
    </row>
    <row r="281">
      <c r="G281" s="98"/>
    </row>
    <row r="282">
      <c r="G282" s="98"/>
    </row>
    <row r="283">
      <c r="G283" s="98"/>
    </row>
    <row r="284">
      <c r="G284" s="98"/>
    </row>
    <row r="285">
      <c r="G285" s="98"/>
    </row>
    <row r="286">
      <c r="G286" s="98"/>
    </row>
    <row r="287">
      <c r="G287" s="98"/>
    </row>
    <row r="288">
      <c r="G288" s="98"/>
    </row>
    <row r="289">
      <c r="G289" s="98"/>
    </row>
    <row r="290">
      <c r="G290" s="98"/>
    </row>
    <row r="291">
      <c r="G291" s="98"/>
    </row>
    <row r="292">
      <c r="G292" s="98"/>
    </row>
    <row r="293">
      <c r="G293" s="98"/>
    </row>
    <row r="294">
      <c r="G294" s="98"/>
    </row>
    <row r="295">
      <c r="G295" s="98"/>
    </row>
    <row r="296">
      <c r="G296" s="98"/>
    </row>
    <row r="297">
      <c r="G297" s="98"/>
    </row>
    <row r="298">
      <c r="G298" s="98"/>
    </row>
    <row r="299">
      <c r="G299" s="98"/>
    </row>
    <row r="300">
      <c r="G300" s="98"/>
    </row>
    <row r="301">
      <c r="G301" s="98"/>
    </row>
    <row r="302">
      <c r="G302" s="98"/>
    </row>
    <row r="303">
      <c r="G303" s="98"/>
    </row>
    <row r="304">
      <c r="G304" s="98"/>
    </row>
    <row r="305">
      <c r="G305" s="98"/>
    </row>
    <row r="306">
      <c r="G306" s="98"/>
    </row>
    <row r="307">
      <c r="G307" s="98"/>
    </row>
    <row r="308">
      <c r="G308" s="98"/>
    </row>
    <row r="309">
      <c r="G309" s="98"/>
    </row>
    <row r="310">
      <c r="G310" s="98"/>
    </row>
    <row r="311">
      <c r="G311" s="98"/>
    </row>
    <row r="312">
      <c r="G312" s="98"/>
    </row>
    <row r="313">
      <c r="G313" s="98"/>
    </row>
    <row r="314">
      <c r="G314" s="98"/>
    </row>
    <row r="315">
      <c r="G315" s="98"/>
    </row>
    <row r="316">
      <c r="G316" s="98"/>
    </row>
    <row r="317">
      <c r="G317" s="98"/>
    </row>
    <row r="318">
      <c r="G318" s="98"/>
    </row>
    <row r="319">
      <c r="G319" s="98"/>
    </row>
    <row r="320">
      <c r="G320" s="98"/>
    </row>
    <row r="321">
      <c r="G321" s="98"/>
    </row>
    <row r="322">
      <c r="G322" s="98"/>
    </row>
    <row r="323">
      <c r="G323" s="98"/>
    </row>
    <row r="324">
      <c r="G324" s="98"/>
    </row>
    <row r="325">
      <c r="G325" s="98"/>
    </row>
    <row r="326">
      <c r="G326" s="98"/>
    </row>
    <row r="327">
      <c r="G327" s="98"/>
    </row>
    <row r="328">
      <c r="G328" s="98"/>
    </row>
    <row r="329">
      <c r="G329" s="98"/>
    </row>
    <row r="330">
      <c r="G330" s="98"/>
    </row>
    <row r="331">
      <c r="G331" s="98"/>
    </row>
    <row r="332">
      <c r="G332" s="98"/>
    </row>
    <row r="333">
      <c r="G333" s="98"/>
    </row>
    <row r="334">
      <c r="G334" s="98"/>
    </row>
    <row r="335">
      <c r="G335" s="98"/>
    </row>
    <row r="336">
      <c r="G336" s="98"/>
    </row>
    <row r="337">
      <c r="G337" s="98"/>
    </row>
    <row r="338">
      <c r="G338" s="98"/>
    </row>
    <row r="339">
      <c r="G339" s="98"/>
    </row>
    <row r="340">
      <c r="G340" s="98"/>
    </row>
    <row r="341">
      <c r="G341" s="98"/>
    </row>
    <row r="342">
      <c r="G342" s="98"/>
    </row>
    <row r="343">
      <c r="G343" s="98"/>
    </row>
    <row r="344">
      <c r="G344" s="98"/>
    </row>
    <row r="345">
      <c r="G345" s="98"/>
    </row>
    <row r="346">
      <c r="G346" s="98"/>
    </row>
    <row r="347">
      <c r="G347" s="98"/>
    </row>
    <row r="348">
      <c r="G348" s="98"/>
    </row>
    <row r="349">
      <c r="G349" s="98"/>
    </row>
    <row r="350">
      <c r="G350" s="98"/>
    </row>
    <row r="351">
      <c r="G351" s="98"/>
    </row>
    <row r="352">
      <c r="G352" s="98"/>
    </row>
    <row r="353">
      <c r="G353" s="98"/>
    </row>
    <row r="354">
      <c r="G354" s="98"/>
    </row>
    <row r="355">
      <c r="G355" s="98"/>
    </row>
    <row r="356">
      <c r="G356" s="98"/>
    </row>
    <row r="357">
      <c r="G357" s="98"/>
    </row>
    <row r="358">
      <c r="G358" s="98"/>
    </row>
    <row r="359">
      <c r="G359" s="98"/>
    </row>
    <row r="360">
      <c r="G360" s="98"/>
    </row>
    <row r="361">
      <c r="G361" s="98"/>
    </row>
    <row r="362">
      <c r="G362" s="98"/>
    </row>
    <row r="363">
      <c r="G363" s="98"/>
    </row>
    <row r="364">
      <c r="G364" s="98"/>
    </row>
    <row r="365">
      <c r="G365" s="98"/>
    </row>
    <row r="366">
      <c r="G366" s="98"/>
    </row>
    <row r="367">
      <c r="G367" s="98"/>
    </row>
    <row r="368">
      <c r="G368" s="98"/>
    </row>
    <row r="369">
      <c r="G369" s="98"/>
    </row>
    <row r="370">
      <c r="G370" s="98"/>
    </row>
    <row r="371">
      <c r="G371" s="98"/>
    </row>
    <row r="372">
      <c r="G372" s="98"/>
    </row>
    <row r="373">
      <c r="G373" s="98"/>
    </row>
    <row r="374">
      <c r="G374" s="98"/>
    </row>
    <row r="375">
      <c r="G375" s="98"/>
    </row>
    <row r="376">
      <c r="G376" s="98"/>
    </row>
    <row r="377">
      <c r="G377" s="98"/>
    </row>
    <row r="378">
      <c r="G378" s="98"/>
    </row>
    <row r="379">
      <c r="G379" s="98"/>
    </row>
    <row r="380">
      <c r="G380" s="98"/>
    </row>
    <row r="381">
      <c r="G381" s="98"/>
    </row>
    <row r="382">
      <c r="G382" s="98"/>
    </row>
    <row r="383">
      <c r="G383" s="98"/>
    </row>
    <row r="384">
      <c r="G384" s="98"/>
    </row>
    <row r="385">
      <c r="G385" s="98"/>
    </row>
    <row r="386">
      <c r="G386" s="98"/>
    </row>
    <row r="387">
      <c r="G387" s="98"/>
    </row>
    <row r="388">
      <c r="G388" s="98"/>
    </row>
    <row r="389">
      <c r="G389" s="98"/>
    </row>
    <row r="390">
      <c r="G390" s="98"/>
    </row>
    <row r="391">
      <c r="G391" s="98"/>
    </row>
    <row r="392">
      <c r="G392" s="98"/>
    </row>
    <row r="393">
      <c r="G393" s="98"/>
    </row>
    <row r="394">
      <c r="G394" s="98"/>
    </row>
    <row r="395">
      <c r="G395" s="98"/>
    </row>
    <row r="396">
      <c r="G396" s="98"/>
    </row>
    <row r="397">
      <c r="G397" s="98"/>
    </row>
    <row r="398">
      <c r="G398" s="98"/>
    </row>
    <row r="399">
      <c r="G399" s="98"/>
    </row>
    <row r="400">
      <c r="G400" s="98"/>
    </row>
    <row r="401">
      <c r="G401" s="98"/>
    </row>
    <row r="402">
      <c r="G402" s="98"/>
    </row>
    <row r="403">
      <c r="G403" s="98"/>
    </row>
    <row r="404">
      <c r="G404" s="98"/>
    </row>
    <row r="405">
      <c r="G405" s="98"/>
    </row>
    <row r="406">
      <c r="G406" s="98"/>
    </row>
    <row r="407">
      <c r="G407" s="98"/>
    </row>
    <row r="408">
      <c r="G408" s="98"/>
    </row>
    <row r="409">
      <c r="G409" s="98"/>
    </row>
    <row r="410">
      <c r="G410" s="98"/>
    </row>
    <row r="411">
      <c r="G411" s="98"/>
    </row>
    <row r="412">
      <c r="G412" s="98"/>
    </row>
    <row r="413">
      <c r="G413" s="98"/>
    </row>
    <row r="414">
      <c r="G414" s="98"/>
    </row>
    <row r="415">
      <c r="G415" s="98"/>
    </row>
    <row r="416">
      <c r="G416" s="98"/>
    </row>
    <row r="417">
      <c r="G417" s="98"/>
    </row>
    <row r="418">
      <c r="G418" s="98"/>
    </row>
    <row r="419">
      <c r="G419" s="98"/>
    </row>
    <row r="420">
      <c r="G420" s="98"/>
    </row>
    <row r="421">
      <c r="G421" s="98"/>
    </row>
    <row r="422">
      <c r="G422" s="98"/>
    </row>
    <row r="423">
      <c r="G423" s="98"/>
    </row>
    <row r="424">
      <c r="G424" s="98"/>
    </row>
    <row r="425">
      <c r="G425" s="98"/>
    </row>
    <row r="426">
      <c r="G426" s="98"/>
    </row>
    <row r="427">
      <c r="G427" s="98"/>
    </row>
    <row r="428">
      <c r="G428" s="98"/>
    </row>
    <row r="429">
      <c r="G429" s="98"/>
    </row>
    <row r="430">
      <c r="G430" s="98"/>
    </row>
    <row r="431">
      <c r="G431" s="98"/>
    </row>
    <row r="432">
      <c r="G432" s="98"/>
    </row>
    <row r="433">
      <c r="G433" s="98"/>
    </row>
    <row r="434">
      <c r="G434" s="98"/>
    </row>
    <row r="435">
      <c r="G435" s="98"/>
    </row>
    <row r="436">
      <c r="G436" s="98"/>
    </row>
    <row r="437">
      <c r="G437" s="98"/>
    </row>
    <row r="438">
      <c r="G438" s="98"/>
    </row>
    <row r="439">
      <c r="G439" s="98"/>
    </row>
    <row r="440">
      <c r="G440" s="98"/>
    </row>
    <row r="441">
      <c r="G441" s="98"/>
    </row>
    <row r="442">
      <c r="G442" s="98"/>
    </row>
    <row r="443">
      <c r="G443" s="98"/>
    </row>
    <row r="444">
      <c r="G444" s="98"/>
    </row>
    <row r="445">
      <c r="G445" s="98"/>
    </row>
    <row r="446">
      <c r="G446" s="98"/>
    </row>
    <row r="447">
      <c r="G447" s="98"/>
    </row>
    <row r="448">
      <c r="G448" s="98"/>
    </row>
    <row r="449">
      <c r="G449" s="98"/>
    </row>
    <row r="450">
      <c r="G450" s="98"/>
    </row>
    <row r="451">
      <c r="G451" s="98"/>
    </row>
    <row r="452">
      <c r="G452" s="98"/>
    </row>
    <row r="453">
      <c r="G453" s="98"/>
    </row>
    <row r="454">
      <c r="G454" s="98"/>
    </row>
    <row r="455">
      <c r="G455" s="98"/>
    </row>
    <row r="456">
      <c r="G456" s="98"/>
    </row>
    <row r="457">
      <c r="G457" s="98"/>
    </row>
    <row r="458">
      <c r="G458" s="98"/>
    </row>
    <row r="459">
      <c r="G459" s="98"/>
    </row>
    <row r="460">
      <c r="G460" s="98"/>
    </row>
    <row r="461">
      <c r="G461" s="98"/>
    </row>
    <row r="462">
      <c r="G462" s="98"/>
    </row>
    <row r="463">
      <c r="G463" s="98"/>
    </row>
    <row r="464">
      <c r="G464" s="98"/>
    </row>
    <row r="465">
      <c r="G465" s="98"/>
    </row>
    <row r="466">
      <c r="G466" s="98"/>
    </row>
    <row r="467">
      <c r="G467" s="98"/>
    </row>
    <row r="468">
      <c r="G468" s="98"/>
    </row>
    <row r="469">
      <c r="G469" s="98"/>
    </row>
    <row r="470">
      <c r="G470" s="98"/>
    </row>
    <row r="471">
      <c r="G471" s="98"/>
    </row>
    <row r="472">
      <c r="G472" s="98"/>
    </row>
    <row r="473">
      <c r="G473" s="98"/>
    </row>
    <row r="474">
      <c r="G474" s="98"/>
    </row>
    <row r="475">
      <c r="G475" s="98"/>
    </row>
    <row r="476">
      <c r="G476" s="98"/>
    </row>
    <row r="477">
      <c r="G477" s="98"/>
    </row>
    <row r="478">
      <c r="G478" s="98"/>
    </row>
    <row r="479">
      <c r="G479" s="98"/>
    </row>
    <row r="480">
      <c r="G480" s="98"/>
    </row>
    <row r="481">
      <c r="G481" s="98"/>
    </row>
    <row r="482">
      <c r="G482" s="98"/>
    </row>
    <row r="483">
      <c r="G483" s="98"/>
    </row>
    <row r="484">
      <c r="G484" s="98"/>
    </row>
    <row r="485">
      <c r="G485" s="98"/>
    </row>
    <row r="486">
      <c r="G486" s="98"/>
    </row>
    <row r="487">
      <c r="G487" s="98"/>
    </row>
    <row r="488">
      <c r="G488" s="98"/>
    </row>
    <row r="489">
      <c r="G489" s="98"/>
    </row>
    <row r="490">
      <c r="G490" s="98"/>
    </row>
    <row r="491">
      <c r="G491" s="98"/>
    </row>
    <row r="492">
      <c r="G492" s="98"/>
    </row>
    <row r="493">
      <c r="G493" s="98"/>
    </row>
    <row r="494">
      <c r="G494" s="98"/>
    </row>
    <row r="495">
      <c r="G495" s="98"/>
    </row>
    <row r="496">
      <c r="G496" s="98"/>
    </row>
    <row r="497">
      <c r="G497" s="98"/>
    </row>
    <row r="498">
      <c r="G498" s="98"/>
    </row>
    <row r="499">
      <c r="G499" s="98"/>
    </row>
    <row r="500">
      <c r="G500" s="98"/>
    </row>
    <row r="501">
      <c r="G501" s="98"/>
    </row>
    <row r="502">
      <c r="G502" s="98"/>
    </row>
    <row r="503">
      <c r="G503" s="98"/>
    </row>
    <row r="504">
      <c r="G504" s="98"/>
    </row>
    <row r="505">
      <c r="G505" s="98"/>
    </row>
    <row r="506">
      <c r="G506" s="98"/>
    </row>
    <row r="507">
      <c r="G507" s="98"/>
    </row>
    <row r="508">
      <c r="G508" s="98"/>
    </row>
    <row r="509">
      <c r="G509" s="98"/>
    </row>
    <row r="510">
      <c r="G510" s="98"/>
    </row>
    <row r="511">
      <c r="G511" s="98"/>
    </row>
    <row r="512">
      <c r="G512" s="98"/>
    </row>
    <row r="513">
      <c r="G513" s="98"/>
    </row>
    <row r="514">
      <c r="G514" s="98"/>
    </row>
    <row r="515">
      <c r="G515" s="98"/>
    </row>
    <row r="516">
      <c r="G516" s="98"/>
    </row>
    <row r="517">
      <c r="G517" s="98"/>
    </row>
    <row r="518">
      <c r="G518" s="98"/>
    </row>
    <row r="519">
      <c r="G519" s="98"/>
    </row>
    <row r="520">
      <c r="G520" s="98"/>
    </row>
    <row r="521">
      <c r="G521" s="98"/>
    </row>
    <row r="522">
      <c r="G522" s="98"/>
    </row>
    <row r="523">
      <c r="G523" s="98"/>
    </row>
    <row r="524">
      <c r="G524" s="98"/>
    </row>
    <row r="525">
      <c r="G525" s="98"/>
    </row>
    <row r="526">
      <c r="G526" s="98"/>
    </row>
    <row r="527">
      <c r="G527" s="98"/>
    </row>
    <row r="528">
      <c r="G528" s="98"/>
    </row>
    <row r="529">
      <c r="G529" s="98"/>
    </row>
    <row r="530">
      <c r="G530" s="98"/>
    </row>
    <row r="531">
      <c r="G531" s="98"/>
    </row>
    <row r="532">
      <c r="G532" s="98"/>
    </row>
    <row r="533">
      <c r="G533" s="98"/>
    </row>
    <row r="534">
      <c r="G534" s="98"/>
    </row>
    <row r="535">
      <c r="G535" s="98"/>
    </row>
    <row r="536">
      <c r="G536" s="98"/>
    </row>
    <row r="537">
      <c r="G537" s="98"/>
    </row>
    <row r="538">
      <c r="G538" s="98"/>
    </row>
    <row r="539">
      <c r="G539" s="98"/>
    </row>
    <row r="540">
      <c r="G540" s="98"/>
    </row>
    <row r="541">
      <c r="G541" s="98"/>
    </row>
    <row r="542">
      <c r="G542" s="98"/>
    </row>
    <row r="543">
      <c r="G543" s="98"/>
    </row>
    <row r="544">
      <c r="G544" s="98"/>
    </row>
    <row r="545">
      <c r="G545" s="98"/>
    </row>
    <row r="546">
      <c r="G546" s="98"/>
    </row>
    <row r="547">
      <c r="G547" s="98"/>
    </row>
    <row r="548">
      <c r="G548" s="98"/>
    </row>
    <row r="549">
      <c r="G549" s="98"/>
    </row>
    <row r="550">
      <c r="G550" s="98"/>
    </row>
    <row r="551">
      <c r="G551" s="98"/>
    </row>
    <row r="552">
      <c r="G552" s="98"/>
    </row>
    <row r="553">
      <c r="G553" s="98"/>
    </row>
    <row r="554">
      <c r="G554" s="98"/>
    </row>
    <row r="555">
      <c r="G555" s="98"/>
    </row>
    <row r="556">
      <c r="G556" s="98"/>
    </row>
    <row r="557">
      <c r="G557" s="98"/>
    </row>
    <row r="558">
      <c r="G558" s="98"/>
    </row>
    <row r="559">
      <c r="G559" s="98"/>
    </row>
    <row r="560">
      <c r="G560" s="98"/>
    </row>
    <row r="561">
      <c r="G561" s="98"/>
    </row>
    <row r="562">
      <c r="G562" s="98"/>
    </row>
    <row r="563">
      <c r="G563" s="98"/>
    </row>
    <row r="564">
      <c r="G564" s="98"/>
    </row>
    <row r="565">
      <c r="G565" s="98"/>
    </row>
    <row r="566">
      <c r="G566" s="98"/>
    </row>
    <row r="567">
      <c r="G567" s="98"/>
    </row>
    <row r="568">
      <c r="G568" s="98"/>
    </row>
    <row r="569">
      <c r="G569" s="98"/>
    </row>
    <row r="570">
      <c r="G570" s="98"/>
    </row>
    <row r="571">
      <c r="G571" s="98"/>
    </row>
    <row r="572">
      <c r="G572" s="98"/>
    </row>
    <row r="573">
      <c r="G573" s="98"/>
    </row>
    <row r="574">
      <c r="G574" s="98"/>
    </row>
    <row r="575">
      <c r="G575" s="98"/>
    </row>
    <row r="576">
      <c r="G576" s="98"/>
    </row>
    <row r="577">
      <c r="G577" s="98"/>
    </row>
    <row r="578">
      <c r="G578" s="98"/>
    </row>
    <row r="579">
      <c r="G579" s="98"/>
    </row>
    <row r="580">
      <c r="G580" s="98"/>
    </row>
    <row r="581">
      <c r="G581" s="98"/>
    </row>
    <row r="582">
      <c r="G582" s="98"/>
    </row>
    <row r="583">
      <c r="G583" s="98"/>
    </row>
    <row r="584">
      <c r="G584" s="98"/>
    </row>
    <row r="585">
      <c r="G585" s="98"/>
    </row>
    <row r="586">
      <c r="G586" s="98"/>
    </row>
    <row r="587">
      <c r="G587" s="98"/>
    </row>
    <row r="588">
      <c r="G588" s="98"/>
    </row>
    <row r="589">
      <c r="G589" s="98"/>
    </row>
    <row r="590">
      <c r="G590" s="98"/>
    </row>
    <row r="591">
      <c r="G591" s="98"/>
    </row>
    <row r="592">
      <c r="G592" s="98"/>
    </row>
    <row r="593">
      <c r="G593" s="98"/>
    </row>
    <row r="594">
      <c r="G594" s="98"/>
    </row>
    <row r="595">
      <c r="G595" s="98"/>
    </row>
    <row r="596">
      <c r="G596" s="98"/>
    </row>
    <row r="597">
      <c r="G597" s="98"/>
    </row>
    <row r="598">
      <c r="G598" s="98"/>
    </row>
    <row r="599">
      <c r="G599" s="98"/>
    </row>
    <row r="600">
      <c r="G600" s="98"/>
    </row>
    <row r="601">
      <c r="G601" s="98"/>
    </row>
    <row r="602">
      <c r="G602" s="98"/>
    </row>
    <row r="603">
      <c r="G603" s="98"/>
    </row>
    <row r="604">
      <c r="G604" s="98"/>
    </row>
    <row r="605">
      <c r="G605" s="98"/>
    </row>
    <row r="606">
      <c r="G606" s="98"/>
    </row>
    <row r="607">
      <c r="G607" s="98"/>
    </row>
    <row r="608">
      <c r="G608" s="98"/>
    </row>
    <row r="609">
      <c r="G609" s="98"/>
    </row>
    <row r="610">
      <c r="G610" s="98"/>
    </row>
    <row r="611">
      <c r="G611" s="98"/>
    </row>
    <row r="612">
      <c r="G612" s="98"/>
    </row>
    <row r="613">
      <c r="G613" s="98"/>
    </row>
    <row r="614">
      <c r="G614" s="98"/>
    </row>
    <row r="615">
      <c r="G615" s="98"/>
    </row>
    <row r="616">
      <c r="G616" s="98"/>
    </row>
    <row r="617">
      <c r="G617" s="98"/>
    </row>
    <row r="618">
      <c r="G618" s="98"/>
    </row>
    <row r="619">
      <c r="G619" s="98"/>
    </row>
    <row r="620">
      <c r="G620" s="98"/>
    </row>
    <row r="621">
      <c r="G621" s="98"/>
    </row>
    <row r="622">
      <c r="G622" s="98"/>
    </row>
    <row r="623">
      <c r="G623" s="98"/>
    </row>
    <row r="624">
      <c r="G624" s="98"/>
    </row>
    <row r="625">
      <c r="G625" s="98"/>
    </row>
    <row r="626">
      <c r="G626" s="98"/>
    </row>
    <row r="627">
      <c r="G627" s="98"/>
    </row>
    <row r="628">
      <c r="G628" s="98"/>
    </row>
    <row r="629">
      <c r="G629" s="98"/>
    </row>
    <row r="630">
      <c r="G630" s="98"/>
    </row>
    <row r="631">
      <c r="G631" s="98"/>
    </row>
    <row r="632">
      <c r="G632" s="98"/>
    </row>
    <row r="633">
      <c r="G633" s="98"/>
    </row>
    <row r="634">
      <c r="G634" s="98"/>
    </row>
    <row r="635">
      <c r="G635" s="98"/>
    </row>
    <row r="636">
      <c r="G636" s="98"/>
    </row>
    <row r="637">
      <c r="G637" s="98"/>
    </row>
    <row r="638">
      <c r="G638" s="98"/>
    </row>
    <row r="639">
      <c r="G639" s="98"/>
    </row>
    <row r="640">
      <c r="G640" s="98"/>
    </row>
    <row r="641">
      <c r="G641" s="98"/>
    </row>
    <row r="642">
      <c r="G642" s="98"/>
    </row>
    <row r="643">
      <c r="G643" s="98"/>
    </row>
    <row r="644">
      <c r="G644" s="98"/>
    </row>
    <row r="645">
      <c r="G645" s="98"/>
    </row>
    <row r="646">
      <c r="G646" s="98"/>
    </row>
    <row r="647">
      <c r="G647" s="98"/>
    </row>
    <row r="648">
      <c r="G648" s="98"/>
    </row>
    <row r="649">
      <c r="G649" s="98"/>
    </row>
    <row r="650">
      <c r="G650" s="98"/>
    </row>
    <row r="651">
      <c r="G651" s="98"/>
    </row>
    <row r="652">
      <c r="G652" s="98"/>
    </row>
    <row r="653">
      <c r="G653" s="98"/>
    </row>
    <row r="654">
      <c r="G654" s="98"/>
    </row>
    <row r="655">
      <c r="G655" s="98"/>
    </row>
    <row r="656">
      <c r="G656" s="98"/>
    </row>
    <row r="657">
      <c r="G657" s="98"/>
    </row>
    <row r="658">
      <c r="G658" s="98"/>
    </row>
    <row r="659">
      <c r="G659" s="98"/>
    </row>
    <row r="660">
      <c r="G660" s="98"/>
    </row>
    <row r="661">
      <c r="G661" s="98"/>
    </row>
    <row r="662">
      <c r="G662" s="98"/>
    </row>
    <row r="663">
      <c r="G663" s="98"/>
    </row>
    <row r="664">
      <c r="G664" s="98"/>
    </row>
    <row r="665">
      <c r="G665" s="98"/>
    </row>
    <row r="666">
      <c r="G666" s="98"/>
    </row>
    <row r="667">
      <c r="G667" s="98"/>
    </row>
    <row r="668">
      <c r="G668" s="98"/>
    </row>
    <row r="669">
      <c r="G669" s="98"/>
    </row>
    <row r="670">
      <c r="G670" s="98"/>
    </row>
    <row r="671">
      <c r="G671" s="98"/>
    </row>
    <row r="672">
      <c r="G672" s="98"/>
    </row>
    <row r="673">
      <c r="G673" s="98"/>
    </row>
    <row r="674">
      <c r="G674" s="98"/>
    </row>
    <row r="675">
      <c r="G675" s="98"/>
    </row>
    <row r="676">
      <c r="G676" s="98"/>
    </row>
    <row r="677">
      <c r="G677" s="98"/>
    </row>
    <row r="678">
      <c r="G678" s="98"/>
    </row>
    <row r="679">
      <c r="G679" s="98"/>
    </row>
    <row r="680">
      <c r="G680" s="98"/>
    </row>
    <row r="681">
      <c r="G681" s="98"/>
    </row>
    <row r="682">
      <c r="G682" s="98"/>
    </row>
    <row r="683">
      <c r="G683" s="98"/>
    </row>
    <row r="684">
      <c r="G684" s="98"/>
    </row>
    <row r="685">
      <c r="G685" s="98"/>
    </row>
    <row r="686">
      <c r="G686" s="98"/>
    </row>
    <row r="687">
      <c r="G687" s="98"/>
    </row>
    <row r="688">
      <c r="G688" s="98"/>
    </row>
    <row r="689">
      <c r="G689" s="98"/>
    </row>
    <row r="690">
      <c r="G690" s="98"/>
    </row>
    <row r="691">
      <c r="G691" s="98"/>
    </row>
    <row r="692">
      <c r="G692" s="98"/>
    </row>
    <row r="693">
      <c r="G693" s="98"/>
    </row>
    <row r="694">
      <c r="G694" s="98"/>
    </row>
    <row r="695">
      <c r="G695" s="98"/>
    </row>
    <row r="696">
      <c r="G696" s="98"/>
    </row>
    <row r="697">
      <c r="G697" s="98"/>
    </row>
    <row r="698">
      <c r="G698" s="98"/>
    </row>
    <row r="699">
      <c r="G699" s="98"/>
    </row>
    <row r="700">
      <c r="G700" s="98"/>
    </row>
    <row r="701">
      <c r="G701" s="98"/>
    </row>
    <row r="702">
      <c r="G702" s="98"/>
    </row>
    <row r="703">
      <c r="G703" s="98"/>
    </row>
    <row r="704">
      <c r="G704" s="98"/>
    </row>
    <row r="705">
      <c r="G705" s="98"/>
    </row>
    <row r="706">
      <c r="G706" s="98"/>
    </row>
    <row r="707">
      <c r="G707" s="98"/>
    </row>
    <row r="708">
      <c r="G708" s="98"/>
    </row>
    <row r="709">
      <c r="G709" s="98"/>
    </row>
    <row r="710">
      <c r="G710" s="98"/>
    </row>
    <row r="711">
      <c r="G711" s="98"/>
    </row>
    <row r="712">
      <c r="G712" s="98"/>
    </row>
    <row r="713">
      <c r="G713" s="98"/>
    </row>
    <row r="714">
      <c r="G714" s="98"/>
    </row>
    <row r="715">
      <c r="G715" s="98"/>
    </row>
    <row r="716">
      <c r="G716" s="98"/>
    </row>
    <row r="717">
      <c r="G717" s="98"/>
    </row>
    <row r="718">
      <c r="G718" s="98"/>
    </row>
    <row r="719">
      <c r="G719" s="98"/>
    </row>
    <row r="720">
      <c r="G720" s="98"/>
    </row>
    <row r="721">
      <c r="G721" s="98"/>
    </row>
    <row r="722">
      <c r="G722" s="98"/>
    </row>
    <row r="723">
      <c r="G723" s="98"/>
    </row>
    <row r="724">
      <c r="G724" s="98"/>
    </row>
    <row r="725">
      <c r="G725" s="98"/>
    </row>
    <row r="726">
      <c r="G726" s="98"/>
    </row>
    <row r="727">
      <c r="G727" s="98"/>
    </row>
    <row r="728">
      <c r="G728" s="98"/>
    </row>
    <row r="729">
      <c r="G729" s="98"/>
    </row>
    <row r="730">
      <c r="G730" s="98"/>
    </row>
    <row r="731">
      <c r="G731" s="98"/>
    </row>
    <row r="732">
      <c r="G732" s="98"/>
    </row>
    <row r="733">
      <c r="G733" s="98"/>
    </row>
    <row r="734">
      <c r="G734" s="98"/>
    </row>
    <row r="735">
      <c r="G735" s="98"/>
    </row>
    <row r="736">
      <c r="G736" s="98"/>
    </row>
    <row r="737">
      <c r="G737" s="98"/>
    </row>
    <row r="738">
      <c r="G738" s="98"/>
    </row>
    <row r="739">
      <c r="G739" s="98"/>
    </row>
    <row r="740">
      <c r="G740" s="98"/>
    </row>
    <row r="741">
      <c r="G741" s="98"/>
    </row>
    <row r="742">
      <c r="G742" s="98"/>
    </row>
    <row r="743">
      <c r="G743" s="98"/>
    </row>
    <row r="744">
      <c r="G744" s="98"/>
    </row>
    <row r="745">
      <c r="G745" s="98"/>
    </row>
    <row r="746">
      <c r="G746" s="98"/>
    </row>
    <row r="747">
      <c r="G747" s="98"/>
    </row>
    <row r="748">
      <c r="G748" s="98"/>
    </row>
    <row r="749">
      <c r="G749" s="98"/>
    </row>
    <row r="750">
      <c r="G750" s="98"/>
    </row>
    <row r="751">
      <c r="G751" s="98"/>
    </row>
    <row r="752">
      <c r="G752" s="98"/>
    </row>
    <row r="753">
      <c r="G753" s="98"/>
    </row>
    <row r="754">
      <c r="G754" s="98"/>
    </row>
    <row r="755">
      <c r="G755" s="98"/>
    </row>
    <row r="756">
      <c r="G756" s="98"/>
    </row>
    <row r="757">
      <c r="G757" s="98"/>
    </row>
    <row r="758">
      <c r="G758" s="98"/>
    </row>
    <row r="759">
      <c r="G759" s="98"/>
    </row>
    <row r="760">
      <c r="G760" s="98"/>
    </row>
    <row r="761">
      <c r="G761" s="98"/>
    </row>
    <row r="762">
      <c r="G762" s="98"/>
    </row>
    <row r="763">
      <c r="G763" s="98"/>
    </row>
    <row r="764">
      <c r="G764" s="98"/>
    </row>
    <row r="765">
      <c r="G765" s="98"/>
    </row>
    <row r="766">
      <c r="G766" s="98"/>
    </row>
    <row r="767">
      <c r="G767" s="98"/>
    </row>
    <row r="768">
      <c r="G768" s="98"/>
    </row>
    <row r="769">
      <c r="G769" s="98"/>
    </row>
    <row r="770">
      <c r="G770" s="98"/>
    </row>
    <row r="771">
      <c r="G771" s="98"/>
    </row>
    <row r="772">
      <c r="G772" s="98"/>
    </row>
    <row r="773">
      <c r="G773" s="98"/>
    </row>
    <row r="774">
      <c r="G774" s="98"/>
    </row>
    <row r="775">
      <c r="G775" s="98"/>
    </row>
    <row r="776">
      <c r="G776" s="98"/>
    </row>
    <row r="777">
      <c r="G777" s="98"/>
    </row>
    <row r="778">
      <c r="G778" s="98"/>
    </row>
    <row r="779">
      <c r="G779" s="98"/>
    </row>
    <row r="780">
      <c r="G780" s="98"/>
    </row>
    <row r="781">
      <c r="G781" s="98"/>
    </row>
    <row r="782">
      <c r="G782" s="98"/>
    </row>
    <row r="783">
      <c r="G783" s="98"/>
    </row>
    <row r="784">
      <c r="G784" s="98"/>
    </row>
    <row r="785">
      <c r="G785" s="98"/>
    </row>
    <row r="786">
      <c r="G786" s="98"/>
    </row>
    <row r="787">
      <c r="G787" s="98"/>
    </row>
    <row r="788">
      <c r="G788" s="98"/>
    </row>
    <row r="789">
      <c r="G789" s="98"/>
    </row>
    <row r="790">
      <c r="G790" s="98"/>
    </row>
    <row r="791">
      <c r="G791" s="98"/>
    </row>
    <row r="792">
      <c r="G792" s="98"/>
    </row>
    <row r="793">
      <c r="G793" s="98"/>
    </row>
    <row r="794">
      <c r="G794" s="98"/>
    </row>
    <row r="795">
      <c r="G795" s="98"/>
    </row>
    <row r="796">
      <c r="G796" s="98"/>
    </row>
    <row r="797">
      <c r="G797" s="98"/>
    </row>
    <row r="798">
      <c r="G798" s="98"/>
    </row>
    <row r="799">
      <c r="G799" s="98"/>
    </row>
    <row r="800">
      <c r="G800" s="98"/>
    </row>
    <row r="801">
      <c r="G801" s="98"/>
    </row>
    <row r="802">
      <c r="G802" s="98"/>
    </row>
    <row r="803">
      <c r="G803" s="98"/>
    </row>
    <row r="804">
      <c r="G804" s="98"/>
    </row>
    <row r="805">
      <c r="G805" s="98"/>
    </row>
    <row r="806">
      <c r="G806" s="98"/>
    </row>
    <row r="807">
      <c r="G807" s="98"/>
    </row>
    <row r="808">
      <c r="G808" s="98"/>
    </row>
    <row r="809">
      <c r="G809" s="98"/>
    </row>
    <row r="810">
      <c r="G810" s="98"/>
    </row>
    <row r="811">
      <c r="G811" s="98"/>
    </row>
    <row r="812">
      <c r="G812" s="98"/>
    </row>
    <row r="813">
      <c r="G813" s="98"/>
    </row>
    <row r="814">
      <c r="G814" s="98"/>
    </row>
    <row r="815">
      <c r="G815" s="98"/>
    </row>
    <row r="816">
      <c r="G816" s="98"/>
    </row>
    <row r="817">
      <c r="G817" s="98"/>
    </row>
    <row r="818">
      <c r="G818" s="98"/>
    </row>
    <row r="819">
      <c r="G819" s="98"/>
    </row>
    <row r="820">
      <c r="G820" s="98"/>
    </row>
    <row r="821">
      <c r="G821" s="98"/>
    </row>
    <row r="822">
      <c r="G822" s="98"/>
    </row>
    <row r="823">
      <c r="G823" s="98"/>
    </row>
    <row r="824">
      <c r="G824" s="98"/>
    </row>
    <row r="825">
      <c r="G825" s="98"/>
    </row>
    <row r="826">
      <c r="G826" s="98"/>
    </row>
    <row r="827">
      <c r="G827" s="98"/>
    </row>
    <row r="828">
      <c r="G828" s="98"/>
    </row>
    <row r="829">
      <c r="G829" s="98"/>
    </row>
    <row r="830">
      <c r="G830" s="98"/>
    </row>
    <row r="831">
      <c r="G831" s="98"/>
    </row>
    <row r="832">
      <c r="G832" s="98"/>
    </row>
    <row r="833">
      <c r="G833" s="98"/>
    </row>
    <row r="834">
      <c r="G834" s="98"/>
    </row>
    <row r="835">
      <c r="G835" s="98"/>
    </row>
    <row r="836">
      <c r="G836" s="98"/>
    </row>
    <row r="837">
      <c r="G837" s="98"/>
    </row>
    <row r="838">
      <c r="G838" s="98"/>
    </row>
    <row r="839">
      <c r="G839" s="98"/>
    </row>
    <row r="840">
      <c r="G840" s="98"/>
    </row>
    <row r="841">
      <c r="G841" s="98"/>
    </row>
    <row r="842">
      <c r="G842" s="98"/>
    </row>
    <row r="843">
      <c r="G843" s="98"/>
    </row>
    <row r="844">
      <c r="G844" s="98"/>
    </row>
    <row r="845">
      <c r="G845" s="98"/>
    </row>
    <row r="846">
      <c r="G846" s="98"/>
    </row>
    <row r="847">
      <c r="G847" s="98"/>
    </row>
    <row r="848">
      <c r="G848" s="98"/>
    </row>
    <row r="849">
      <c r="G849" s="98"/>
    </row>
    <row r="850">
      <c r="G850" s="98"/>
    </row>
    <row r="851">
      <c r="G851" s="98"/>
    </row>
    <row r="852">
      <c r="G852" s="98"/>
    </row>
    <row r="853">
      <c r="G853" s="98"/>
    </row>
    <row r="854">
      <c r="G854" s="98"/>
    </row>
    <row r="855">
      <c r="G855" s="98"/>
    </row>
    <row r="856">
      <c r="G856" s="98"/>
    </row>
    <row r="857">
      <c r="G857" s="98"/>
    </row>
    <row r="858">
      <c r="G858" s="98"/>
    </row>
    <row r="859">
      <c r="G859" s="98"/>
    </row>
    <row r="860">
      <c r="G860" s="98"/>
    </row>
    <row r="861">
      <c r="G861" s="98"/>
    </row>
    <row r="862">
      <c r="G862" s="98"/>
    </row>
    <row r="863">
      <c r="G863" s="98"/>
    </row>
    <row r="864">
      <c r="G864" s="98"/>
    </row>
    <row r="865">
      <c r="G865" s="98"/>
    </row>
    <row r="866">
      <c r="G866" s="98"/>
    </row>
    <row r="867">
      <c r="G867" s="98"/>
    </row>
    <row r="868">
      <c r="G868" s="98"/>
    </row>
    <row r="869">
      <c r="G869" s="98"/>
    </row>
    <row r="870">
      <c r="G870" s="98"/>
    </row>
    <row r="871">
      <c r="G871" s="98"/>
    </row>
    <row r="872">
      <c r="G872" s="98"/>
    </row>
    <row r="873">
      <c r="G873" s="98"/>
    </row>
    <row r="874">
      <c r="G874" s="98"/>
    </row>
    <row r="875">
      <c r="G875" s="98"/>
    </row>
    <row r="876">
      <c r="G876" s="98"/>
    </row>
    <row r="877">
      <c r="G877" s="98"/>
    </row>
    <row r="878">
      <c r="G878" s="98"/>
    </row>
    <row r="879">
      <c r="G879" s="98"/>
    </row>
    <row r="880">
      <c r="G880" s="98"/>
    </row>
    <row r="881">
      <c r="G881" s="98"/>
    </row>
    <row r="882">
      <c r="G882" s="98"/>
    </row>
    <row r="883">
      <c r="G883" s="98"/>
    </row>
    <row r="884">
      <c r="G884" s="98"/>
    </row>
    <row r="885">
      <c r="G885" s="98"/>
    </row>
    <row r="886">
      <c r="G886" s="98"/>
    </row>
    <row r="887">
      <c r="G887" s="98"/>
    </row>
    <row r="888">
      <c r="G888" s="98"/>
    </row>
    <row r="889">
      <c r="G889" s="98"/>
    </row>
    <row r="890">
      <c r="G890" s="98"/>
    </row>
    <row r="891">
      <c r="G891" s="98"/>
    </row>
    <row r="892">
      <c r="G892" s="98"/>
    </row>
    <row r="893">
      <c r="G893" s="98"/>
    </row>
    <row r="894">
      <c r="G894" s="98"/>
    </row>
    <row r="895">
      <c r="G895" s="98"/>
    </row>
    <row r="896">
      <c r="G896" s="98"/>
    </row>
    <row r="897">
      <c r="G897" s="98"/>
    </row>
    <row r="898">
      <c r="G898" s="98"/>
    </row>
    <row r="899">
      <c r="G899" s="98"/>
    </row>
    <row r="900">
      <c r="G900" s="98"/>
    </row>
    <row r="901">
      <c r="G901" s="98"/>
    </row>
    <row r="902">
      <c r="G902" s="98"/>
    </row>
    <row r="903">
      <c r="G903" s="98"/>
    </row>
    <row r="904">
      <c r="G904" s="98"/>
    </row>
    <row r="905">
      <c r="G905" s="98"/>
    </row>
    <row r="906">
      <c r="G906" s="98"/>
    </row>
    <row r="907">
      <c r="G907" s="98"/>
    </row>
    <row r="908">
      <c r="G908" s="98"/>
    </row>
    <row r="909">
      <c r="G909" s="98"/>
    </row>
    <row r="910">
      <c r="G910" s="98"/>
    </row>
    <row r="911">
      <c r="G911" s="98"/>
    </row>
    <row r="912">
      <c r="G912" s="98"/>
    </row>
    <row r="913">
      <c r="G913" s="98"/>
    </row>
    <row r="914">
      <c r="G914" s="98"/>
    </row>
    <row r="915">
      <c r="G915" s="98"/>
    </row>
    <row r="916">
      <c r="G916" s="98"/>
    </row>
    <row r="917">
      <c r="G917" s="98"/>
    </row>
    <row r="918">
      <c r="G918" s="98"/>
    </row>
    <row r="919">
      <c r="G919" s="98"/>
    </row>
    <row r="920">
      <c r="G920" s="98"/>
    </row>
    <row r="921">
      <c r="G921" s="98"/>
    </row>
    <row r="922">
      <c r="G922" s="98"/>
    </row>
    <row r="923">
      <c r="G923" s="98"/>
    </row>
    <row r="924">
      <c r="G924" s="98"/>
    </row>
    <row r="925">
      <c r="G925" s="98"/>
    </row>
    <row r="926">
      <c r="G926" s="98"/>
    </row>
    <row r="927">
      <c r="G927" s="98"/>
    </row>
    <row r="928">
      <c r="G928" s="98"/>
    </row>
    <row r="929">
      <c r="G929" s="98"/>
    </row>
    <row r="930">
      <c r="G930" s="98"/>
    </row>
    <row r="931">
      <c r="G931" s="98"/>
    </row>
    <row r="932">
      <c r="G932" s="98"/>
    </row>
    <row r="933">
      <c r="G933" s="98"/>
    </row>
    <row r="934">
      <c r="G934" s="98"/>
    </row>
    <row r="935">
      <c r="G935" s="98"/>
    </row>
    <row r="936">
      <c r="G936" s="98"/>
    </row>
    <row r="937">
      <c r="G937" s="98"/>
    </row>
    <row r="938">
      <c r="G938" s="98"/>
    </row>
    <row r="939">
      <c r="G939" s="98"/>
    </row>
    <row r="940">
      <c r="G940" s="98"/>
    </row>
    <row r="941">
      <c r="G941" s="98"/>
    </row>
    <row r="942">
      <c r="G942" s="98"/>
    </row>
    <row r="943">
      <c r="G943" s="98"/>
    </row>
    <row r="944">
      <c r="G944" s="98"/>
    </row>
    <row r="945">
      <c r="G945" s="98"/>
    </row>
    <row r="946">
      <c r="G946" s="98"/>
    </row>
    <row r="947">
      <c r="G947" s="98"/>
    </row>
    <row r="948">
      <c r="G948" s="98"/>
    </row>
    <row r="949">
      <c r="G949" s="98"/>
    </row>
    <row r="950">
      <c r="G950" s="98"/>
    </row>
    <row r="951">
      <c r="G951" s="98"/>
    </row>
    <row r="952">
      <c r="G952" s="98"/>
    </row>
    <row r="953">
      <c r="G953" s="98"/>
    </row>
    <row r="954">
      <c r="G954" s="98"/>
    </row>
    <row r="955">
      <c r="G955" s="98"/>
    </row>
    <row r="956">
      <c r="G956" s="98"/>
    </row>
    <row r="957">
      <c r="G957" s="98"/>
    </row>
    <row r="958">
      <c r="G958" s="98"/>
    </row>
    <row r="959">
      <c r="G959" s="98"/>
    </row>
    <row r="960">
      <c r="G960" s="98"/>
    </row>
    <row r="961">
      <c r="G961" s="98"/>
    </row>
    <row r="962">
      <c r="G962" s="98"/>
    </row>
    <row r="963">
      <c r="G963" s="98"/>
    </row>
    <row r="964">
      <c r="G964" s="98"/>
    </row>
    <row r="965">
      <c r="G965" s="98"/>
    </row>
    <row r="966">
      <c r="G966" s="98"/>
    </row>
    <row r="967">
      <c r="G967" s="98"/>
    </row>
    <row r="968">
      <c r="G968" s="98"/>
    </row>
    <row r="969">
      <c r="G969" s="98"/>
    </row>
    <row r="970">
      <c r="G970" s="98"/>
    </row>
    <row r="971">
      <c r="G971" s="98"/>
    </row>
    <row r="972">
      <c r="G972" s="98"/>
    </row>
    <row r="973">
      <c r="G973" s="98"/>
    </row>
    <row r="974">
      <c r="G974" s="98"/>
    </row>
    <row r="975">
      <c r="G975" s="98"/>
    </row>
    <row r="976">
      <c r="G976" s="98"/>
    </row>
    <row r="977">
      <c r="G977" s="98"/>
    </row>
    <row r="978">
      <c r="G978" s="98"/>
    </row>
    <row r="979">
      <c r="G979" s="98"/>
    </row>
    <row r="980">
      <c r="G980" s="98"/>
    </row>
    <row r="981">
      <c r="G981" s="98"/>
    </row>
    <row r="982">
      <c r="G982" s="98"/>
    </row>
    <row r="983">
      <c r="G983" s="98"/>
    </row>
    <row r="984">
      <c r="G984" s="98"/>
    </row>
    <row r="985">
      <c r="G985" s="98"/>
    </row>
    <row r="986">
      <c r="G986" s="98"/>
    </row>
    <row r="987">
      <c r="G987" s="98"/>
    </row>
    <row r="988">
      <c r="G988" s="98"/>
    </row>
    <row r="989">
      <c r="G989" s="98"/>
    </row>
    <row r="990">
      <c r="G990" s="98"/>
    </row>
    <row r="991">
      <c r="G991" s="98"/>
    </row>
    <row r="992">
      <c r="G992" s="98"/>
    </row>
    <row r="993">
      <c r="G993" s="98"/>
    </row>
    <row r="994">
      <c r="G994" s="98"/>
    </row>
    <row r="995">
      <c r="G995" s="98"/>
    </row>
    <row r="996">
      <c r="G996" s="98"/>
    </row>
    <row r="997">
      <c r="G997" s="98"/>
    </row>
    <row r="998">
      <c r="G998" s="98"/>
    </row>
    <row r="999">
      <c r="G999" s="98"/>
    </row>
    <row r="1000">
      <c r="G1000" s="98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2.0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7.0</v>
      </c>
      <c r="C2" s="71">
        <v>44.92</v>
      </c>
      <c r="D2" s="127">
        <v>100.0</v>
      </c>
      <c r="E2" s="136">
        <f t="shared" ref="E2:E9" si="1">C2/D2</f>
        <v>0.4492</v>
      </c>
      <c r="F2" s="33">
        <v>2.0</v>
      </c>
      <c r="G2" s="102">
        <v>41.5</v>
      </c>
      <c r="H2" s="137" t="s">
        <v>586</v>
      </c>
    </row>
    <row r="3">
      <c r="A3" s="14" t="s">
        <v>86</v>
      </c>
      <c r="B3" s="112">
        <v>6.0</v>
      </c>
      <c r="C3" s="112">
        <v>54.104</v>
      </c>
      <c r="D3" s="128">
        <v>75.0</v>
      </c>
      <c r="E3" s="136">
        <f t="shared" si="1"/>
        <v>0.7213866667</v>
      </c>
      <c r="F3" s="138">
        <v>1.0</v>
      </c>
      <c r="G3" s="139">
        <v>58.0</v>
      </c>
      <c r="H3" s="140" t="s">
        <v>587</v>
      </c>
    </row>
    <row r="4">
      <c r="A4" s="14" t="s">
        <v>88</v>
      </c>
      <c r="B4" s="112">
        <v>11.0</v>
      </c>
      <c r="C4" s="112">
        <v>74.208</v>
      </c>
      <c r="D4" s="128">
        <v>100.0</v>
      </c>
      <c r="E4" s="136">
        <f t="shared" si="1"/>
        <v>0.74208</v>
      </c>
      <c r="F4" s="138">
        <v>1.0</v>
      </c>
      <c r="G4" s="139">
        <v>66.6</v>
      </c>
      <c r="H4" s="140" t="s">
        <v>588</v>
      </c>
    </row>
    <row r="5">
      <c r="A5" s="14" t="s">
        <v>90</v>
      </c>
      <c r="B5" s="112">
        <v>4.0</v>
      </c>
      <c r="C5" s="112">
        <v>52.668</v>
      </c>
      <c r="D5" s="128">
        <v>71.25</v>
      </c>
      <c r="E5" s="136">
        <f t="shared" si="1"/>
        <v>0.7392</v>
      </c>
      <c r="F5" s="141">
        <v>1.0</v>
      </c>
      <c r="G5" s="114">
        <v>43.03</v>
      </c>
      <c r="H5" s="142" t="s">
        <v>589</v>
      </c>
    </row>
    <row r="6">
      <c r="A6" s="14" t="s">
        <v>91</v>
      </c>
      <c r="B6" s="112">
        <v>9.0</v>
      </c>
      <c r="C6" s="112">
        <v>57.14</v>
      </c>
      <c r="D6" s="128">
        <v>100.0</v>
      </c>
      <c r="E6" s="136">
        <f t="shared" si="1"/>
        <v>0.5714</v>
      </c>
      <c r="F6" s="141">
        <v>3.0</v>
      </c>
      <c r="G6" s="114">
        <v>69.0</v>
      </c>
      <c r="H6" s="142" t="s">
        <v>590</v>
      </c>
    </row>
    <row r="7">
      <c r="A7" s="14" t="s">
        <v>94</v>
      </c>
      <c r="B7" s="112">
        <v>8.0</v>
      </c>
      <c r="C7" s="112">
        <v>77.685</v>
      </c>
      <c r="D7" s="128">
        <v>100.0</v>
      </c>
      <c r="E7" s="136">
        <f t="shared" si="1"/>
        <v>0.77685</v>
      </c>
      <c r="F7" s="33">
        <v>2.0</v>
      </c>
      <c r="G7" s="114">
        <v>58.08</v>
      </c>
      <c r="H7" s="142" t="s">
        <v>591</v>
      </c>
    </row>
    <row r="8">
      <c r="A8" s="7" t="s">
        <v>96</v>
      </c>
      <c r="B8" s="112">
        <v>10.0</v>
      </c>
      <c r="C8" s="115">
        <v>41.458</v>
      </c>
      <c r="D8" s="128">
        <v>76.0</v>
      </c>
      <c r="E8" s="136">
        <f t="shared" si="1"/>
        <v>0.5455</v>
      </c>
      <c r="F8" s="7">
        <v>1.0</v>
      </c>
      <c r="G8" s="111">
        <v>19.07</v>
      </c>
      <c r="H8" s="142" t="s">
        <v>592</v>
      </c>
    </row>
    <row r="9">
      <c r="C9" s="66">
        <f t="shared" ref="C9:D9" si="2">SUM(C1:C8)</f>
        <v>402.183</v>
      </c>
      <c r="D9" s="66">
        <f t="shared" si="2"/>
        <v>622.25</v>
      </c>
      <c r="E9" s="86">
        <f t="shared" si="1"/>
        <v>0.6463366814</v>
      </c>
    </row>
    <row r="12">
      <c r="D12" s="94">
        <v>1.0</v>
      </c>
      <c r="E12" s="94" t="s">
        <v>108</v>
      </c>
      <c r="F12" s="116">
        <v>3.45</v>
      </c>
      <c r="H12" s="55" t="s">
        <v>593</v>
      </c>
    </row>
    <row r="13">
      <c r="D13" s="110">
        <v>2.0</v>
      </c>
      <c r="E13" s="124" t="s">
        <v>90</v>
      </c>
      <c r="F13" s="130">
        <v>3.42</v>
      </c>
    </row>
    <row r="14">
      <c r="D14" s="110">
        <v>3.0</v>
      </c>
      <c r="E14" s="124" t="s">
        <v>88</v>
      </c>
      <c r="F14" s="117">
        <v>3.2</v>
      </c>
    </row>
    <row r="15">
      <c r="D15" s="111">
        <v>4.0</v>
      </c>
      <c r="E15" s="124" t="s">
        <v>94</v>
      </c>
      <c r="F15" s="130">
        <v>3.06</v>
      </c>
    </row>
    <row r="16">
      <c r="D16" s="111">
        <v>5.0</v>
      </c>
      <c r="E16" s="124" t="s">
        <v>96</v>
      </c>
      <c r="F16" s="117">
        <v>3.01</v>
      </c>
    </row>
    <row r="17">
      <c r="D17" s="111">
        <v>6.0</v>
      </c>
      <c r="E17" s="124" t="s">
        <v>91</v>
      </c>
      <c r="F17" s="117">
        <v>2.52</v>
      </c>
    </row>
    <row r="18">
      <c r="D18" s="111">
        <v>7.0</v>
      </c>
      <c r="E18" s="111" t="s">
        <v>85</v>
      </c>
      <c r="F18" s="118">
        <v>1.92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  <col customWidth="1" min="8" max="8" width="88.5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5.0</v>
      </c>
      <c r="C2" s="71">
        <v>56.546</v>
      </c>
      <c r="D2" s="127">
        <v>80.0</v>
      </c>
      <c r="E2" s="136">
        <f t="shared" ref="E2:E9" si="1">C2/D2</f>
        <v>0.706825</v>
      </c>
      <c r="F2" s="33">
        <v>1.0</v>
      </c>
      <c r="G2" s="102">
        <v>20.17</v>
      </c>
      <c r="H2" s="137" t="s">
        <v>594</v>
      </c>
    </row>
    <row r="3">
      <c r="A3" s="14" t="s">
        <v>86</v>
      </c>
      <c r="B3" s="112">
        <v>2.0</v>
      </c>
      <c r="C3" s="112">
        <v>38.388</v>
      </c>
      <c r="D3" s="128">
        <v>63.75</v>
      </c>
      <c r="E3" s="136">
        <f t="shared" si="1"/>
        <v>0.6021647059</v>
      </c>
      <c r="F3" s="138">
        <v>0.0</v>
      </c>
      <c r="G3" s="139">
        <v>57.0</v>
      </c>
      <c r="H3" s="140" t="s">
        <v>595</v>
      </c>
    </row>
    <row r="4">
      <c r="A4" s="14" t="s">
        <v>88</v>
      </c>
      <c r="B4" s="112">
        <v>17.0</v>
      </c>
      <c r="C4" s="112">
        <v>79.885</v>
      </c>
      <c r="D4" s="128">
        <v>100.0</v>
      </c>
      <c r="E4" s="136">
        <f t="shared" si="1"/>
        <v>0.79885</v>
      </c>
      <c r="F4" s="138">
        <v>1.0</v>
      </c>
      <c r="G4" s="139">
        <v>76.03</v>
      </c>
      <c r="H4" s="140" t="s">
        <v>596</v>
      </c>
    </row>
    <row r="5">
      <c r="A5" s="14" t="s">
        <v>90</v>
      </c>
      <c r="B5" s="112">
        <v>7.0</v>
      </c>
      <c r="C5" s="112">
        <v>62.32</v>
      </c>
      <c r="D5" s="128">
        <v>75.0</v>
      </c>
      <c r="E5" s="136">
        <f t="shared" si="1"/>
        <v>0.8309333333</v>
      </c>
      <c r="F5" s="141">
        <v>0.0</v>
      </c>
      <c r="G5" s="114">
        <v>63.25</v>
      </c>
      <c r="H5" s="142" t="s">
        <v>597</v>
      </c>
    </row>
    <row r="6">
      <c r="A6" s="14" t="s">
        <v>91</v>
      </c>
      <c r="B6" s="112">
        <v>16.0</v>
      </c>
      <c r="C6" s="112">
        <v>55.982</v>
      </c>
      <c r="D6" s="128">
        <v>90.0</v>
      </c>
      <c r="E6" s="136">
        <f t="shared" si="1"/>
        <v>0.6220222222</v>
      </c>
      <c r="F6" s="141">
        <v>1.0</v>
      </c>
      <c r="G6" s="114">
        <v>69.5</v>
      </c>
      <c r="H6" s="142" t="s">
        <v>598</v>
      </c>
    </row>
    <row r="7">
      <c r="A7" s="14" t="s">
        <v>94</v>
      </c>
      <c r="B7" s="112">
        <v>10.0</v>
      </c>
      <c r="C7" s="112">
        <v>86.993</v>
      </c>
      <c r="D7" s="128">
        <v>90.0</v>
      </c>
      <c r="E7" s="136">
        <f t="shared" si="1"/>
        <v>0.9665888889</v>
      </c>
      <c r="F7" s="33">
        <v>0.0</v>
      </c>
      <c r="G7" s="114">
        <v>89.7</v>
      </c>
      <c r="H7" s="142" t="s">
        <v>599</v>
      </c>
    </row>
    <row r="8">
      <c r="A8" s="7" t="s">
        <v>96</v>
      </c>
      <c r="B8" s="112">
        <v>11.0</v>
      </c>
      <c r="C8" s="115">
        <v>48.62</v>
      </c>
      <c r="D8" s="128">
        <v>72.0</v>
      </c>
      <c r="E8" s="136">
        <f t="shared" si="1"/>
        <v>0.6752777778</v>
      </c>
      <c r="F8" s="7">
        <v>2.0</v>
      </c>
      <c r="G8" s="111">
        <v>17.83</v>
      </c>
      <c r="H8" s="142" t="s">
        <v>600</v>
      </c>
    </row>
    <row r="9">
      <c r="C9" s="66">
        <f t="shared" ref="C9:D9" si="2">SUM(C1:C8)</f>
        <v>428.734</v>
      </c>
      <c r="D9" s="66">
        <f t="shared" si="2"/>
        <v>570.75</v>
      </c>
      <c r="E9" s="86">
        <f t="shared" si="1"/>
        <v>0.7511765221</v>
      </c>
    </row>
    <row r="12">
      <c r="D12" s="94">
        <v>1.0</v>
      </c>
      <c r="E12" s="116" t="s">
        <v>94</v>
      </c>
      <c r="F12" s="116">
        <v>4.48</v>
      </c>
      <c r="H12" s="55" t="s">
        <v>568</v>
      </c>
    </row>
    <row r="13">
      <c r="D13" s="110">
        <v>2.0</v>
      </c>
      <c r="E13" s="117" t="s">
        <v>90</v>
      </c>
      <c r="F13" s="130">
        <v>4.25</v>
      </c>
    </row>
    <row r="14">
      <c r="D14" s="110">
        <v>3.0</v>
      </c>
      <c r="E14" s="117" t="s">
        <v>88</v>
      </c>
      <c r="F14" s="117">
        <v>4.0</v>
      </c>
    </row>
    <row r="15">
      <c r="D15" s="111">
        <v>4.0</v>
      </c>
      <c r="E15" s="117" t="s">
        <v>108</v>
      </c>
      <c r="F15" s="130">
        <v>3.7</v>
      </c>
    </row>
    <row r="16">
      <c r="D16" s="111">
        <v>5.0</v>
      </c>
      <c r="E16" s="117" t="s">
        <v>96</v>
      </c>
      <c r="F16" s="117">
        <v>3.32</v>
      </c>
    </row>
    <row r="17">
      <c r="D17" s="111">
        <v>6.0</v>
      </c>
      <c r="E17" s="117" t="s">
        <v>91</v>
      </c>
      <c r="F17" s="117">
        <v>3.09</v>
      </c>
    </row>
    <row r="18">
      <c r="D18" s="111">
        <v>7.0</v>
      </c>
      <c r="E18" s="118" t="s">
        <v>374</v>
      </c>
      <c r="F18" s="118">
        <v>3.07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6.88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11.0</v>
      </c>
      <c r="C2" s="71">
        <v>52.453</v>
      </c>
      <c r="D2" s="71">
        <v>100.0</v>
      </c>
      <c r="E2" s="136">
        <f t="shared" ref="E2:E9" si="1">C2/D2</f>
        <v>0.52453</v>
      </c>
      <c r="F2" s="33">
        <v>4.0</v>
      </c>
      <c r="G2" s="102">
        <v>51.75</v>
      </c>
      <c r="H2" s="137" t="s">
        <v>601</v>
      </c>
    </row>
    <row r="3">
      <c r="A3" s="14" t="s">
        <v>86</v>
      </c>
      <c r="B3" s="112">
        <v>5.0</v>
      </c>
      <c r="C3" s="112">
        <v>74.574</v>
      </c>
      <c r="D3" s="112">
        <v>75.0</v>
      </c>
      <c r="E3" s="136">
        <f t="shared" si="1"/>
        <v>0.99432</v>
      </c>
      <c r="F3" s="138">
        <v>1.0</v>
      </c>
      <c r="G3" s="139">
        <v>42.0</v>
      </c>
      <c r="H3" s="140" t="s">
        <v>602</v>
      </c>
    </row>
    <row r="4">
      <c r="A4" s="14" t="s">
        <v>88</v>
      </c>
      <c r="B4" s="112">
        <v>14.0</v>
      </c>
      <c r="C4" s="112">
        <v>92.408</v>
      </c>
      <c r="D4" s="112">
        <v>100.0</v>
      </c>
      <c r="E4" s="136">
        <f t="shared" si="1"/>
        <v>0.92408</v>
      </c>
      <c r="F4" s="138">
        <v>1.0</v>
      </c>
      <c r="G4" s="139">
        <v>74.82</v>
      </c>
      <c r="H4" s="140" t="s">
        <v>603</v>
      </c>
    </row>
    <row r="5">
      <c r="A5" s="14" t="s">
        <v>90</v>
      </c>
      <c r="B5" s="112">
        <v>1.0</v>
      </c>
      <c r="C5" s="112">
        <v>86.02</v>
      </c>
      <c r="D5" s="112">
        <v>67.5</v>
      </c>
      <c r="E5" s="136">
        <f t="shared" si="1"/>
        <v>1.27437037</v>
      </c>
      <c r="F5" s="141"/>
      <c r="G5" s="114">
        <v>88.0</v>
      </c>
      <c r="H5" s="142" t="s">
        <v>604</v>
      </c>
    </row>
    <row r="6">
      <c r="A6" s="14" t="s">
        <v>91</v>
      </c>
      <c r="B6" s="112">
        <v>12.0</v>
      </c>
      <c r="C6" s="112">
        <f>43.363+5.197</f>
        <v>48.56</v>
      </c>
      <c r="D6" s="112">
        <v>100.0</v>
      </c>
      <c r="E6" s="136">
        <f t="shared" si="1"/>
        <v>0.4856</v>
      </c>
      <c r="F6" s="141">
        <v>3.0</v>
      </c>
      <c r="G6" s="114">
        <v>41.03</v>
      </c>
      <c r="H6" s="142" t="s">
        <v>605</v>
      </c>
    </row>
    <row r="7">
      <c r="A7" s="14" t="s">
        <v>94</v>
      </c>
      <c r="B7" s="112">
        <v>6.0</v>
      </c>
      <c r="C7" s="112">
        <v>55.55</v>
      </c>
      <c r="D7" s="112">
        <v>50.0</v>
      </c>
      <c r="E7" s="136">
        <f t="shared" si="1"/>
        <v>1.111</v>
      </c>
      <c r="F7" s="33">
        <v>2.0</v>
      </c>
      <c r="G7" s="114">
        <v>29.97</v>
      </c>
      <c r="H7" s="142" t="s">
        <v>606</v>
      </c>
    </row>
    <row r="8">
      <c r="A8" s="7" t="s">
        <v>96</v>
      </c>
      <c r="B8" s="112">
        <v>8.0</v>
      </c>
      <c r="C8" s="115">
        <v>30.56</v>
      </c>
      <c r="D8" s="112">
        <v>64.0</v>
      </c>
      <c r="E8" s="136">
        <f t="shared" si="1"/>
        <v>0.4775</v>
      </c>
      <c r="F8" s="7"/>
      <c r="G8" s="111">
        <v>26.08</v>
      </c>
      <c r="H8" s="142" t="s">
        <v>607</v>
      </c>
    </row>
    <row r="9">
      <c r="C9" s="66">
        <f t="shared" ref="C9:D9" si="2">SUM(C1:C8)</f>
        <v>440.125</v>
      </c>
      <c r="D9" s="66">
        <f t="shared" si="2"/>
        <v>556.5</v>
      </c>
      <c r="E9" s="86">
        <f t="shared" si="1"/>
        <v>0.7908805031</v>
      </c>
    </row>
    <row r="12">
      <c r="C12" s="94">
        <v>1.0</v>
      </c>
      <c r="D12" s="116" t="s">
        <v>90</v>
      </c>
      <c r="E12" s="116">
        <v>5.59</v>
      </c>
      <c r="H12" s="55" t="s">
        <v>608</v>
      </c>
    </row>
    <row r="13">
      <c r="C13" s="110">
        <v>2.0</v>
      </c>
      <c r="D13" s="117" t="s">
        <v>108</v>
      </c>
      <c r="E13" s="130">
        <v>4.31</v>
      </c>
    </row>
    <row r="14">
      <c r="C14" s="110">
        <v>3.0</v>
      </c>
      <c r="D14" s="117" t="s">
        <v>88</v>
      </c>
      <c r="E14" s="117">
        <v>4.0</v>
      </c>
    </row>
    <row r="15">
      <c r="C15" s="111">
        <v>4.0</v>
      </c>
      <c r="D15" s="117" t="s">
        <v>94</v>
      </c>
      <c r="E15" s="130">
        <v>3.53</v>
      </c>
    </row>
    <row r="16">
      <c r="C16" s="111">
        <v>5.0</v>
      </c>
      <c r="D16" s="117" t="s">
        <v>96</v>
      </c>
      <c r="E16" s="117">
        <v>2.9</v>
      </c>
    </row>
    <row r="17">
      <c r="C17" s="111">
        <v>6.0</v>
      </c>
      <c r="D17" s="117" t="s">
        <v>91</v>
      </c>
      <c r="E17" s="117">
        <v>2.51</v>
      </c>
    </row>
    <row r="18">
      <c r="C18" s="111">
        <v>7.0</v>
      </c>
      <c r="D18" s="118" t="s">
        <v>85</v>
      </c>
      <c r="E18" s="118">
        <v>2.27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6.5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14.0</v>
      </c>
      <c r="C2" s="71">
        <v>43.428</v>
      </c>
      <c r="D2" s="71">
        <v>100.0</v>
      </c>
      <c r="E2" s="136">
        <f t="shared" ref="E2:E9" si="1">C2/D2</f>
        <v>0.43428</v>
      </c>
      <c r="F2" s="33">
        <v>5.0</v>
      </c>
      <c r="G2" s="102">
        <v>33.42</v>
      </c>
      <c r="H2" s="137" t="s">
        <v>609</v>
      </c>
    </row>
    <row r="3">
      <c r="A3" s="14" t="s">
        <v>86</v>
      </c>
      <c r="B3" s="112">
        <v>4.0</v>
      </c>
      <c r="C3" s="112">
        <v>41.988</v>
      </c>
      <c r="D3" s="112">
        <v>75.0</v>
      </c>
      <c r="E3" s="136">
        <f t="shared" si="1"/>
        <v>0.55984</v>
      </c>
      <c r="F3" s="138">
        <v>1.0</v>
      </c>
      <c r="G3" s="139">
        <v>27.0</v>
      </c>
      <c r="H3" s="140" t="s">
        <v>610</v>
      </c>
    </row>
    <row r="4">
      <c r="A4" s="14" t="s">
        <v>88</v>
      </c>
      <c r="B4" s="112">
        <v>15.0</v>
      </c>
      <c r="C4" s="112">
        <v>80.861</v>
      </c>
      <c r="D4" s="112">
        <v>90.0</v>
      </c>
      <c r="E4" s="136">
        <f t="shared" si="1"/>
        <v>0.8984555556</v>
      </c>
      <c r="F4" s="138"/>
      <c r="G4" s="139">
        <v>56.37</v>
      </c>
      <c r="H4" s="140" t="s">
        <v>611</v>
      </c>
    </row>
    <row r="5">
      <c r="A5" s="14" t="s">
        <v>90</v>
      </c>
      <c r="B5" s="112">
        <v>8.0</v>
      </c>
      <c r="C5" s="112">
        <v>87.44</v>
      </c>
      <c r="D5" s="112">
        <v>75.0</v>
      </c>
      <c r="E5" s="136">
        <f t="shared" si="1"/>
        <v>1.165866667</v>
      </c>
      <c r="F5" s="141"/>
      <c r="G5" s="114">
        <v>64.5</v>
      </c>
      <c r="H5" s="142" t="s">
        <v>612</v>
      </c>
    </row>
    <row r="6">
      <c r="A6" s="14" t="s">
        <v>91</v>
      </c>
      <c r="B6" s="112">
        <v>16.0</v>
      </c>
      <c r="C6" s="112">
        <v>76.872</v>
      </c>
      <c r="D6" s="112">
        <v>100.0</v>
      </c>
      <c r="E6" s="136">
        <f t="shared" si="1"/>
        <v>0.76872</v>
      </c>
      <c r="F6" s="141">
        <v>3.0</v>
      </c>
      <c r="G6" s="114">
        <v>56.15</v>
      </c>
      <c r="H6" s="142" t="s">
        <v>613</v>
      </c>
    </row>
    <row r="7">
      <c r="A7" s="14" t="s">
        <v>94</v>
      </c>
      <c r="B7" s="112">
        <v>5.0</v>
      </c>
      <c r="C7" s="112">
        <v>92.946</v>
      </c>
      <c r="D7" s="112">
        <v>100.0</v>
      </c>
      <c r="E7" s="136">
        <f t="shared" si="1"/>
        <v>0.92946</v>
      </c>
      <c r="F7" s="33">
        <v>2.0</v>
      </c>
      <c r="G7" s="114">
        <v>67.8</v>
      </c>
      <c r="H7" s="142" t="s">
        <v>614</v>
      </c>
    </row>
    <row r="8">
      <c r="A8" s="7" t="s">
        <v>96</v>
      </c>
      <c r="B8" s="112">
        <v>9.0</v>
      </c>
      <c r="C8" s="115">
        <v>72.02</v>
      </c>
      <c r="D8" s="112">
        <v>72.0</v>
      </c>
      <c r="E8" s="136">
        <f t="shared" si="1"/>
        <v>1.000277778</v>
      </c>
      <c r="F8" s="7">
        <v>4.0</v>
      </c>
      <c r="G8" s="111">
        <v>33.4</v>
      </c>
      <c r="H8" s="142" t="s">
        <v>615</v>
      </c>
    </row>
    <row r="9">
      <c r="C9" s="66">
        <f t="shared" ref="C9:D9" si="2">SUM(C1:C8)</f>
        <v>495.555</v>
      </c>
      <c r="D9" s="66">
        <f t="shared" si="2"/>
        <v>612</v>
      </c>
      <c r="E9" s="86">
        <f t="shared" si="1"/>
        <v>0.8097303922</v>
      </c>
    </row>
    <row r="12">
      <c r="C12" s="94">
        <v>1.0</v>
      </c>
      <c r="D12" s="116" t="s">
        <v>90</v>
      </c>
      <c r="E12" s="116">
        <v>5.25</v>
      </c>
    </row>
    <row r="13">
      <c r="C13" s="110">
        <v>2.0</v>
      </c>
      <c r="D13" s="117" t="s">
        <v>88</v>
      </c>
      <c r="E13" s="130">
        <v>4.0</v>
      </c>
      <c r="H13" s="55" t="s">
        <v>616</v>
      </c>
    </row>
    <row r="14">
      <c r="C14" s="110">
        <v>3.0</v>
      </c>
      <c r="D14" s="117" t="s">
        <v>94</v>
      </c>
      <c r="E14" s="117">
        <v>3.38</v>
      </c>
      <c r="H14" s="55" t="s">
        <v>617</v>
      </c>
    </row>
    <row r="15">
      <c r="C15" s="111">
        <v>4.0</v>
      </c>
      <c r="D15" s="117" t="s">
        <v>91</v>
      </c>
      <c r="E15" s="130">
        <v>3.17</v>
      </c>
    </row>
    <row r="16">
      <c r="C16" s="111">
        <v>5.0</v>
      </c>
      <c r="D16" s="117" t="s">
        <v>96</v>
      </c>
      <c r="E16" s="117">
        <v>3.03</v>
      </c>
    </row>
    <row r="17">
      <c r="C17" s="111">
        <v>6.0</v>
      </c>
      <c r="D17" s="117" t="s">
        <v>108</v>
      </c>
      <c r="E17" s="117">
        <v>2.95</v>
      </c>
    </row>
    <row r="18">
      <c r="C18" s="111">
        <v>7.0</v>
      </c>
      <c r="D18" s="118" t="s">
        <v>104</v>
      </c>
      <c r="E18" s="118">
        <v>1.76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1503107642" ref="H8"/>
  </hyperlinks>
  <drawing r:id="rId8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2.25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5.0</v>
      </c>
      <c r="C2" s="71">
        <v>36.02</v>
      </c>
      <c r="D2" s="71">
        <v>100.0</v>
      </c>
      <c r="E2" s="136">
        <f t="shared" ref="E2:E10" si="1">C2/D2</f>
        <v>0.3602</v>
      </c>
      <c r="F2" s="33">
        <v>6.0</v>
      </c>
      <c r="G2" s="79">
        <v>55.0</v>
      </c>
      <c r="H2" s="137" t="s">
        <v>618</v>
      </c>
    </row>
    <row r="3">
      <c r="A3" s="14" t="s">
        <v>86</v>
      </c>
      <c r="B3" s="112">
        <v>7.0</v>
      </c>
      <c r="C3" s="112">
        <v>75.419</v>
      </c>
      <c r="D3" s="112">
        <v>75.0</v>
      </c>
      <c r="E3" s="136">
        <f t="shared" si="1"/>
        <v>1.005586667</v>
      </c>
      <c r="F3" s="138">
        <v>0.0</v>
      </c>
      <c r="G3" s="143">
        <v>40.5</v>
      </c>
      <c r="H3" s="140" t="s">
        <v>619</v>
      </c>
    </row>
    <row r="4">
      <c r="A4" s="14" t="s">
        <v>88</v>
      </c>
      <c r="B4" s="112">
        <v>5.0</v>
      </c>
      <c r="C4" s="112">
        <v>37.153</v>
      </c>
      <c r="D4" s="112">
        <v>50.0</v>
      </c>
      <c r="E4" s="136">
        <f t="shared" si="1"/>
        <v>0.74306</v>
      </c>
      <c r="F4" s="138">
        <v>0.0</v>
      </c>
      <c r="G4" s="144">
        <v>22.7</v>
      </c>
      <c r="H4" s="140" t="s">
        <v>620</v>
      </c>
    </row>
    <row r="5">
      <c r="A5" s="14" t="s">
        <v>90</v>
      </c>
      <c r="B5" s="112">
        <v>8.0</v>
      </c>
      <c r="C5" s="112">
        <v>100.77</v>
      </c>
      <c r="D5" s="112">
        <v>75.0</v>
      </c>
      <c r="E5" s="136">
        <f t="shared" si="1"/>
        <v>1.3436</v>
      </c>
      <c r="F5" s="141">
        <v>0.0</v>
      </c>
      <c r="G5" s="144">
        <v>62.07</v>
      </c>
      <c r="H5" s="142" t="s">
        <v>621</v>
      </c>
    </row>
    <row r="6">
      <c r="A6" s="14" t="s">
        <v>91</v>
      </c>
      <c r="B6" s="112">
        <v>7.0</v>
      </c>
      <c r="C6" s="112">
        <v>31.32</v>
      </c>
      <c r="D6" s="112">
        <v>50.0</v>
      </c>
      <c r="E6" s="136">
        <f t="shared" si="1"/>
        <v>0.6264</v>
      </c>
      <c r="F6" s="141">
        <v>5.0</v>
      </c>
      <c r="G6" s="143">
        <v>48.48</v>
      </c>
      <c r="H6" s="142" t="s">
        <v>622</v>
      </c>
    </row>
    <row r="7">
      <c r="A7" s="14" t="s">
        <v>94</v>
      </c>
      <c r="B7" s="112">
        <v>4.0</v>
      </c>
      <c r="C7" s="112">
        <v>92.328</v>
      </c>
      <c r="D7" s="112">
        <v>90.0</v>
      </c>
      <c r="E7" s="136">
        <f t="shared" si="1"/>
        <v>1.025866667</v>
      </c>
      <c r="F7" s="33">
        <v>5.0</v>
      </c>
      <c r="G7" s="143">
        <v>68.87</v>
      </c>
      <c r="H7" s="142" t="s">
        <v>623</v>
      </c>
    </row>
    <row r="8">
      <c r="A8" s="7" t="s">
        <v>95</v>
      </c>
      <c r="B8" s="112">
        <v>1.0</v>
      </c>
      <c r="C8" s="144">
        <v>7.59</v>
      </c>
      <c r="D8" s="112">
        <v>42.5</v>
      </c>
      <c r="E8" s="136">
        <f t="shared" si="1"/>
        <v>0.1785882353</v>
      </c>
      <c r="F8" s="7">
        <v>1.0</v>
      </c>
      <c r="G8" s="145">
        <v>14.5</v>
      </c>
      <c r="H8" s="142" t="s">
        <v>624</v>
      </c>
    </row>
    <row r="9">
      <c r="A9" s="7" t="s">
        <v>96</v>
      </c>
      <c r="B9" s="112">
        <v>4.0</v>
      </c>
      <c r="C9" s="115">
        <v>19.095</v>
      </c>
      <c r="D9" s="112">
        <v>64.0</v>
      </c>
      <c r="E9" s="136">
        <f t="shared" si="1"/>
        <v>0.298359375</v>
      </c>
      <c r="F9" s="7">
        <v>3.0</v>
      </c>
      <c r="G9" s="145">
        <v>23.07</v>
      </c>
      <c r="H9" s="142" t="s">
        <v>625</v>
      </c>
    </row>
    <row r="10">
      <c r="C10" s="52">
        <f t="shared" ref="C10:D10" si="2">SUM(C2:C9)</f>
        <v>399.695</v>
      </c>
      <c r="D10" s="52">
        <f t="shared" si="2"/>
        <v>546.5</v>
      </c>
      <c r="E10" s="86">
        <f t="shared" si="1"/>
        <v>0.7313723696</v>
      </c>
    </row>
    <row r="13">
      <c r="B13" s="94" t="s">
        <v>193</v>
      </c>
      <c r="C13" s="116" t="s">
        <v>194</v>
      </c>
      <c r="D13" s="116" t="s">
        <v>217</v>
      </c>
      <c r="H13" s="55" t="s">
        <v>626</v>
      </c>
    </row>
    <row r="14">
      <c r="B14" s="111">
        <v>1.0</v>
      </c>
      <c r="C14" s="118" t="s">
        <v>90</v>
      </c>
      <c r="D14" s="118">
        <v>5.08</v>
      </c>
    </row>
    <row r="15">
      <c r="B15" s="110">
        <v>2.0</v>
      </c>
      <c r="C15" s="117" t="s">
        <v>108</v>
      </c>
      <c r="D15" s="130">
        <v>4.79</v>
      </c>
    </row>
    <row r="16">
      <c r="B16" s="110">
        <v>3.0</v>
      </c>
      <c r="C16" s="117" t="s">
        <v>94</v>
      </c>
      <c r="D16" s="117">
        <v>3.36</v>
      </c>
    </row>
    <row r="17">
      <c r="B17" s="111">
        <v>4.0</v>
      </c>
      <c r="C17" s="117" t="s">
        <v>88</v>
      </c>
      <c r="D17" s="130">
        <v>3.27</v>
      </c>
    </row>
    <row r="18">
      <c r="B18" s="111">
        <v>5.0</v>
      </c>
      <c r="C18" s="117" t="s">
        <v>91</v>
      </c>
      <c r="D18" s="117">
        <v>2.12</v>
      </c>
    </row>
    <row r="19">
      <c r="B19" s="111">
        <v>6.0</v>
      </c>
      <c r="C19" s="117" t="s">
        <v>96</v>
      </c>
      <c r="D19" s="117">
        <v>1.27</v>
      </c>
    </row>
    <row r="20">
      <c r="B20" s="111">
        <v>7.0</v>
      </c>
      <c r="C20" s="118" t="s">
        <v>85</v>
      </c>
      <c r="D20" s="118">
        <v>1.25</v>
      </c>
    </row>
    <row r="21">
      <c r="B21" s="111">
        <v>8.0</v>
      </c>
      <c r="C21" s="118" t="s">
        <v>95</v>
      </c>
      <c r="D21" s="118">
        <v>1.14</v>
      </c>
    </row>
    <row r="24">
      <c r="C24" s="55" t="s">
        <v>627</v>
      </c>
      <c r="D24" s="52">
        <f>AVERAGEA(D15:D20)</f>
        <v>2.676666667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27662145" ref="H8"/>
    <hyperlink r:id="rId8" location="gid=1503107642" ref="H9"/>
  </hyperlinks>
  <drawing r:id="rId9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63"/>
    <col customWidth="1" min="8" max="8" width="89.63"/>
    <col customWidth="1" min="9" max="9" width="90.0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7.0</v>
      </c>
      <c r="C2" s="71">
        <v>31.19</v>
      </c>
      <c r="D2" s="71">
        <v>100.0</v>
      </c>
      <c r="E2" s="136">
        <f t="shared" ref="E2:E10" si="1">C2/D2</f>
        <v>0.3119</v>
      </c>
      <c r="F2" s="33">
        <v>2.0</v>
      </c>
      <c r="G2" s="79">
        <v>40.17</v>
      </c>
      <c r="H2" s="146" t="s">
        <v>628</v>
      </c>
    </row>
    <row r="3">
      <c r="A3" s="14" t="s">
        <v>86</v>
      </c>
      <c r="B3" s="112">
        <v>0.0</v>
      </c>
      <c r="C3" s="112">
        <v>0.0</v>
      </c>
      <c r="D3" s="112">
        <v>45.0</v>
      </c>
      <c r="E3" s="136">
        <f t="shared" si="1"/>
        <v>0</v>
      </c>
      <c r="F3" s="138">
        <v>1.0</v>
      </c>
      <c r="G3" s="143">
        <v>0.0</v>
      </c>
      <c r="H3" s="147" t="s">
        <v>629</v>
      </c>
    </row>
    <row r="4">
      <c r="A4" s="14" t="s">
        <v>88</v>
      </c>
      <c r="B4" s="112">
        <v>4.0</v>
      </c>
      <c r="C4" s="112">
        <v>46.682</v>
      </c>
      <c r="D4" s="112">
        <v>50.0</v>
      </c>
      <c r="E4" s="136">
        <f t="shared" si="1"/>
        <v>0.93364</v>
      </c>
      <c r="F4" s="138">
        <v>0.0</v>
      </c>
      <c r="G4" s="144">
        <v>36.95</v>
      </c>
      <c r="H4" s="147" t="s">
        <v>630</v>
      </c>
    </row>
    <row r="5">
      <c r="A5" s="14" t="s">
        <v>90</v>
      </c>
      <c r="B5" s="112">
        <v>6.0</v>
      </c>
      <c r="C5" s="112">
        <v>24.912</v>
      </c>
      <c r="D5" s="112">
        <v>75.0</v>
      </c>
      <c r="E5" s="136">
        <f t="shared" si="1"/>
        <v>0.33216</v>
      </c>
      <c r="F5" s="141">
        <v>0.0</v>
      </c>
      <c r="G5" s="144">
        <v>13.38</v>
      </c>
      <c r="H5" s="148" t="s">
        <v>631</v>
      </c>
    </row>
    <row r="6">
      <c r="A6" s="14" t="s">
        <v>91</v>
      </c>
      <c r="B6" s="112">
        <v>2.0</v>
      </c>
      <c r="C6" s="112">
        <v>21.78</v>
      </c>
      <c r="D6" s="112">
        <v>70.0</v>
      </c>
      <c r="E6" s="136">
        <f t="shared" si="1"/>
        <v>0.3111428571</v>
      </c>
      <c r="F6" s="141">
        <v>2.0</v>
      </c>
      <c r="G6" s="143">
        <v>24.15</v>
      </c>
      <c r="H6" s="148" t="s">
        <v>632</v>
      </c>
    </row>
    <row r="7">
      <c r="A7" s="14" t="s">
        <v>94</v>
      </c>
      <c r="B7" s="112">
        <v>7.0</v>
      </c>
      <c r="C7" s="112">
        <v>97.908</v>
      </c>
      <c r="D7" s="112">
        <v>100.0</v>
      </c>
      <c r="E7" s="136">
        <f t="shared" si="1"/>
        <v>0.97908</v>
      </c>
      <c r="F7" s="33">
        <v>3.0</v>
      </c>
      <c r="G7" s="143">
        <v>64.7</v>
      </c>
      <c r="H7" s="148" t="s">
        <v>633</v>
      </c>
      <c r="I7" s="121"/>
    </row>
    <row r="8">
      <c r="A8" s="7" t="s">
        <v>95</v>
      </c>
      <c r="B8" s="112">
        <v>9.0</v>
      </c>
      <c r="C8" s="144">
        <v>22.6</v>
      </c>
      <c r="D8" s="112">
        <v>50.0</v>
      </c>
      <c r="E8" s="136">
        <f t="shared" si="1"/>
        <v>0.452</v>
      </c>
      <c r="F8" s="7">
        <v>1.0</v>
      </c>
      <c r="G8" s="145">
        <v>19.55</v>
      </c>
      <c r="H8" s="148" t="s">
        <v>634</v>
      </c>
    </row>
    <row r="9">
      <c r="A9" s="7" t="s">
        <v>96</v>
      </c>
      <c r="B9" s="112">
        <v>9.0</v>
      </c>
      <c r="C9" s="115">
        <v>80.776</v>
      </c>
      <c r="D9" s="112">
        <v>80.0</v>
      </c>
      <c r="E9" s="136">
        <f t="shared" si="1"/>
        <v>1.0097</v>
      </c>
      <c r="F9" s="7">
        <v>0.0</v>
      </c>
      <c r="G9" s="145">
        <v>64.6</v>
      </c>
      <c r="H9" s="142" t="s">
        <v>635</v>
      </c>
      <c r="I9" s="121"/>
    </row>
    <row r="10">
      <c r="C10" s="52">
        <f t="shared" ref="C10:D10" si="2">SUM(C2:C9)</f>
        <v>325.848</v>
      </c>
      <c r="D10" s="52">
        <f t="shared" si="2"/>
        <v>570</v>
      </c>
      <c r="E10" s="86">
        <f t="shared" si="1"/>
        <v>0.5716631579</v>
      </c>
    </row>
    <row r="13">
      <c r="B13" s="94" t="s">
        <v>193</v>
      </c>
      <c r="C13" s="116" t="s">
        <v>194</v>
      </c>
      <c r="D13" s="116" t="s">
        <v>217</v>
      </c>
    </row>
    <row r="14">
      <c r="B14" s="111">
        <v>1.0</v>
      </c>
      <c r="C14" s="118" t="s">
        <v>96</v>
      </c>
      <c r="D14" s="118">
        <v>4.53</v>
      </c>
    </row>
    <row r="15">
      <c r="B15" s="110">
        <v>2.0</v>
      </c>
      <c r="C15" s="117" t="s">
        <v>88</v>
      </c>
      <c r="D15" s="130">
        <v>4.3</v>
      </c>
      <c r="H15" s="55" t="s">
        <v>636</v>
      </c>
    </row>
    <row r="16">
      <c r="B16" s="110">
        <v>3.0</v>
      </c>
      <c r="C16" s="117" t="s">
        <v>94</v>
      </c>
      <c r="D16" s="130">
        <v>3.75</v>
      </c>
    </row>
    <row r="17">
      <c r="B17" s="111">
        <v>4.0</v>
      </c>
      <c r="C17" s="117" t="s">
        <v>90</v>
      </c>
      <c r="D17" s="118">
        <v>3.07</v>
      </c>
    </row>
    <row r="18">
      <c r="B18" s="111">
        <v>5.0</v>
      </c>
      <c r="C18" s="117" t="s">
        <v>95</v>
      </c>
      <c r="D18" s="117">
        <v>2.36</v>
      </c>
    </row>
    <row r="19">
      <c r="B19" s="111">
        <v>6.0</v>
      </c>
      <c r="C19" s="118" t="s">
        <v>85</v>
      </c>
      <c r="D19" s="118">
        <v>1.8</v>
      </c>
    </row>
    <row r="20">
      <c r="B20" s="111">
        <v>7.0</v>
      </c>
      <c r="C20" s="118" t="s">
        <v>91</v>
      </c>
      <c r="D20" s="118">
        <v>1.35</v>
      </c>
    </row>
    <row r="21">
      <c r="B21" s="111">
        <v>8.0</v>
      </c>
      <c r="C21" s="118" t="s">
        <v>108</v>
      </c>
      <c r="D21" s="118">
        <v>0.5</v>
      </c>
    </row>
    <row r="22">
      <c r="B22" s="149"/>
      <c r="C22" s="149"/>
      <c r="D22" s="149"/>
    </row>
    <row r="23">
      <c r="B23" s="149"/>
      <c r="C23" s="120" t="s">
        <v>627</v>
      </c>
      <c r="D23" s="150">
        <f>(D15+D16+D17+D18+D19)/5</f>
        <v>3.056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27662145" ref="H8"/>
    <hyperlink r:id="rId8" location="gid=1503107642" ref="H9"/>
  </hyperlinks>
  <drawing r:id="rId9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90.0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4.0</v>
      </c>
      <c r="C2" s="71">
        <v>87.599</v>
      </c>
      <c r="D2" s="127">
        <v>90.0</v>
      </c>
      <c r="E2" s="136">
        <f t="shared" ref="E2:E9" si="1">C2/D2</f>
        <v>0.9733222222</v>
      </c>
      <c r="F2" s="33">
        <v>2.0</v>
      </c>
      <c r="G2" s="79">
        <v>55.5</v>
      </c>
      <c r="H2" s="151" t="s">
        <v>637</v>
      </c>
      <c r="I2" s="152" t="s">
        <v>638</v>
      </c>
    </row>
    <row r="3">
      <c r="A3" s="14" t="s">
        <v>86</v>
      </c>
      <c r="B3" s="112">
        <v>4.0</v>
      </c>
      <c r="C3" s="112">
        <v>73.764</v>
      </c>
      <c r="D3" s="128">
        <v>75.0</v>
      </c>
      <c r="E3" s="136">
        <f t="shared" si="1"/>
        <v>0.98352</v>
      </c>
      <c r="F3" s="138">
        <v>1.0</v>
      </c>
      <c r="G3" s="143">
        <v>54.0</v>
      </c>
      <c r="H3" s="153" t="s">
        <v>639</v>
      </c>
      <c r="I3" s="152" t="s">
        <v>640</v>
      </c>
    </row>
    <row r="4">
      <c r="A4" s="14" t="s">
        <v>88</v>
      </c>
      <c r="B4" s="112">
        <v>8.0</v>
      </c>
      <c r="C4" s="112">
        <v>75.291</v>
      </c>
      <c r="D4" s="128">
        <v>100.0</v>
      </c>
      <c r="E4" s="136">
        <f t="shared" si="1"/>
        <v>0.75291</v>
      </c>
      <c r="F4" s="138">
        <v>1.0</v>
      </c>
      <c r="G4" s="144">
        <v>49.65</v>
      </c>
      <c r="H4" s="153" t="s">
        <v>641</v>
      </c>
      <c r="I4" s="152" t="s">
        <v>642</v>
      </c>
    </row>
    <row r="5">
      <c r="A5" s="14" t="s">
        <v>90</v>
      </c>
      <c r="B5" s="112">
        <v>8.0</v>
      </c>
      <c r="C5" s="112">
        <v>83.492</v>
      </c>
      <c r="D5" s="128">
        <v>60.0</v>
      </c>
      <c r="E5" s="136">
        <f t="shared" si="1"/>
        <v>1.391533333</v>
      </c>
      <c r="F5" s="141"/>
      <c r="G5" s="144">
        <v>72.8</v>
      </c>
      <c r="H5" s="154"/>
      <c r="I5" s="152" t="s">
        <v>643</v>
      </c>
    </row>
    <row r="6">
      <c r="A6" s="14" t="s">
        <v>91</v>
      </c>
      <c r="B6" s="112">
        <v>9.0</v>
      </c>
      <c r="C6" s="112">
        <v>67.18</v>
      </c>
      <c r="D6" s="128">
        <v>100.0</v>
      </c>
      <c r="E6" s="136">
        <f t="shared" si="1"/>
        <v>0.6718</v>
      </c>
      <c r="F6" s="141">
        <v>3.0</v>
      </c>
      <c r="G6" s="143">
        <v>107.17</v>
      </c>
      <c r="H6" s="154" t="s">
        <v>644</v>
      </c>
      <c r="I6" s="152" t="s">
        <v>645</v>
      </c>
    </row>
    <row r="7">
      <c r="A7" s="14" t="s">
        <v>94</v>
      </c>
      <c r="B7" s="112">
        <v>6.0</v>
      </c>
      <c r="C7" s="112">
        <v>90.348</v>
      </c>
      <c r="D7" s="128">
        <v>100.0</v>
      </c>
      <c r="E7" s="136">
        <f t="shared" si="1"/>
        <v>0.90348</v>
      </c>
      <c r="F7" s="33">
        <v>2.0</v>
      </c>
      <c r="G7" s="143">
        <v>52.08</v>
      </c>
      <c r="H7" s="154" t="s">
        <v>646</v>
      </c>
      <c r="I7" s="155" t="s">
        <v>647</v>
      </c>
    </row>
    <row r="8">
      <c r="A8" s="7" t="s">
        <v>95</v>
      </c>
      <c r="B8" s="112">
        <v>3.0</v>
      </c>
      <c r="C8" s="144">
        <v>11.03</v>
      </c>
      <c r="D8" s="128">
        <v>50.0</v>
      </c>
      <c r="E8" s="136">
        <f t="shared" si="1"/>
        <v>0.2206</v>
      </c>
      <c r="F8" s="7">
        <v>2.0</v>
      </c>
      <c r="G8" s="145">
        <v>14.15</v>
      </c>
      <c r="H8" s="154" t="s">
        <v>648</v>
      </c>
      <c r="I8" s="152" t="s">
        <v>649</v>
      </c>
    </row>
    <row r="9">
      <c r="A9" s="7" t="s">
        <v>96</v>
      </c>
      <c r="B9" s="112">
        <v>12.0</v>
      </c>
      <c r="C9" s="115">
        <v>65.278</v>
      </c>
      <c r="D9" s="128">
        <v>80.0</v>
      </c>
      <c r="E9" s="136">
        <f t="shared" si="1"/>
        <v>0.815975</v>
      </c>
      <c r="F9" s="7">
        <v>1.0</v>
      </c>
      <c r="G9" s="145">
        <v>31.75</v>
      </c>
      <c r="H9" s="154" t="s">
        <v>650</v>
      </c>
      <c r="I9" s="155" t="s">
        <v>651</v>
      </c>
    </row>
    <row r="13">
      <c r="B13" s="94" t="s">
        <v>193</v>
      </c>
      <c r="C13" s="116" t="s">
        <v>194</v>
      </c>
      <c r="D13" s="116" t="s">
        <v>217</v>
      </c>
    </row>
    <row r="14">
      <c r="B14" s="111">
        <v>1.0</v>
      </c>
      <c r="C14" s="94" t="s">
        <v>90</v>
      </c>
      <c r="D14" s="118">
        <v>5.55</v>
      </c>
      <c r="F14" s="55" t="s">
        <v>652</v>
      </c>
    </row>
    <row r="15">
      <c r="B15" s="110">
        <v>2.0</v>
      </c>
      <c r="C15" s="124" t="s">
        <v>108</v>
      </c>
      <c r="D15" s="130">
        <v>4.17</v>
      </c>
    </row>
    <row r="16">
      <c r="B16" s="110">
        <v>3.0</v>
      </c>
      <c r="C16" s="124" t="s">
        <v>94</v>
      </c>
      <c r="D16" s="130">
        <v>3.58</v>
      </c>
    </row>
    <row r="17">
      <c r="B17" s="111">
        <v>4.0</v>
      </c>
      <c r="C17" s="124" t="s">
        <v>96</v>
      </c>
      <c r="D17" s="118">
        <v>3.43</v>
      </c>
    </row>
    <row r="18">
      <c r="B18" s="111">
        <v>5.0</v>
      </c>
      <c r="C18" s="124" t="s">
        <v>85</v>
      </c>
      <c r="D18" s="117">
        <v>3.37</v>
      </c>
    </row>
    <row r="19">
      <c r="B19" s="111">
        <v>6.0</v>
      </c>
      <c r="C19" s="111" t="s">
        <v>88</v>
      </c>
      <c r="D19" s="118">
        <v>3.26</v>
      </c>
    </row>
    <row r="20">
      <c r="B20" s="111">
        <v>7.0</v>
      </c>
      <c r="C20" s="111" t="s">
        <v>91</v>
      </c>
      <c r="D20" s="118">
        <v>3.13</v>
      </c>
    </row>
    <row r="21">
      <c r="B21" s="111">
        <v>8.0</v>
      </c>
      <c r="C21" s="111" t="s">
        <v>95</v>
      </c>
      <c r="D21" s="118">
        <v>0.87</v>
      </c>
    </row>
    <row r="22">
      <c r="B22" s="149"/>
      <c r="C22" s="149"/>
      <c r="D22" s="149"/>
    </row>
    <row r="23">
      <c r="B23" s="149"/>
      <c r="C23" s="149" t="s">
        <v>627</v>
      </c>
      <c r="D23" s="156">
        <v>3.49</v>
      </c>
    </row>
  </sheetData>
  <hyperlinks>
    <hyperlink r:id="rId1" location="gid=1795121416" ref="I2"/>
    <hyperlink r:id="rId2" location="gid=639565466" ref="I3"/>
    <hyperlink r:id="rId3" location="gid=98133673" ref="I4"/>
    <hyperlink r:id="rId4" location="gid=1272994502" ref="I5"/>
    <hyperlink r:id="rId5" location="gid=416664440" ref="I6"/>
    <hyperlink r:id="rId6" location="gid=1355829565" ref="I7"/>
    <hyperlink r:id="rId7" location="gid=427662145" ref="I8"/>
    <hyperlink r:id="rId8" location="gid=1503107642" ref="I9"/>
  </hyperlinks>
  <drawing r:id="rId9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1.25"/>
    <col customWidth="1" min="6" max="6" width="7.38"/>
    <col customWidth="1" min="7" max="7" width="10.5"/>
    <col customWidth="1" min="8" max="8" width="34.63"/>
    <col customWidth="1" min="9" max="9" width="91.0"/>
    <col customWidth="1" min="10" max="10" width="16.63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5.0</v>
      </c>
      <c r="C2" s="71">
        <v>45.055</v>
      </c>
      <c r="D2" s="71">
        <v>120.0</v>
      </c>
      <c r="E2" s="136">
        <f t="shared" ref="E2:E9" si="1">C2/D2</f>
        <v>0.3754583333</v>
      </c>
      <c r="F2" s="33">
        <v>2.0</v>
      </c>
      <c r="G2" s="79">
        <v>63.5</v>
      </c>
      <c r="H2" s="151" t="s">
        <v>653</v>
      </c>
      <c r="I2" s="152" t="s">
        <v>654</v>
      </c>
    </row>
    <row r="3">
      <c r="A3" s="14" t="s">
        <v>86</v>
      </c>
      <c r="B3" s="112">
        <v>3.0</v>
      </c>
      <c r="C3" s="112">
        <v>42.119</v>
      </c>
      <c r="D3" s="112">
        <v>60.0</v>
      </c>
      <c r="E3" s="136">
        <f t="shared" si="1"/>
        <v>0.7019833333</v>
      </c>
      <c r="F3" s="138">
        <v>2.0</v>
      </c>
      <c r="G3" s="143">
        <v>30.75</v>
      </c>
      <c r="H3" s="153" t="s">
        <v>655</v>
      </c>
      <c r="I3" s="155" t="s">
        <v>656</v>
      </c>
      <c r="K3" s="56"/>
      <c r="L3" s="157"/>
      <c r="M3" s="157"/>
    </row>
    <row r="4">
      <c r="A4" s="14" t="s">
        <v>88</v>
      </c>
      <c r="B4" s="112">
        <v>11.0</v>
      </c>
      <c r="C4" s="112">
        <v>83.757</v>
      </c>
      <c r="D4" s="112">
        <v>110.0</v>
      </c>
      <c r="E4" s="136">
        <f t="shared" si="1"/>
        <v>0.7614272727</v>
      </c>
      <c r="F4" s="138">
        <v>1.0</v>
      </c>
      <c r="G4" s="144">
        <v>58.77</v>
      </c>
      <c r="H4" s="153" t="s">
        <v>657</v>
      </c>
      <c r="I4" s="155" t="s">
        <v>658</v>
      </c>
      <c r="K4" s="158"/>
      <c r="L4" s="159"/>
      <c r="M4" s="159"/>
    </row>
    <row r="5">
      <c r="A5" s="14" t="s">
        <v>90</v>
      </c>
      <c r="B5" s="112">
        <v>5.0</v>
      </c>
      <c r="C5" s="112">
        <v>16.38</v>
      </c>
      <c r="D5" s="112">
        <v>37.5</v>
      </c>
      <c r="E5" s="136">
        <f t="shared" si="1"/>
        <v>0.4368</v>
      </c>
      <c r="F5" s="141">
        <v>0.0</v>
      </c>
      <c r="G5" s="144">
        <v>30.0</v>
      </c>
      <c r="H5" s="154"/>
      <c r="I5" s="152" t="s">
        <v>659</v>
      </c>
      <c r="K5" s="158"/>
      <c r="L5" s="159"/>
      <c r="M5" s="159"/>
    </row>
    <row r="6">
      <c r="A6" s="14" t="s">
        <v>91</v>
      </c>
      <c r="B6" s="112">
        <v>12.0</v>
      </c>
      <c r="C6" s="112">
        <v>65.888</v>
      </c>
      <c r="D6" s="112">
        <v>120.0</v>
      </c>
      <c r="E6" s="136">
        <f t="shared" si="1"/>
        <v>0.5490666667</v>
      </c>
      <c r="F6" s="141">
        <v>5.0</v>
      </c>
      <c r="G6" s="143">
        <v>33.68</v>
      </c>
      <c r="H6" s="154" t="s">
        <v>660</v>
      </c>
      <c r="I6" s="152" t="s">
        <v>661</v>
      </c>
      <c r="K6" s="158"/>
      <c r="L6" s="159"/>
      <c r="M6" s="159"/>
    </row>
    <row r="7">
      <c r="A7" s="14" t="s">
        <v>94</v>
      </c>
      <c r="B7" s="112">
        <v>4.0</v>
      </c>
      <c r="C7" s="112">
        <v>78.695</v>
      </c>
      <c r="D7" s="112">
        <v>110.0</v>
      </c>
      <c r="E7" s="136">
        <f t="shared" si="1"/>
        <v>0.7154090909</v>
      </c>
      <c r="F7" s="33">
        <v>8.0</v>
      </c>
      <c r="G7" s="143">
        <v>69.17</v>
      </c>
      <c r="H7" s="154" t="s">
        <v>662</v>
      </c>
      <c r="I7" s="152" t="s">
        <v>663</v>
      </c>
      <c r="K7" s="158"/>
      <c r="L7" s="159"/>
      <c r="M7" s="159"/>
    </row>
    <row r="8">
      <c r="A8" s="7" t="s">
        <v>95</v>
      </c>
      <c r="B8" s="112">
        <v>5.0</v>
      </c>
      <c r="C8" s="144">
        <v>10.1</v>
      </c>
      <c r="D8" s="112">
        <v>60.0</v>
      </c>
      <c r="E8" s="136">
        <f t="shared" si="1"/>
        <v>0.1683333333</v>
      </c>
      <c r="F8" s="7">
        <v>1.0</v>
      </c>
      <c r="G8" s="145">
        <v>20.92</v>
      </c>
      <c r="H8" s="154" t="s">
        <v>664</v>
      </c>
      <c r="I8" s="152" t="s">
        <v>665</v>
      </c>
      <c r="K8" s="158"/>
      <c r="L8" s="159"/>
      <c r="M8" s="159"/>
    </row>
    <row r="9">
      <c r="A9" s="7" t="s">
        <v>96</v>
      </c>
      <c r="B9" s="112">
        <v>13.0</v>
      </c>
      <c r="C9" s="115">
        <v>61.51</v>
      </c>
      <c r="D9" s="112">
        <v>40.0</v>
      </c>
      <c r="E9" s="136">
        <f t="shared" si="1"/>
        <v>1.53775</v>
      </c>
      <c r="F9" s="7">
        <v>1.0</v>
      </c>
      <c r="G9" s="145">
        <v>23.82</v>
      </c>
      <c r="H9" s="154" t="s">
        <v>666</v>
      </c>
      <c r="I9" s="155" t="s">
        <v>667</v>
      </c>
      <c r="K9" s="158"/>
      <c r="L9" s="159"/>
      <c r="M9" s="159"/>
    </row>
    <row r="10">
      <c r="K10" s="55"/>
      <c r="L10" s="159"/>
      <c r="M10" s="160"/>
    </row>
    <row r="11">
      <c r="K11" s="55"/>
      <c r="L11" s="159"/>
      <c r="M11" s="160"/>
    </row>
    <row r="13">
      <c r="C13" s="94" t="s">
        <v>193</v>
      </c>
      <c r="D13" s="116" t="s">
        <v>194</v>
      </c>
      <c r="E13" s="116" t="s">
        <v>217</v>
      </c>
    </row>
    <row r="14">
      <c r="C14" s="111">
        <v>1.0</v>
      </c>
      <c r="D14" s="118" t="s">
        <v>96</v>
      </c>
      <c r="E14" s="118">
        <v>3.98</v>
      </c>
    </row>
    <row r="15">
      <c r="C15" s="110">
        <v>2.0</v>
      </c>
      <c r="D15" s="117" t="s">
        <v>90</v>
      </c>
      <c r="E15" s="130">
        <v>3.57</v>
      </c>
    </row>
    <row r="16">
      <c r="C16" s="110">
        <v>3.0</v>
      </c>
      <c r="D16" s="117" t="s">
        <v>108</v>
      </c>
      <c r="E16" s="130">
        <v>3.06</v>
      </c>
    </row>
    <row r="17">
      <c r="C17" s="111">
        <v>4.0</v>
      </c>
      <c r="D17" s="117" t="s">
        <v>88</v>
      </c>
      <c r="E17" s="118">
        <v>2.89</v>
      </c>
    </row>
    <row r="18">
      <c r="C18" s="111">
        <v>5.0</v>
      </c>
      <c r="D18" s="117" t="s">
        <v>91</v>
      </c>
      <c r="E18" s="117">
        <v>2.33</v>
      </c>
    </row>
    <row r="19">
      <c r="C19" s="111">
        <v>6.0</v>
      </c>
      <c r="D19" s="118" t="s">
        <v>94</v>
      </c>
      <c r="E19" s="118">
        <v>2.16</v>
      </c>
    </row>
    <row r="20">
      <c r="C20" s="111">
        <v>7.0</v>
      </c>
      <c r="D20" s="118" t="s">
        <v>85</v>
      </c>
      <c r="E20" s="118">
        <v>1.97</v>
      </c>
    </row>
    <row r="21">
      <c r="C21" s="111">
        <v>8.0</v>
      </c>
      <c r="D21" s="118" t="s">
        <v>95</v>
      </c>
      <c r="E21" s="118">
        <v>1.27</v>
      </c>
    </row>
  </sheetData>
  <hyperlinks>
    <hyperlink r:id="rId1" location="gid=1795121416" ref="I2"/>
    <hyperlink r:id="rId2" location="gid=639565466" ref="I3"/>
    <hyperlink r:id="rId3" location="gid=98133673" ref="I4"/>
    <hyperlink r:id="rId4" location="gid=1272994502" ref="I5"/>
    <hyperlink r:id="rId5" location="gid=416664440" ref="I6"/>
    <hyperlink r:id="rId6" location="gid=1355829565" ref="I7"/>
    <hyperlink r:id="rId7" location="gid=427662145" ref="I8"/>
    <hyperlink r:id="rId8" location="gid=1503107642" ref="I9"/>
  </hyperlinks>
  <drawing r:id="rId9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13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</row>
    <row r="2">
      <c r="A2" s="14" t="s">
        <v>85</v>
      </c>
      <c r="B2" s="71">
        <f>'31 Temmuz-13 Ağustos'!B2+ '17 Temmuz-30 Temmuz 2023'!B2+'26 Haziran-16Temmuz 2023'!B2+'12-25 Haziran 2023'!B2+'29 mayıs-11 Haziran 2023'!B2+'15 mayıs-28 mayıs 2023'!B2+'2 mayıs-14 mayıs 2023'!B2+'17 nisan-1 mayıs 2023'!B2+'3-16 nisan 2023'!B2+'20 Mart-2 nisan 2023'!B2+'6 mart-19 mart 2023'!B2+'20 şubat-5 mart 2023'!B2+'23 ocak-17 şubat'!B2+'26 aralık-20 ocak'!B2+'14-27 Ağustos'!B2</f>
        <v>138</v>
      </c>
      <c r="C2" s="71">
        <f>'31 Temmuz-13 Ağustos'!C2+ '17 Temmuz-30 Temmuz 2023'!C2+'26 Haziran-16Temmuz 2023'!C2+'12-25 Haziran 2023'!C2+'29 mayıs-11 Haziran 2023'!C2+'15 mayıs-28 mayıs 2023'!C2+'2 mayıs-14 mayıs 2023'!C2+'17 nisan-1 mayıs 2023'!C2+'3-16 nisan 2023'!C2+'20 Mart-2 nisan 2023'!C2+'6 mart-19 mart 2023'!C2+'20 şubat-5 mart 2023'!C2+'23 ocak-17 şubat'!C2+'26 aralık-20 ocak'!C2+'14-27 Ağustos'!C2</f>
        <v>488.287</v>
      </c>
      <c r="D2" s="71">
        <f>'31 Temmuz-13 Ağustos'!D2+ '17 Temmuz-30 Temmuz 2023'!D2+'26 Haziran-16Temmuz 2023'!D2+'12-25 Haziran 2023'!D2+'29 mayıs-11 Haziran 2023'!D2+'15 mayıs-28 mayıs 2023'!D2+'2 mayıs-14 mayıs 2023'!D2+'17 nisan-1 mayıs 2023'!D2+'3-16 nisan 2023'!D2+'20 Mart-2 nisan 2023'!D2+'6 mart-19 mart 2023'!D2+'20 şubat-5 mart 2023'!D2+'23 ocak-17 şubat'!D2+'26 aralık-20 ocak'!D2+'14-27 Ağustos'!D2</f>
        <v>774</v>
      </c>
      <c r="E2" s="71">
        <f t="shared" ref="E2:E8" si="1">C2/D2</f>
        <v>0.6308617571</v>
      </c>
      <c r="F2" s="71">
        <f>'31 Temmuz-13 Ağustos'!F2+ '17 Temmuz-30 Temmuz 2023'!F2+'26 Haziran-16Temmuz 2023'!F2+'12-25 Haziran 2023'!F2+'29 mayıs-11 Haziran 2023'!F2+'15 mayıs-28 mayıs 2023'!F2+'2 mayıs-14 mayıs 2023'!F2+'17 nisan-1 mayıs 2023'!F2+'3-16 nisan 2023'!F2+'20 Mart-2 nisan 2023'!F2+'6 mart-19 mart 2023'!F2+'20 şubat-5 mart 2023'!F2+'23 ocak-17 şubat'!F2+'26 aralık-20 ocak'!F2+'14-27 Ağustos'!F2</f>
        <v>30</v>
      </c>
      <c r="G2" s="71">
        <f>'31 Temmuz-13 Ağustos'!G2+ '17 Temmuz-30 Temmuz 2023'!G2+'26 Haziran-16Temmuz 2023'!G2+'12-25 Haziran 2023'!G2+'29 mayıs-11 Haziran 2023'!G2+'15 mayıs-28 mayıs 2023'!G2+'2 mayıs-14 mayıs 2023'!G2+'17 nisan-1 mayıs 2023'!G2+'3-16 nisan 2023'!G2+'20 Mart-2 nisan 2023'!G2+'6 mart-19 mart 2023'!G2+'20 şubat-5 mart 2023'!G2+'23 ocak-17 şubat'!G2+'26 aralık-20 ocak'!G2</f>
        <v>553.68</v>
      </c>
      <c r="H2" s="86">
        <f t="shared" ref="H2:H9" si="2">F2/B2</f>
        <v>0.2173913043</v>
      </c>
      <c r="J2" s="55" t="s">
        <v>668</v>
      </c>
      <c r="K2" s="55" t="s">
        <v>374</v>
      </c>
    </row>
    <row r="3">
      <c r="A3" s="14" t="s">
        <v>86</v>
      </c>
      <c r="B3" s="71">
        <f>'31 Temmuz-13 Ağustos'!B3+ '17 Temmuz-30 Temmuz 2023'!B3+'26 Haziran-16Temmuz 2023'!B3+'12-25 Haziran 2023'!B3+'29 mayıs-11 Haziran 2023'!B3+'15 mayıs-28 mayıs 2023'!B3+'2 mayıs-14 mayıs 2023'!B3+'17 nisan-1 mayıs 2023'!B3+'3-16 nisan 2023'!B3+'20 Mart-2 nisan 2023'!B3+'6 mart-19 mart 2023'!B3+'20 şubat-5 mart 2023'!B3+'23 ocak-17 şubat'!B3+'26 aralık-20 ocak'!B3+'14-27 Ağustos'!B3</f>
        <v>138</v>
      </c>
      <c r="C3" s="71">
        <f>'31 Temmuz-13 Ağustos'!C3+ '17 Temmuz-30 Temmuz 2023'!C3+'26 Haziran-16Temmuz 2023'!C3+'12-25 Haziran 2023'!C3+'29 mayıs-11 Haziran 2023'!C3+'15 mayıs-28 mayıs 2023'!C3+'2 mayıs-14 mayıs 2023'!C3+'17 nisan-1 mayıs 2023'!C3+'3-16 nisan 2023'!C3+'20 Mart-2 nisan 2023'!C3+'6 mart-19 mart 2023'!C3+'20 şubat-5 mart 2023'!C3+'23 ocak-17 şubat'!C3+'26 aralık-20 ocak'!C3+'14-27 Ağustos'!C3</f>
        <v>397.996</v>
      </c>
      <c r="D3" s="71">
        <f>'31 Temmuz-13 Ağustos'!D3+ '17 Temmuz-30 Temmuz 2023'!D3+'26 Haziran-16Temmuz 2023'!D3+'12-25 Haziran 2023'!D3+'29 mayıs-11 Haziran 2023'!D3+'15 mayıs-28 mayıs 2023'!D3+'2 mayıs-14 mayıs 2023'!D3+'17 nisan-1 mayıs 2023'!D3+'3-16 nisan 2023'!D3+'20 Mart-2 nisan 2023'!D3+'6 mart-19 mart 2023'!D3+'20 şubat-5 mart 2023'!D3+'23 ocak-17 şubat'!D3+'26 aralık-20 ocak'!D3+'14-27 Ağustos'!D3</f>
        <v>531.5</v>
      </c>
      <c r="E3" s="71">
        <f t="shared" si="1"/>
        <v>0.7488165569</v>
      </c>
      <c r="F3" s="71">
        <f>'31 Temmuz-13 Ağustos'!F3+ '17 Temmuz-30 Temmuz 2023'!F3+'26 Haziran-16Temmuz 2023'!F3+'12-25 Haziran 2023'!F3+'29 mayıs-11 Haziran 2023'!F3+'15 mayıs-28 mayıs 2023'!F3+'2 mayıs-14 mayıs 2023'!F3+'17 nisan-1 mayıs 2023'!F3+'3-16 nisan 2023'!F3+'20 Mart-2 nisan 2023'!F3+'6 mart-19 mart 2023'!F3+'20 şubat-5 mart 2023'!F3+'23 ocak-17 şubat'!F3+'26 aralık-20 ocak'!F3+'14-27 Ağustos'!F3</f>
        <v>8</v>
      </c>
      <c r="G3" s="71">
        <f>'31 Temmuz-13 Ağustos'!G3+ '17 Temmuz-30 Temmuz 2023'!G3+'26 Haziran-16Temmuz 2023'!G3+'12-25 Haziran 2023'!G3+'29 mayıs-11 Haziran 2023'!G3+'15 mayıs-28 mayıs 2023'!G3+'2 mayıs-14 mayıs 2023'!G3+'17 nisan-1 mayıs 2023'!G3+'3-16 nisan 2023'!G3+'20 Mart-2 nisan 2023'!G3+'6 mart-19 mart 2023'!G3+'20 şubat-5 mart 2023'!G3+'23 ocak-17 şubat'!G3+'26 aralık-20 ocak'!G3</f>
        <v>501.4</v>
      </c>
      <c r="H3" s="86">
        <f t="shared" si="2"/>
        <v>0.05797101449</v>
      </c>
      <c r="I3" s="55">
        <v>1.0</v>
      </c>
      <c r="J3" s="55" t="s">
        <v>669</v>
      </c>
      <c r="K3" s="55" t="s">
        <v>95</v>
      </c>
      <c r="L3" s="55" t="s">
        <v>670</v>
      </c>
    </row>
    <row r="4">
      <c r="A4" s="14" t="s">
        <v>88</v>
      </c>
      <c r="B4" s="71">
        <f>'31 Temmuz-13 Ağustos'!B4+ '17 Temmuz-30 Temmuz 2023'!B4+'26 Haziran-16Temmuz 2023'!B4+'12-25 Haziran 2023'!B4+'29 mayıs-11 Haziran 2023'!B4+'15 mayıs-28 mayıs 2023'!B4+'2 mayıs-14 mayıs 2023'!B4+'17 nisan-1 mayıs 2023'!B4+'3-16 nisan 2023'!B4+'20 Mart-2 nisan 2023'!B4+'6 mart-19 mart 2023'!B4+'20 şubat-5 mart 2023'!B4+'23 ocak-17 şubat'!B4+'26 aralık-20 ocak'!B4+'14-27 Ağustos'!B4</f>
        <v>195</v>
      </c>
      <c r="C4" s="71">
        <f>'31 Temmuz-13 Ağustos'!C4+ '17 Temmuz-30 Temmuz 2023'!C4+'26 Haziran-16Temmuz 2023'!C4+'12-25 Haziran 2023'!C4+'29 mayıs-11 Haziran 2023'!C4+'15 mayıs-28 mayıs 2023'!C4+'2 mayıs-14 mayıs 2023'!C4+'17 nisan-1 mayıs 2023'!C4+'3-16 nisan 2023'!C4+'20 Mart-2 nisan 2023'!C4+'6 mart-19 mart 2023'!C4+'20 şubat-5 mart 2023'!C4+'23 ocak-17 şubat'!C4+'26 aralık-20 ocak'!C4+'14-27 Ağustos'!C4</f>
        <v>574.63</v>
      </c>
      <c r="D4" s="71">
        <f>'31 Temmuz-13 Ağustos'!D4+ '17 Temmuz-30 Temmuz 2023'!D4+'26 Haziran-16Temmuz 2023'!D4+'12-25 Haziran 2023'!D4+'29 mayıs-11 Haziran 2023'!D4+'15 mayıs-28 mayıs 2023'!D4+'2 mayıs-14 mayıs 2023'!D4+'17 nisan-1 mayıs 2023'!D4+'3-16 nisan 2023'!D4+'20 Mart-2 nisan 2023'!D4+'6 mart-19 mart 2023'!D4+'20 şubat-5 mart 2023'!D4+'23 ocak-17 şubat'!D4+'26 aralık-20 ocak'!D4+'14-27 Ağustos'!D4</f>
        <v>770</v>
      </c>
      <c r="E4" s="71">
        <f t="shared" si="1"/>
        <v>0.7462727273</v>
      </c>
      <c r="F4" s="71">
        <f>'31 Temmuz-13 Ağustos'!F4+ '17 Temmuz-30 Temmuz 2023'!F4+'26 Haziran-16Temmuz 2023'!F4+'12-25 Haziran 2023'!F4+'29 mayıs-11 Haziran 2023'!F4+'15 mayıs-28 mayıs 2023'!F4+'2 mayıs-14 mayıs 2023'!F4+'17 nisan-1 mayıs 2023'!F4+'3-16 nisan 2023'!F4+'20 Mart-2 nisan 2023'!F4+'6 mart-19 mart 2023'!F4+'20 şubat-5 mart 2023'!F4+'23 ocak-17 şubat'!F4+'26 aralık-20 ocak'!F4+'14-27 Ağustos'!F4</f>
        <v>17</v>
      </c>
      <c r="G4" s="71">
        <f>'31 Temmuz-13 Ağustos'!G4+ '17 Temmuz-30 Temmuz 2023'!G4+'26 Haziran-16Temmuz 2023'!G4+'12-25 Haziran 2023'!G4+'29 mayıs-11 Haziran 2023'!G4+'15 mayıs-28 mayıs 2023'!G4+'2 mayıs-14 mayıs 2023'!G4+'17 nisan-1 mayıs 2023'!G4+'3-16 nisan 2023'!G4+'20 Mart-2 nisan 2023'!G4+'6 mart-19 mart 2023'!G4+'20 şubat-5 mart 2023'!G4+'23 ocak-17 şubat'!G4+'26 aralık-20 ocak'!G4</f>
        <v>782.35</v>
      </c>
      <c r="H4" s="86">
        <f t="shared" si="2"/>
        <v>0.08717948718</v>
      </c>
      <c r="I4" s="55">
        <v>2.0</v>
      </c>
      <c r="J4" s="55" t="s">
        <v>671</v>
      </c>
      <c r="K4" s="55" t="s">
        <v>672</v>
      </c>
      <c r="L4" s="55" t="s">
        <v>673</v>
      </c>
    </row>
    <row r="5">
      <c r="A5" s="14" t="s">
        <v>90</v>
      </c>
      <c r="B5" s="71">
        <f>'31 Temmuz-13 Ağustos'!B5+ '17 Temmuz-30 Temmuz 2023'!B5+'26 Haziran-16Temmuz 2023'!B5+'12-25 Haziran 2023'!B5+'29 mayıs-11 Haziran 2023'!B5+'15 mayıs-28 mayıs 2023'!B5+'2 mayıs-14 mayıs 2023'!B5+'17 nisan-1 mayıs 2023'!B5+'3-16 nisan 2023'!B5+'20 Mart-2 nisan 2023'!B5+'6 mart-19 mart 2023'!B5+'20 şubat-5 mart 2023'!B5+'23 ocak-17 şubat'!B5+'26 aralık-20 ocak'!B5+'14-27 Ağustos'!B5</f>
        <v>126</v>
      </c>
      <c r="C5" s="71">
        <f>'31 Temmuz-13 Ağustos'!C5+ '17 Temmuz-30 Temmuz 2023'!C5+'26 Haziran-16Temmuz 2023'!C5+'12-25 Haziran 2023'!C5+'29 mayıs-11 Haziran 2023'!C5+'15 mayıs-28 mayıs 2023'!C5+'2 mayıs-14 mayıs 2023'!C5+'17 nisan-1 mayıs 2023'!C5+'3-16 nisan 2023'!C5+'20 Mart-2 nisan 2023'!C5+'6 mart-19 mart 2023'!C5+'20 şubat-5 mart 2023'!C5+'23 ocak-17 şubat'!C5+'26 aralık-20 ocak'!C5+'14-27 Ağustos'!C5</f>
        <v>516.301</v>
      </c>
      <c r="D5" s="71">
        <f>'31 Temmuz-13 Ağustos'!D5+ '17 Temmuz-30 Temmuz 2023'!D5+'26 Haziran-16Temmuz 2023'!D5+'12-25 Haziran 2023'!D5+'29 mayıs-11 Haziran 2023'!D5+'15 mayıs-28 mayıs 2023'!D5+'2 mayıs-14 mayıs 2023'!D5+'17 nisan-1 mayıs 2023'!D5+'3-16 nisan 2023'!D5+'20 Mart-2 nisan 2023'!D5+'6 mart-19 mart 2023'!D5+'20 şubat-5 mart 2023'!D5+'23 ocak-17 şubat'!D5+'26 aralık-20 ocak'!D5+'14-27 Ağustos'!D5</f>
        <v>582.9</v>
      </c>
      <c r="E5" s="71">
        <f t="shared" si="1"/>
        <v>0.8857454109</v>
      </c>
      <c r="F5" s="71">
        <f>'31 Temmuz-13 Ağustos'!F5+ '17 Temmuz-30 Temmuz 2023'!F5+'26 Haziran-16Temmuz 2023'!F5+'12-25 Haziran 2023'!F5+'29 mayıs-11 Haziran 2023'!F5+'15 mayıs-28 mayıs 2023'!F5+'2 mayıs-14 mayıs 2023'!F5+'17 nisan-1 mayıs 2023'!F5+'3-16 nisan 2023'!F5+'20 Mart-2 nisan 2023'!F5+'6 mart-19 mart 2023'!F5+'20 şubat-5 mart 2023'!F5+'23 ocak-17 şubat'!F5+'26 aralık-20 ocak'!F5+'14-27 Ağustos'!F5</f>
        <v>6</v>
      </c>
      <c r="G5" s="71">
        <f>'31 Temmuz-13 Ağustos'!G5+ '17 Temmuz-30 Temmuz 2023'!G5+'26 Haziran-16Temmuz 2023'!G5+'12-25 Haziran 2023'!G5+'29 mayıs-11 Haziran 2023'!G5+'15 mayıs-28 mayıs 2023'!G5+'2 mayıs-14 mayıs 2023'!G5+'17 nisan-1 mayıs 2023'!G5+'3-16 nisan 2023'!G5+'20 Mart-2 nisan 2023'!G5+'6 mart-19 mart 2023'!G5+'20 şubat-5 mart 2023'!G5+'23 ocak-17 şubat'!G5+'26 aralık-20 ocak'!G5</f>
        <v>758.72</v>
      </c>
      <c r="H5" s="86">
        <f t="shared" si="2"/>
        <v>0.04761904762</v>
      </c>
      <c r="I5" s="55">
        <v>3.0</v>
      </c>
      <c r="J5" s="55" t="s">
        <v>674</v>
      </c>
      <c r="K5" s="55" t="s">
        <v>131</v>
      </c>
      <c r="L5" s="55" t="s">
        <v>675</v>
      </c>
    </row>
    <row r="6">
      <c r="A6" s="14" t="s">
        <v>91</v>
      </c>
      <c r="B6" s="71">
        <f>'31 Temmuz-13 Ağustos'!B6+ '17 Temmuz-30 Temmuz 2023'!B6+'26 Haziran-16Temmuz 2023'!B6+'12-25 Haziran 2023'!B6+'29 mayıs-11 Haziran 2023'!B6+'15 mayıs-28 mayıs 2023'!B6+'2 mayıs-14 mayıs 2023'!B6+'17 nisan-1 mayıs 2023'!B6+'3-16 nisan 2023'!B6+'20 Mart-2 nisan 2023'!B6+'6 mart-19 mart 2023'!B6+'20 şubat-5 mart 2023'!B6+'23 ocak-17 şubat'!B6+'26 aralık-20 ocak'!B6+'14-27 Ağustos'!B6</f>
        <v>168</v>
      </c>
      <c r="C6" s="71">
        <f>'31 Temmuz-13 Ağustos'!C6+ '17 Temmuz-30 Temmuz 2023'!C6+'26 Haziran-16Temmuz 2023'!C6+'12-25 Haziran 2023'!C6+'29 mayıs-11 Haziran 2023'!C6+'15 mayıs-28 mayıs 2023'!C6+'2 mayıs-14 mayıs 2023'!C6+'17 nisan-1 mayıs 2023'!C6+'3-16 nisan 2023'!C6+'20 Mart-2 nisan 2023'!C6+'6 mart-19 mart 2023'!C6+'20 şubat-5 mart 2023'!C6+'23 ocak-17 şubat'!C6+'26 aralık-20 ocak'!C6+'14-27 Ağustos'!C6</f>
        <v>400.767</v>
      </c>
      <c r="D6" s="71">
        <f>'31 Temmuz-13 Ağustos'!D6+ '17 Temmuz-30 Temmuz 2023'!D6+'26 Haziran-16Temmuz 2023'!D6+'12-25 Haziran 2023'!D6+'29 mayıs-11 Haziran 2023'!D6+'15 mayıs-28 mayıs 2023'!D6+'2 mayıs-14 mayıs 2023'!D6+'17 nisan-1 mayıs 2023'!D6+'3-16 nisan 2023'!D6+'20 Mart-2 nisan 2023'!D6+'6 mart-19 mart 2023'!D6+'20 şubat-5 mart 2023'!D6+'23 ocak-17 şubat'!D6+'26 aralık-20 ocak'!D6+'14-27 Ağustos'!D6</f>
        <v>609.6</v>
      </c>
      <c r="E6" s="71">
        <f t="shared" si="1"/>
        <v>0.6574261811</v>
      </c>
      <c r="F6" s="71">
        <f>'31 Temmuz-13 Ağustos'!F6+ '17 Temmuz-30 Temmuz 2023'!F6+'26 Haziran-16Temmuz 2023'!F6+'12-25 Haziran 2023'!F6+'29 mayıs-11 Haziran 2023'!F6+'15 mayıs-28 mayıs 2023'!F6+'2 mayıs-14 mayıs 2023'!F6+'17 nisan-1 mayıs 2023'!F6+'3-16 nisan 2023'!F6+'20 Mart-2 nisan 2023'!F6+'6 mart-19 mart 2023'!F6+'20 şubat-5 mart 2023'!F6+'23 ocak-17 şubat'!F6+'26 aralık-20 ocak'!F6+'14-27 Ağustos'!F6</f>
        <v>30</v>
      </c>
      <c r="G6" s="71">
        <f>'31 Temmuz-13 Ağustos'!G6+ '17 Temmuz-30 Temmuz 2023'!G6+'26 Haziran-16Temmuz 2023'!G6+'12-25 Haziran 2023'!G6+'29 mayıs-11 Haziran 2023'!G6+'15 mayıs-28 mayıs 2023'!G6+'2 mayıs-14 mayıs 2023'!G6+'17 nisan-1 mayıs 2023'!G6+'3-16 nisan 2023'!G6+'20 Mart-2 nisan 2023'!G6+'6 mart-19 mart 2023'!G6+'20 şubat-5 mart 2023'!G6+'23 ocak-17 şubat'!G6+'26 aralık-20 ocak'!G6</f>
        <v>708.01</v>
      </c>
      <c r="H6" s="86">
        <f t="shared" si="2"/>
        <v>0.1785714286</v>
      </c>
      <c r="I6" s="55">
        <v>4.0</v>
      </c>
      <c r="J6" s="55" t="s">
        <v>676</v>
      </c>
      <c r="K6" s="55" t="s">
        <v>130</v>
      </c>
      <c r="L6" s="55" t="s">
        <v>677</v>
      </c>
    </row>
    <row r="7">
      <c r="A7" s="14" t="s">
        <v>94</v>
      </c>
      <c r="B7" s="71">
        <f>'31 Temmuz-13 Ağustos'!B7+ '17 Temmuz-30 Temmuz 2023'!B7+'26 Haziran-16Temmuz 2023'!B7+'12-25 Haziran 2023'!B7+'29 mayıs-11 Haziran 2023'!B7+'15 mayıs-28 mayıs 2023'!B7+'2 mayıs-14 mayıs 2023'!B7+'17 nisan-1 mayıs 2023'!B7+'3-16 nisan 2023'!B7+'20 Mart-2 nisan 2023'!B7+'6 mart-19 mart 2023'!B7+'20 şubat-5 mart 2023'!B7+'23 ocak-17 şubat'!B7+'26 aralık-20 ocak'!B7+'14-27 Ağustos'!B7</f>
        <v>107</v>
      </c>
      <c r="C7" s="71">
        <f>'31 Temmuz-13 Ağustos'!C7+ '17 Temmuz-30 Temmuz 2023'!C7+'26 Haziran-16Temmuz 2023'!C7+'12-25 Haziran 2023'!C7+'29 mayıs-11 Haziran 2023'!C7+'15 mayıs-28 mayıs 2023'!C7+'2 mayıs-14 mayıs 2023'!C7+'17 nisan-1 mayıs 2023'!C7+'3-16 nisan 2023'!C7+'20 Mart-2 nisan 2023'!C7+'6 mart-19 mart 2023'!C7+'20 şubat-5 mart 2023'!C7+'23 ocak-17 şubat'!C7+'26 aralık-20 ocak'!C7+'14-27 Ağustos'!C7</f>
        <v>596.097</v>
      </c>
      <c r="D7" s="71">
        <f>'31 Temmuz-13 Ağustos'!D7+ '17 Temmuz-30 Temmuz 2023'!D7+'26 Haziran-16Temmuz 2023'!D7+'12-25 Haziran 2023'!D7+'29 mayıs-11 Haziran 2023'!D7+'15 mayıs-28 mayıs 2023'!D7+'2 mayıs-14 mayıs 2023'!D7+'17 nisan-1 mayıs 2023'!D7+'3-16 nisan 2023'!D7+'20 Mart-2 nisan 2023'!D7+'6 mart-19 mart 2023'!D7+'20 şubat-5 mart 2023'!D7+'23 ocak-17 şubat'!D7+'26 aralık-20 ocak'!D7+'14-27 Ağustos'!D7</f>
        <v>605.2</v>
      </c>
      <c r="E7" s="71">
        <f t="shared" si="1"/>
        <v>0.9849586913</v>
      </c>
      <c r="F7" s="71">
        <f>'31 Temmuz-13 Ağustos'!F7+ '17 Temmuz-30 Temmuz 2023'!F7+'26 Haziran-16Temmuz 2023'!F7+'12-25 Haziran 2023'!F7+'29 mayıs-11 Haziran 2023'!F7+'15 mayıs-28 mayıs 2023'!F7+'2 mayıs-14 mayıs 2023'!F7+'17 nisan-1 mayıs 2023'!F7+'3-16 nisan 2023'!F7+'20 Mart-2 nisan 2023'!F7+'6 mart-19 mart 2023'!F7+'20 şubat-5 mart 2023'!F7+'23 ocak-17 şubat'!F7+'26 aralık-20 ocak'!F7+'14-27 Ağustos'!F7</f>
        <v>21</v>
      </c>
      <c r="G7" s="71">
        <f>'31 Temmuz-13 Ağustos'!G7+ '17 Temmuz-30 Temmuz 2023'!G7+'26 Haziran-16Temmuz 2023'!G7+'12-25 Haziran 2023'!G7+'29 mayıs-11 Haziran 2023'!G7+'15 mayıs-28 mayıs 2023'!G7+'2 mayıs-14 mayıs 2023'!G7+'17 nisan-1 mayıs 2023'!G7+'3-16 nisan 2023'!G7+'20 Mart-2 nisan 2023'!G7+'6 mart-19 mart 2023'!G7+'20 şubat-5 mart 2023'!G7+'23 ocak-17 şubat'!G7+'26 aralık-20 ocak'!G7</f>
        <v>614.54</v>
      </c>
      <c r="H7" s="86">
        <f t="shared" si="2"/>
        <v>0.1962616822</v>
      </c>
    </row>
    <row r="8">
      <c r="A8" s="7" t="s">
        <v>95</v>
      </c>
      <c r="B8" s="71">
        <f>'31 Temmuz-13 Ağustos'!B8+ '17 Temmuz-30 Temmuz 2023'!B8+'26 Haziran-16Temmuz 2023'!B8+'12-25 Haziran 2023'!B8+'29 mayıs-11 Haziran 2023'!B8+'15 mayıs-28 mayıs 2023'!B8+'2 mayıs-14 mayıs 2023'!B8+'17 nisan-1 mayıs 2023'!B8+'3-16 nisan 2023'!B8+'20 Mart-2 nisan 2023'!B8+'6 mart-19 mart 2023'!B8+'20 şubat-5 mart 2023'!B8+'23 ocak-17 şubat'!B8+'26 aralık-20 ocak'!B8+'14-27 Ağustos'!B8</f>
        <v>19</v>
      </c>
      <c r="C8" s="71">
        <f>'31 Temmuz-13 Ağustos'!C8+ '17 Temmuz-30 Temmuz 2023'!C8+'26 Haziran-16Temmuz 2023'!C8+'12-25 Haziran 2023'!C8+'29 mayıs-11 Haziran 2023'!C8+'15 mayıs-28 mayıs 2023'!C8+'2 mayıs-14 mayıs 2023'!C8+'17 nisan-1 mayıs 2023'!C8+'3-16 nisan 2023'!C8+'20 Mart-2 nisan 2023'!C8+'6 mart-19 mart 2023'!C8+'20 şubat-5 mart 2023'!C8+'23 ocak-17 şubat'!C8+'26 aralık-20 ocak'!C8+'14-27 Ağustos'!C8</f>
        <v>59.66</v>
      </c>
      <c r="D8" s="71">
        <f>'31 Temmuz-13 Ağustos'!D8+ '17 Temmuz-30 Temmuz 2023'!D8+'26 Haziran-16Temmuz 2023'!D8+'12-25 Haziran 2023'!D8+'29 mayıs-11 Haziran 2023'!D8+'15 mayıs-28 mayıs 2023'!D8+'2 mayıs-14 mayıs 2023'!D8+'17 nisan-1 mayıs 2023'!D8+'3-16 nisan 2023'!D8+'20 Mart-2 nisan 2023'!D8+'6 mart-19 mart 2023'!D8+'20 şubat-5 mart 2023'!D8+'23 ocak-17 şubat'!D8+'26 aralık-20 ocak'!D8+'14-27 Ağustos'!D8</f>
        <v>180</v>
      </c>
      <c r="E8" s="71">
        <f t="shared" si="1"/>
        <v>0.3314444444</v>
      </c>
      <c r="F8" s="71">
        <f>'31 Temmuz-13 Ağustos'!F8+ '17 Temmuz-30 Temmuz 2023'!F8+'26 Haziran-16Temmuz 2023'!F8+'12-25 Haziran 2023'!F8+'29 mayıs-11 Haziran 2023'!F8+'15 mayıs-28 mayıs 2023'!F8+'2 mayıs-14 mayıs 2023'!F8+'17 nisan-1 mayıs 2023'!F8+'3-16 nisan 2023'!F8+'20 Mart-2 nisan 2023'!F8+'6 mart-19 mart 2023'!F8+'20 şubat-5 mart 2023'!F8+'23 ocak-17 şubat'!F8+'26 aralık-20 ocak'!F8+'14-27 Ağustos'!F8</f>
        <v>0</v>
      </c>
      <c r="G8" s="71">
        <f>'31 Temmuz-13 Ağustos'!G8+ '17 Temmuz-30 Temmuz 2023'!G8+'26 Haziran-16Temmuz 2023'!G8+'12-25 Haziran 2023'!G8+'29 mayıs-11 Haziran 2023'!G8+'15 mayıs-28 mayıs 2023'!G8+'2 mayıs-14 mayıs 2023'!G8+'17 nisan-1 mayıs 2023'!G8+'3-16 nisan 2023'!G8+'20 Mart-2 nisan 2023'!G8+'6 mart-19 mart 2023'!G8+'20 şubat-5 mart 2023'!G8+'23 ocak-17 şubat'!G8+'26 aralık-20 ocak'!G8</f>
        <v>95.21</v>
      </c>
      <c r="H8" s="86">
        <f t="shared" si="2"/>
        <v>0</v>
      </c>
    </row>
    <row r="9">
      <c r="A9" s="7" t="s">
        <v>96</v>
      </c>
      <c r="B9" s="71">
        <f>'31 Temmuz-13 Ağustos'!B9+ '17 Temmuz-30 Temmuz 2023'!B9+'26 Haziran-16Temmuz 2023'!B9+'12-25 Haziran 2023'!B9+'29 mayıs-11 Haziran 2023'!B9+'15 mayıs-28 mayıs 2023'!B9+'2 mayıs-14 mayıs 2023'!B9+'17 nisan-1 mayıs 2023'!B9+'3-16 nisan 2023'!B9+'20 Mart-2 nisan 2023'!B9+'6 mart-19 mart 2023'!B9+'20 şubat-5 mart 2023'!B9+'23 ocak-17 şubat'!B9+'26 aralık-20 ocak'!B9+'14-27 Ağustos'!B9</f>
        <v>30</v>
      </c>
      <c r="C9" s="71">
        <f>'31 Temmuz-13 Ağustos'!C9+ '17 Temmuz-30 Temmuz 2023'!C9+'26 Haziran-16Temmuz 2023'!C9+'12-25 Haziran 2023'!C9+'29 mayıs-11 Haziran 2023'!C9+'15 mayıs-28 mayıs 2023'!C9+'2 mayıs-14 mayıs 2023'!C9+'17 nisan-1 mayıs 2023'!C9+'3-16 nisan 2023'!C9+'20 Mart-2 nisan 2023'!C9+'6 mart-19 mart 2023'!C9+'20 şubat-5 mart 2023'!C9+'23 ocak-17 şubat'!C9+'26 aralık-20 ocak'!C9+'14-27 Ağustos'!C9</f>
        <v>201.975</v>
      </c>
      <c r="D9" s="71">
        <f>'31 Temmuz-13 Ağustos'!D9+ '17 Temmuz-30 Temmuz 2023'!D9+'26 Haziran-16Temmuz 2023'!D9+'12-25 Haziran 2023'!D9+'29 mayıs-11 Haziran 2023'!D9+'15 mayıs-28 mayıs 2023'!D9+'2 mayıs-14 mayıs 2023'!D9+'17 nisan-1 mayıs 2023'!D9+'3-16 nisan 2023'!D9+'20 Mart-2 nisan 2023'!D9+'6 mart-19 mart 2023'!D9+'20 şubat-5 mart 2023'!D9+'23 ocak-17 şubat'!D9+'26 aralık-20 ocak'!D9+'14-27 Ağustos'!D9</f>
        <v>132</v>
      </c>
      <c r="E9" s="71" t="str">
        <f>'31 Temmuz-13 Ağustos'!E9+ '17 Temmuz-30 Temmuz 2023'!E9+'26 Haziran-16Temmuz 2023'!E9+'12-25 Haziran 2023'!E9+'29 mayıs-11 Haziran 2023'!E9+'15 mayıs-28 mayıs 2023'!E9+'2 mayıs-14 mayıs 2023'!E9+'17 nisan-1 mayıs 2023'!E9+'3-16 nisan 2023'!E9+'20 Mart-2 nisan 2023'!E9+'6 mart-19 mart 2023'!E9+'20 şubat-5 mart 2023'!E9+'23 ocak-17 şubat'!E9+'26 aralık-20 ocak'!E9+'14-27 Ağustos'!E9</f>
        <v>#DIV/0!</v>
      </c>
      <c r="F9" s="71">
        <f>'31 Temmuz-13 Ağustos'!F9+ '17 Temmuz-30 Temmuz 2023'!F9+'26 Haziran-16Temmuz 2023'!F9+'12-25 Haziran 2023'!F9+'29 mayıs-11 Haziran 2023'!F9+'15 mayıs-28 mayıs 2023'!F9+'2 mayıs-14 mayıs 2023'!F9+'17 nisan-1 mayıs 2023'!F9+'3-16 nisan 2023'!F9+'20 Mart-2 nisan 2023'!F9+'6 mart-19 mart 2023'!F9+'20 şubat-5 mart 2023'!F9+'23 ocak-17 şubat'!F9+'26 aralık-20 ocak'!F9+'14-27 Ağustos'!F9</f>
        <v>9</v>
      </c>
      <c r="G9" s="71">
        <f>'31 Temmuz-13 Ağustos'!G9+ '17 Temmuz-30 Temmuz 2023'!G9+'26 Haziran-16Temmuz 2023'!G9+'12-25 Haziran 2023'!G9+'29 mayıs-11 Haziran 2023'!G9+'15 mayıs-28 mayıs 2023'!G9+'2 mayıs-14 mayıs 2023'!G9+'17 nisan-1 mayıs 2023'!G9+'3-16 nisan 2023'!G9+'20 Mart-2 nisan 2023'!G9+'6 mart-19 mart 2023'!G9+'20 şubat-5 mart 2023'!G9+'23 ocak-17 şubat'!G9+'26 aralık-20 ocak'!G9</f>
        <v>228.38</v>
      </c>
      <c r="H9" s="86">
        <f t="shared" si="2"/>
        <v>0.3</v>
      </c>
      <c r="I9" s="55">
        <v>5.0</v>
      </c>
      <c r="J9" s="55" t="s">
        <v>678</v>
      </c>
      <c r="K9" s="55" t="s">
        <v>105</v>
      </c>
      <c r="L9" s="55" t="s">
        <v>679</v>
      </c>
    </row>
    <row r="10">
      <c r="I10" s="55">
        <v>6.0</v>
      </c>
      <c r="J10" s="55" t="s">
        <v>680</v>
      </c>
      <c r="K10" s="55" t="s">
        <v>105</v>
      </c>
      <c r="L10" s="55" t="s">
        <v>681</v>
      </c>
    </row>
    <row r="11">
      <c r="B11" s="52">
        <f t="shared" ref="B11:D11" si="3">SUM(B2:B9)</f>
        <v>921</v>
      </c>
      <c r="C11" s="52">
        <f t="shared" si="3"/>
        <v>3235.713</v>
      </c>
      <c r="D11" s="52">
        <f t="shared" si="3"/>
        <v>4185.2</v>
      </c>
      <c r="E11" s="86">
        <f>C11/D11</f>
        <v>0.7731322279</v>
      </c>
      <c r="F11" s="52">
        <f t="shared" ref="F11:G11" si="4">SUM(F2:F9)</f>
        <v>121</v>
      </c>
      <c r="G11" s="52">
        <f t="shared" si="4"/>
        <v>4242.29</v>
      </c>
    </row>
    <row r="13">
      <c r="I13" s="55">
        <v>7.0</v>
      </c>
      <c r="J13" s="55" t="s">
        <v>682</v>
      </c>
      <c r="K13" s="55" t="s">
        <v>683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7.88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2">
        <v>8.0</v>
      </c>
      <c r="C2" s="72">
        <v>62.3</v>
      </c>
      <c r="D2" s="72">
        <v>80.0</v>
      </c>
      <c r="E2" s="136">
        <f t="shared" ref="E2:E9" si="1">C2/D2</f>
        <v>0.77875</v>
      </c>
      <c r="F2" s="33">
        <v>3.0</v>
      </c>
      <c r="G2" s="79"/>
      <c r="H2" s="161"/>
      <c r="I2" s="66">
        <f>3/18</f>
        <v>0.1666666667</v>
      </c>
    </row>
    <row r="3">
      <c r="A3" s="14" t="s">
        <v>86</v>
      </c>
      <c r="B3" s="162">
        <v>6.0</v>
      </c>
      <c r="C3" s="162">
        <v>87.93</v>
      </c>
      <c r="D3" s="162">
        <v>60.0</v>
      </c>
      <c r="E3" s="136">
        <f t="shared" si="1"/>
        <v>1.4655</v>
      </c>
      <c r="F3" s="138">
        <v>1.0</v>
      </c>
      <c r="G3" s="143"/>
      <c r="H3" s="163"/>
      <c r="I3" s="66">
        <f>1/12</f>
        <v>0.08333333333</v>
      </c>
    </row>
    <row r="4">
      <c r="A4" s="14" t="s">
        <v>88</v>
      </c>
      <c r="B4" s="162">
        <v>10.0</v>
      </c>
      <c r="C4" s="162">
        <v>66.299</v>
      </c>
      <c r="D4" s="162">
        <v>80.0</v>
      </c>
      <c r="E4" s="136">
        <f t="shared" si="1"/>
        <v>0.8287375</v>
      </c>
      <c r="F4" s="138">
        <v>1.0</v>
      </c>
      <c r="G4" s="144"/>
      <c r="H4" s="163"/>
      <c r="I4" s="66">
        <f>1/17</f>
        <v>0.05882352941</v>
      </c>
    </row>
    <row r="5">
      <c r="A5" s="14" t="s">
        <v>90</v>
      </c>
      <c r="B5" s="162">
        <v>2.0</v>
      </c>
      <c r="C5" s="162">
        <v>36.3</v>
      </c>
      <c r="D5" s="162">
        <v>60.0</v>
      </c>
      <c r="E5" s="136">
        <f t="shared" si="1"/>
        <v>0.605</v>
      </c>
      <c r="F5" s="141">
        <v>0.0</v>
      </c>
      <c r="G5" s="144"/>
      <c r="H5" s="141"/>
    </row>
    <row r="6">
      <c r="A6" s="14" t="s">
        <v>91</v>
      </c>
      <c r="B6" s="162">
        <v>7.0</v>
      </c>
      <c r="C6" s="162">
        <v>45.286</v>
      </c>
      <c r="D6" s="162">
        <v>64.0</v>
      </c>
      <c r="E6" s="136">
        <f t="shared" si="1"/>
        <v>0.70759375</v>
      </c>
      <c r="F6" s="141">
        <v>5.0</v>
      </c>
      <c r="G6" s="143"/>
      <c r="H6" s="141"/>
      <c r="I6" s="66">
        <f>5/14</f>
        <v>0.3571428571</v>
      </c>
    </row>
    <row r="7">
      <c r="A7" s="14" t="s">
        <v>94</v>
      </c>
      <c r="B7" s="162">
        <v>9.0</v>
      </c>
      <c r="C7" s="162">
        <v>71.49</v>
      </c>
      <c r="D7" s="162">
        <v>64.0</v>
      </c>
      <c r="E7" s="136">
        <f t="shared" si="1"/>
        <v>1.11703125</v>
      </c>
      <c r="F7" s="33">
        <v>3.0</v>
      </c>
      <c r="G7" s="143"/>
      <c r="H7" s="161"/>
      <c r="I7" s="66">
        <f>3/18</f>
        <v>0.1666666667</v>
      </c>
    </row>
    <row r="8">
      <c r="A8" s="7" t="s">
        <v>95</v>
      </c>
      <c r="B8" s="162">
        <v>3.0</v>
      </c>
      <c r="C8" s="164">
        <v>15.53</v>
      </c>
      <c r="D8" s="162">
        <v>40.0</v>
      </c>
      <c r="E8" s="136">
        <f t="shared" si="1"/>
        <v>0.38825</v>
      </c>
      <c r="F8" s="7"/>
      <c r="G8" s="145"/>
      <c r="H8" s="32"/>
    </row>
    <row r="9">
      <c r="A9" s="7" t="s">
        <v>96</v>
      </c>
      <c r="B9" s="112"/>
      <c r="C9" s="115"/>
      <c r="D9" s="112"/>
      <c r="E9" s="136" t="str">
        <f t="shared" si="1"/>
        <v>#DIV/0!</v>
      </c>
      <c r="F9" s="7"/>
      <c r="G9" s="145"/>
      <c r="H9" s="32"/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0"/>
    <col customWidth="1" min="8" max="8" width="89.13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13.0</v>
      </c>
      <c r="C2" s="71">
        <v>65.648</v>
      </c>
      <c r="D2" s="71">
        <v>100.0</v>
      </c>
      <c r="E2" s="136">
        <f t="shared" ref="E2:E9" si="1">C2/D2</f>
        <v>0.65648</v>
      </c>
      <c r="F2" s="33">
        <v>4.0</v>
      </c>
      <c r="G2" s="79">
        <v>38.92</v>
      </c>
      <c r="H2" s="137" t="s">
        <v>684</v>
      </c>
    </row>
    <row r="3">
      <c r="A3" s="14" t="s">
        <v>86</v>
      </c>
      <c r="B3" s="112">
        <v>9.0</v>
      </c>
      <c r="C3" s="112">
        <v>69.526</v>
      </c>
      <c r="D3" s="112">
        <v>75.0</v>
      </c>
      <c r="E3" s="136">
        <f t="shared" si="1"/>
        <v>0.9270133333</v>
      </c>
      <c r="F3" s="138">
        <v>1.0</v>
      </c>
      <c r="G3" s="143">
        <v>34.0</v>
      </c>
      <c r="H3" s="140" t="s">
        <v>685</v>
      </c>
    </row>
    <row r="4">
      <c r="A4" s="14" t="s">
        <v>88</v>
      </c>
      <c r="B4" s="112">
        <v>8.0</v>
      </c>
      <c r="C4" s="112">
        <v>88.32</v>
      </c>
      <c r="D4" s="112">
        <v>100.0</v>
      </c>
      <c r="E4" s="136">
        <f t="shared" si="1"/>
        <v>0.8832</v>
      </c>
      <c r="F4" s="138">
        <v>1.0</v>
      </c>
      <c r="G4" s="144">
        <v>75.42</v>
      </c>
      <c r="H4" s="140" t="s">
        <v>686</v>
      </c>
    </row>
    <row r="5">
      <c r="A5" s="14" t="s">
        <v>90</v>
      </c>
      <c r="B5" s="112">
        <v>5.0</v>
      </c>
      <c r="C5" s="112">
        <v>73.609</v>
      </c>
      <c r="D5" s="112">
        <v>75.0</v>
      </c>
      <c r="E5" s="136">
        <f t="shared" si="1"/>
        <v>0.9814533333</v>
      </c>
      <c r="F5" s="141">
        <v>0.0</v>
      </c>
      <c r="G5" s="144">
        <v>65.58</v>
      </c>
      <c r="H5" s="148" t="s">
        <v>687</v>
      </c>
    </row>
    <row r="6">
      <c r="A6" s="14" t="s">
        <v>91</v>
      </c>
      <c r="B6" s="112">
        <v>7.0</v>
      </c>
      <c r="C6" s="112">
        <v>31.11</v>
      </c>
      <c r="D6" s="112">
        <v>80.0</v>
      </c>
      <c r="E6" s="136">
        <f t="shared" si="1"/>
        <v>0.388875</v>
      </c>
      <c r="F6" s="141">
        <v>1.0</v>
      </c>
      <c r="G6" s="143">
        <v>40.23</v>
      </c>
      <c r="H6" s="148" t="s">
        <v>688</v>
      </c>
    </row>
    <row r="7">
      <c r="A7" s="14" t="s">
        <v>94</v>
      </c>
      <c r="B7" s="112">
        <v>6.0</v>
      </c>
      <c r="C7" s="112">
        <v>75.167</v>
      </c>
      <c r="D7" s="112">
        <v>80.0</v>
      </c>
      <c r="E7" s="136">
        <f t="shared" si="1"/>
        <v>0.9395875</v>
      </c>
      <c r="F7" s="33">
        <v>0.0</v>
      </c>
      <c r="G7" s="143">
        <v>45.58</v>
      </c>
      <c r="H7" s="137" t="s">
        <v>689</v>
      </c>
    </row>
    <row r="8">
      <c r="A8" s="7" t="s">
        <v>95</v>
      </c>
      <c r="B8" s="112">
        <v>5.0</v>
      </c>
      <c r="C8" s="115">
        <v>13.9</v>
      </c>
      <c r="D8" s="112">
        <v>50.0</v>
      </c>
      <c r="E8" s="136">
        <f t="shared" si="1"/>
        <v>0.278</v>
      </c>
      <c r="F8" s="7">
        <v>0.0</v>
      </c>
      <c r="G8" s="145">
        <v>18.08</v>
      </c>
      <c r="H8" s="107" t="s">
        <v>690</v>
      </c>
    </row>
    <row r="9">
      <c r="A9" s="7" t="s">
        <v>96</v>
      </c>
      <c r="B9" s="112">
        <v>4.0</v>
      </c>
      <c r="C9" s="115">
        <v>131.473</v>
      </c>
      <c r="D9" s="112">
        <v>50.0</v>
      </c>
      <c r="E9" s="136">
        <f t="shared" si="1"/>
        <v>2.62946</v>
      </c>
      <c r="F9" s="7">
        <v>4.0</v>
      </c>
      <c r="G9" s="145">
        <v>92.82</v>
      </c>
      <c r="H9" s="107" t="s">
        <v>691</v>
      </c>
    </row>
    <row r="14">
      <c r="B14" s="52">
        <f t="shared" ref="B14:D14" si="2">SUM(B2:B9)</f>
        <v>57</v>
      </c>
      <c r="C14" s="52">
        <f t="shared" si="2"/>
        <v>548.753</v>
      </c>
      <c r="D14" s="52">
        <f t="shared" si="2"/>
        <v>610</v>
      </c>
      <c r="E14" s="86">
        <f>C14/D14</f>
        <v>0.899595082</v>
      </c>
      <c r="F14" s="66">
        <f t="shared" ref="F14:G14" si="3">SUM(F2:F9)</f>
        <v>11</v>
      </c>
      <c r="G14" s="66">
        <f t="shared" si="3"/>
        <v>410.63</v>
      </c>
    </row>
    <row r="17">
      <c r="C17" s="94" t="s">
        <v>193</v>
      </c>
      <c r="D17" s="116" t="s">
        <v>194</v>
      </c>
      <c r="E17" s="116" t="s">
        <v>217</v>
      </c>
    </row>
    <row r="18">
      <c r="C18" s="111">
        <v>1.0</v>
      </c>
      <c r="D18" s="118" t="s">
        <v>105</v>
      </c>
      <c r="E18" s="118">
        <v>4.69</v>
      </c>
    </row>
    <row r="19">
      <c r="C19" s="110">
        <v>2.0</v>
      </c>
      <c r="D19" s="117" t="s">
        <v>130</v>
      </c>
      <c r="E19" s="130">
        <v>4.29</v>
      </c>
    </row>
    <row r="20">
      <c r="C20" s="110">
        <v>3.0</v>
      </c>
      <c r="D20" s="117" t="s">
        <v>585</v>
      </c>
      <c r="E20" s="130">
        <v>4.13</v>
      </c>
    </row>
    <row r="21">
      <c r="C21" s="111">
        <v>4.0</v>
      </c>
      <c r="D21" s="117" t="s">
        <v>131</v>
      </c>
      <c r="E21" s="118">
        <v>4.01</v>
      </c>
    </row>
    <row r="22">
      <c r="C22" s="111">
        <v>5.0</v>
      </c>
      <c r="D22" s="117" t="s">
        <v>140</v>
      </c>
      <c r="E22" s="117">
        <v>3.8</v>
      </c>
    </row>
    <row r="23">
      <c r="C23" s="111">
        <v>6.0</v>
      </c>
      <c r="D23" s="118" t="s">
        <v>139</v>
      </c>
      <c r="E23" s="118">
        <v>2.72</v>
      </c>
    </row>
    <row r="24">
      <c r="C24" s="111">
        <v>7.0</v>
      </c>
      <c r="D24" s="118" t="s">
        <v>104</v>
      </c>
      <c r="E24" s="118">
        <v>2.68</v>
      </c>
    </row>
    <row r="25">
      <c r="C25" s="111">
        <v>8.0</v>
      </c>
      <c r="D25" s="118" t="s">
        <v>692</v>
      </c>
      <c r="E25" s="118">
        <v>2.1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27662145" ref="H8"/>
    <hyperlink r:id="rId8" location="gid=1503107642" ref="H9"/>
  </hyperlinks>
  <drawing r:id="rId9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1.25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8.0</v>
      </c>
      <c r="C2" s="71">
        <v>63.009</v>
      </c>
      <c r="D2" s="127">
        <v>100.0</v>
      </c>
      <c r="E2" s="136">
        <f t="shared" ref="E2:E9" si="1">C2/D2</f>
        <v>0.63009</v>
      </c>
      <c r="F2" s="33">
        <v>2.0</v>
      </c>
      <c r="G2" s="79">
        <v>36.92</v>
      </c>
      <c r="H2" s="137" t="s">
        <v>693</v>
      </c>
    </row>
    <row r="3">
      <c r="A3" s="14" t="s">
        <v>86</v>
      </c>
      <c r="B3" s="112">
        <v>4.0</v>
      </c>
      <c r="C3" s="112">
        <v>26.456</v>
      </c>
      <c r="D3" s="128">
        <v>50.0</v>
      </c>
      <c r="E3" s="136">
        <f t="shared" si="1"/>
        <v>0.52912</v>
      </c>
      <c r="F3" s="138">
        <v>0.0</v>
      </c>
      <c r="G3" s="143">
        <v>26.0</v>
      </c>
      <c r="H3" s="140" t="s">
        <v>694</v>
      </c>
    </row>
    <row r="4">
      <c r="A4" s="14" t="s">
        <v>88</v>
      </c>
      <c r="B4" s="112">
        <v>14.0</v>
      </c>
      <c r="C4" s="112">
        <v>86.3</v>
      </c>
      <c r="D4" s="128">
        <v>100.0</v>
      </c>
      <c r="E4" s="136">
        <f t="shared" si="1"/>
        <v>0.863</v>
      </c>
      <c r="F4" s="138">
        <v>1.0</v>
      </c>
      <c r="G4" s="144">
        <v>50.52</v>
      </c>
      <c r="H4" s="140" t="s">
        <v>695</v>
      </c>
    </row>
    <row r="5">
      <c r="A5" s="14" t="s">
        <v>90</v>
      </c>
      <c r="B5" s="112">
        <v>4.0</v>
      </c>
      <c r="C5" s="112">
        <v>56.43</v>
      </c>
      <c r="D5" s="128">
        <v>90.0</v>
      </c>
      <c r="E5" s="136">
        <f t="shared" si="1"/>
        <v>0.627</v>
      </c>
      <c r="F5" s="141">
        <v>0.0</v>
      </c>
      <c r="G5" s="144">
        <v>30.78</v>
      </c>
      <c r="H5" s="148" t="s">
        <v>696</v>
      </c>
    </row>
    <row r="6">
      <c r="A6" s="14" t="s">
        <v>91</v>
      </c>
      <c r="B6" s="112">
        <v>1.0</v>
      </c>
      <c r="C6" s="112">
        <v>41.184</v>
      </c>
      <c r="D6" s="128">
        <v>80.0</v>
      </c>
      <c r="E6" s="136">
        <f t="shared" si="1"/>
        <v>0.5148</v>
      </c>
      <c r="F6" s="141">
        <v>0.0</v>
      </c>
      <c r="G6" s="143">
        <v>80.0</v>
      </c>
      <c r="H6" s="148" t="s">
        <v>697</v>
      </c>
    </row>
    <row r="7">
      <c r="A7" s="14" t="s">
        <v>94</v>
      </c>
      <c r="B7" s="112">
        <v>10.0</v>
      </c>
      <c r="C7" s="112">
        <v>96.096</v>
      </c>
      <c r="D7" s="128">
        <v>80.0</v>
      </c>
      <c r="E7" s="136">
        <f t="shared" si="1"/>
        <v>1.2012</v>
      </c>
      <c r="F7" s="33">
        <v>1.0</v>
      </c>
      <c r="G7" s="143">
        <v>63.28</v>
      </c>
      <c r="H7" s="137" t="s">
        <v>698</v>
      </c>
    </row>
    <row r="8">
      <c r="A8" s="7" t="s">
        <v>95</v>
      </c>
      <c r="B8" s="112">
        <v>5.0</v>
      </c>
      <c r="C8" s="115">
        <v>13.3</v>
      </c>
      <c r="D8" s="128">
        <v>40.0</v>
      </c>
      <c r="E8" s="136">
        <f t="shared" si="1"/>
        <v>0.3325</v>
      </c>
      <c r="F8" s="7">
        <v>0.0</v>
      </c>
      <c r="G8" s="145">
        <v>34.5</v>
      </c>
      <c r="H8" s="107" t="s">
        <v>699</v>
      </c>
    </row>
    <row r="9">
      <c r="A9" s="7" t="s">
        <v>96</v>
      </c>
      <c r="B9" s="112">
        <v>7.0</v>
      </c>
      <c r="C9" s="115">
        <v>44.502</v>
      </c>
      <c r="D9" s="128">
        <v>50.0</v>
      </c>
      <c r="E9" s="136">
        <f t="shared" si="1"/>
        <v>0.89004</v>
      </c>
      <c r="F9" s="7">
        <v>3.0</v>
      </c>
      <c r="G9" s="145">
        <v>27.48</v>
      </c>
      <c r="H9" s="107" t="s">
        <v>700</v>
      </c>
    </row>
    <row r="11">
      <c r="B11" s="52">
        <f t="shared" ref="B11:D11" si="2">SUM(B2:B9)</f>
        <v>53</v>
      </c>
      <c r="C11" s="52">
        <f t="shared" si="2"/>
        <v>427.277</v>
      </c>
      <c r="D11" s="52">
        <f t="shared" si="2"/>
        <v>590</v>
      </c>
      <c r="E11" s="86">
        <f>C11/D11</f>
        <v>0.7241983051</v>
      </c>
      <c r="F11" s="66">
        <f t="shared" ref="F11:G11" si="3">SUM(F2:F9)</f>
        <v>7</v>
      </c>
      <c r="G11" s="66">
        <f t="shared" si="3"/>
        <v>349.48</v>
      </c>
    </row>
    <row r="15">
      <c r="C15" s="94" t="s">
        <v>193</v>
      </c>
      <c r="D15" s="116" t="s">
        <v>194</v>
      </c>
      <c r="E15" s="116" t="s">
        <v>217</v>
      </c>
    </row>
    <row r="16">
      <c r="C16" s="111">
        <v>1.0</v>
      </c>
      <c r="D16" s="118" t="s">
        <v>94</v>
      </c>
      <c r="E16" s="118">
        <v>4.74</v>
      </c>
    </row>
    <row r="17">
      <c r="C17" s="110">
        <v>2.0</v>
      </c>
      <c r="D17" s="117" t="s">
        <v>90</v>
      </c>
      <c r="E17" s="130">
        <v>4.39</v>
      </c>
    </row>
    <row r="18">
      <c r="C18" s="110">
        <v>3.0</v>
      </c>
      <c r="D18" s="117" t="s">
        <v>88</v>
      </c>
      <c r="E18" s="130">
        <v>4.15</v>
      </c>
    </row>
    <row r="19">
      <c r="C19" s="111">
        <v>4.0</v>
      </c>
      <c r="D19" s="117" t="s">
        <v>91</v>
      </c>
      <c r="E19" s="118">
        <v>2.9</v>
      </c>
    </row>
    <row r="20">
      <c r="C20" s="111">
        <v>5.0</v>
      </c>
      <c r="D20" s="117" t="s">
        <v>108</v>
      </c>
      <c r="E20" s="117">
        <v>2.84</v>
      </c>
    </row>
    <row r="21">
      <c r="C21" s="111">
        <v>6.0</v>
      </c>
      <c r="D21" s="118" t="s">
        <v>85</v>
      </c>
      <c r="E21" s="118">
        <v>2.72</v>
      </c>
    </row>
    <row r="22">
      <c r="C22" s="111">
        <v>7.0</v>
      </c>
      <c r="D22" s="118" t="s">
        <v>95</v>
      </c>
      <c r="E22" s="118">
        <v>2.28</v>
      </c>
    </row>
    <row r="23">
      <c r="C23" s="111">
        <v>8.0</v>
      </c>
      <c r="D23" s="118" t="s">
        <v>96</v>
      </c>
      <c r="E23" s="118">
        <v>2.07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27662145" ref="H8"/>
    <hyperlink r:id="rId8" location="gid=1503107642" ref="H9"/>
  </hyperlinks>
  <drawing r:id="rId9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  <col customWidth="1" min="6" max="6" width="8.13"/>
    <col customWidth="1" min="7" max="7" width="9.13"/>
    <col customWidth="1" min="8" max="8" width="88.88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9.0</v>
      </c>
      <c r="C2" s="71">
        <v>43.456</v>
      </c>
      <c r="D2" s="71">
        <v>90.0</v>
      </c>
      <c r="E2" s="136">
        <f t="shared" ref="E2:E8" si="1">C2/D2</f>
        <v>0.4828444444</v>
      </c>
      <c r="F2" s="33">
        <v>2.0</v>
      </c>
      <c r="G2" s="79">
        <v>22.17</v>
      </c>
      <c r="H2" s="146" t="s">
        <v>701</v>
      </c>
    </row>
    <row r="3">
      <c r="A3" s="14" t="s">
        <v>86</v>
      </c>
      <c r="B3" s="112">
        <v>3.0</v>
      </c>
      <c r="C3" s="112">
        <v>30.066</v>
      </c>
      <c r="D3" s="112">
        <v>37.5</v>
      </c>
      <c r="E3" s="136">
        <f t="shared" si="1"/>
        <v>0.80176</v>
      </c>
      <c r="F3" s="138">
        <v>0.0</v>
      </c>
      <c r="G3" s="143">
        <v>18.0</v>
      </c>
      <c r="H3" s="147" t="s">
        <v>702</v>
      </c>
    </row>
    <row r="4">
      <c r="A4" s="14" t="s">
        <v>88</v>
      </c>
      <c r="B4" s="112">
        <v>13.0</v>
      </c>
      <c r="C4" s="112">
        <v>76.606</v>
      </c>
      <c r="D4" s="112">
        <v>100.0</v>
      </c>
      <c r="E4" s="136">
        <f t="shared" si="1"/>
        <v>0.76606</v>
      </c>
      <c r="F4" s="138">
        <v>0.0</v>
      </c>
      <c r="G4" s="144">
        <v>55.55</v>
      </c>
      <c r="H4" s="147" t="s">
        <v>703</v>
      </c>
    </row>
    <row r="5">
      <c r="A5" s="14" t="s">
        <v>90</v>
      </c>
      <c r="B5" s="112">
        <v>7.0</v>
      </c>
      <c r="C5" s="112">
        <v>84.634</v>
      </c>
      <c r="D5" s="112">
        <v>67.5</v>
      </c>
      <c r="E5" s="136">
        <f t="shared" si="1"/>
        <v>1.253837037</v>
      </c>
      <c r="F5" s="141">
        <v>0.0</v>
      </c>
      <c r="G5" s="144">
        <v>81.82</v>
      </c>
      <c r="H5" s="148" t="s">
        <v>704</v>
      </c>
    </row>
    <row r="6">
      <c r="A6" s="14" t="s">
        <v>91</v>
      </c>
      <c r="B6" s="112">
        <v>12.0</v>
      </c>
      <c r="C6" s="112">
        <v>56.598</v>
      </c>
      <c r="D6" s="112">
        <v>80.0</v>
      </c>
      <c r="E6" s="136">
        <f t="shared" si="1"/>
        <v>0.707475</v>
      </c>
      <c r="F6" s="141">
        <v>3.0</v>
      </c>
      <c r="G6" s="143">
        <v>60.25</v>
      </c>
      <c r="H6" s="148" t="s">
        <v>705</v>
      </c>
    </row>
    <row r="7">
      <c r="A7" s="14" t="s">
        <v>94</v>
      </c>
      <c r="B7" s="112">
        <v>11.0</v>
      </c>
      <c r="C7" s="112">
        <v>96.352</v>
      </c>
      <c r="D7" s="112">
        <v>92.0</v>
      </c>
      <c r="E7" s="136">
        <f t="shared" si="1"/>
        <v>1.047304348</v>
      </c>
      <c r="F7" s="33">
        <v>1.0</v>
      </c>
      <c r="G7" s="143">
        <v>53.1</v>
      </c>
      <c r="H7" s="137" t="s">
        <v>706</v>
      </c>
    </row>
    <row r="8">
      <c r="A8" s="7" t="s">
        <v>95</v>
      </c>
      <c r="B8" s="112">
        <v>6.0</v>
      </c>
      <c r="C8" s="115">
        <v>16.93</v>
      </c>
      <c r="D8" s="112">
        <v>50.0</v>
      </c>
      <c r="E8" s="136">
        <f t="shared" si="1"/>
        <v>0.3386</v>
      </c>
      <c r="F8" s="7">
        <v>0.0</v>
      </c>
      <c r="G8" s="145">
        <v>42.63</v>
      </c>
      <c r="H8" s="107" t="s">
        <v>707</v>
      </c>
    </row>
    <row r="9">
      <c r="A9" s="7" t="s">
        <v>96</v>
      </c>
      <c r="B9" s="38"/>
      <c r="C9" s="38"/>
      <c r="D9" s="38"/>
      <c r="E9" s="38"/>
      <c r="F9" s="38"/>
      <c r="G9" s="38"/>
      <c r="H9" s="38"/>
    </row>
    <row r="11">
      <c r="B11" s="52">
        <f t="shared" ref="B11:D11" si="2">SUM(B2:B9)</f>
        <v>61</v>
      </c>
      <c r="C11" s="52">
        <f t="shared" si="2"/>
        <v>404.642</v>
      </c>
      <c r="D11" s="52">
        <f t="shared" si="2"/>
        <v>517</v>
      </c>
      <c r="E11" s="86">
        <f>C11/D11</f>
        <v>0.7826731141</v>
      </c>
      <c r="F11" s="66">
        <f t="shared" ref="F11:G11" si="3">SUM(F2:F9)</f>
        <v>6</v>
      </c>
      <c r="G11" s="66">
        <f t="shared" si="3"/>
        <v>333.52</v>
      </c>
    </row>
    <row r="13">
      <c r="B13" s="94" t="s">
        <v>193</v>
      </c>
      <c r="C13" s="116" t="s">
        <v>194</v>
      </c>
      <c r="D13" s="116" t="s">
        <v>217</v>
      </c>
    </row>
    <row r="14">
      <c r="B14" s="111">
        <v>1.0</v>
      </c>
      <c r="C14" s="118" t="s">
        <v>90</v>
      </c>
      <c r="D14" s="118">
        <v>5.07</v>
      </c>
    </row>
    <row r="15">
      <c r="B15" s="110">
        <v>2.0</v>
      </c>
      <c r="C15" s="117" t="s">
        <v>94</v>
      </c>
      <c r="D15" s="130">
        <v>4.45</v>
      </c>
    </row>
    <row r="16">
      <c r="B16" s="110">
        <v>3.0</v>
      </c>
      <c r="C16" s="117" t="s">
        <v>88</v>
      </c>
      <c r="D16" s="130">
        <v>3.49</v>
      </c>
    </row>
    <row r="17">
      <c r="B17" s="111">
        <v>4.0</v>
      </c>
      <c r="C17" s="117" t="s">
        <v>91</v>
      </c>
      <c r="D17" s="118">
        <v>3.34</v>
      </c>
    </row>
    <row r="18">
      <c r="B18" s="111">
        <v>5.0</v>
      </c>
      <c r="C18" s="117" t="s">
        <v>108</v>
      </c>
      <c r="D18" s="117">
        <v>2.93</v>
      </c>
    </row>
    <row r="19">
      <c r="B19" s="111">
        <v>6.0</v>
      </c>
      <c r="C19" s="118" t="s">
        <v>95</v>
      </c>
      <c r="D19" s="118">
        <v>2.52</v>
      </c>
    </row>
    <row r="20">
      <c r="B20" s="111">
        <v>7.0</v>
      </c>
      <c r="C20" s="118" t="s">
        <v>85</v>
      </c>
      <c r="D20" s="118">
        <v>1.97</v>
      </c>
      <c r="E20" s="55" t="s">
        <v>99</v>
      </c>
      <c r="F20" s="55" t="s">
        <v>95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27662145" ref="H8"/>
  </hyperlinks>
  <drawing r:id="rId8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0.25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2">
        <v>11.0</v>
      </c>
      <c r="C2" s="71">
        <v>76.484</v>
      </c>
      <c r="D2" s="127">
        <v>100.0</v>
      </c>
      <c r="E2" s="136">
        <f t="shared" ref="E2:E7" si="1">C2/D2</f>
        <v>0.76484</v>
      </c>
      <c r="F2" s="33">
        <v>1.0</v>
      </c>
      <c r="G2" s="165">
        <v>34.5</v>
      </c>
      <c r="H2" s="146" t="s">
        <v>708</v>
      </c>
    </row>
    <row r="3">
      <c r="A3" s="14" t="s">
        <v>86</v>
      </c>
      <c r="B3" s="162">
        <v>7.0</v>
      </c>
      <c r="C3" s="112">
        <v>45.995</v>
      </c>
      <c r="D3" s="128">
        <v>75.0</v>
      </c>
      <c r="E3" s="136">
        <f t="shared" si="1"/>
        <v>0.6132666667</v>
      </c>
      <c r="F3" s="138">
        <v>1.0</v>
      </c>
      <c r="G3" s="166">
        <v>30.5</v>
      </c>
      <c r="H3" s="147" t="s">
        <v>709</v>
      </c>
    </row>
    <row r="4">
      <c r="A4" s="14" t="s">
        <v>88</v>
      </c>
      <c r="B4" s="162">
        <v>13.0</v>
      </c>
      <c r="C4" s="112">
        <v>68.645</v>
      </c>
      <c r="D4" s="128">
        <v>100.0</v>
      </c>
      <c r="E4" s="136">
        <f t="shared" si="1"/>
        <v>0.68645</v>
      </c>
      <c r="F4" s="138">
        <v>0.0</v>
      </c>
      <c r="G4" s="164">
        <v>43.35</v>
      </c>
      <c r="H4" s="147" t="s">
        <v>710</v>
      </c>
    </row>
    <row r="5">
      <c r="A5" s="14" t="s">
        <v>90</v>
      </c>
      <c r="B5" s="162">
        <v>4.0</v>
      </c>
      <c r="C5" s="112">
        <v>33.11</v>
      </c>
      <c r="D5" s="128">
        <v>75.0</v>
      </c>
      <c r="E5" s="136">
        <f t="shared" si="1"/>
        <v>0.4414666667</v>
      </c>
      <c r="F5" s="141">
        <v>0.0</v>
      </c>
      <c r="G5" s="164">
        <v>18.88</v>
      </c>
      <c r="H5" s="148" t="s">
        <v>711</v>
      </c>
    </row>
    <row r="6">
      <c r="A6" s="14" t="s">
        <v>91</v>
      </c>
      <c r="B6" s="162">
        <v>15.0</v>
      </c>
      <c r="C6" s="112">
        <v>55.675</v>
      </c>
      <c r="D6" s="128">
        <v>80.0</v>
      </c>
      <c r="E6" s="136">
        <f t="shared" si="1"/>
        <v>0.6959375</v>
      </c>
      <c r="F6" s="141">
        <v>3.0</v>
      </c>
      <c r="G6" s="166">
        <v>41.43</v>
      </c>
      <c r="H6" s="148" t="s">
        <v>712</v>
      </c>
    </row>
    <row r="7">
      <c r="A7" s="14" t="s">
        <v>94</v>
      </c>
      <c r="B7" s="162">
        <v>5.0</v>
      </c>
      <c r="C7" s="115">
        <v>63.73</v>
      </c>
      <c r="D7" s="128">
        <v>80.0</v>
      </c>
      <c r="E7" s="136">
        <f t="shared" si="1"/>
        <v>0.796625</v>
      </c>
      <c r="F7" s="141">
        <v>2.0</v>
      </c>
      <c r="G7" s="166">
        <v>76.5</v>
      </c>
      <c r="H7" s="142" t="s">
        <v>713</v>
      </c>
    </row>
    <row r="8">
      <c r="C8" s="149"/>
      <c r="D8" s="106"/>
    </row>
    <row r="9">
      <c r="E9" s="86"/>
    </row>
    <row r="10">
      <c r="E10" s="86"/>
    </row>
    <row r="11">
      <c r="E11" s="86"/>
    </row>
    <row r="12">
      <c r="E12" s="86"/>
    </row>
    <row r="13">
      <c r="B13" s="52">
        <f t="shared" ref="B13:D13" si="2">SUM(B2:B7)</f>
        <v>55</v>
      </c>
      <c r="C13" s="52">
        <f t="shared" si="2"/>
        <v>343.639</v>
      </c>
      <c r="D13" s="52">
        <f t="shared" si="2"/>
        <v>510</v>
      </c>
      <c r="E13" s="86">
        <f>C13/D13</f>
        <v>0.6738019608</v>
      </c>
      <c r="F13" s="66">
        <f t="shared" ref="F13:G13" si="3">SUM(F2:F7)</f>
        <v>7</v>
      </c>
      <c r="G13" s="66">
        <f t="shared" si="3"/>
        <v>245.16</v>
      </c>
    </row>
    <row r="15">
      <c r="C15" s="94" t="s">
        <v>193</v>
      </c>
      <c r="D15" s="116" t="s">
        <v>194</v>
      </c>
      <c r="E15" s="116" t="s">
        <v>217</v>
      </c>
    </row>
    <row r="16">
      <c r="C16" s="111">
        <v>1.0</v>
      </c>
      <c r="D16" s="118" t="s">
        <v>88</v>
      </c>
      <c r="E16" s="118">
        <v>3.42</v>
      </c>
    </row>
    <row r="17">
      <c r="C17" s="110">
        <v>2.0</v>
      </c>
      <c r="D17" s="167" t="s">
        <v>108</v>
      </c>
      <c r="E17" s="130">
        <v>3.29</v>
      </c>
    </row>
    <row r="18">
      <c r="C18" s="110">
        <v>3.0</v>
      </c>
      <c r="D18" s="167" t="s">
        <v>94</v>
      </c>
      <c r="E18" s="130">
        <v>3.26</v>
      </c>
    </row>
    <row r="19">
      <c r="C19" s="111">
        <v>4.0</v>
      </c>
      <c r="D19" s="167" t="s">
        <v>85</v>
      </c>
      <c r="E19" s="168"/>
    </row>
    <row r="20">
      <c r="C20" s="111">
        <v>4.0</v>
      </c>
      <c r="D20" s="167" t="s">
        <v>91</v>
      </c>
      <c r="E20" s="118">
        <v>3.19</v>
      </c>
    </row>
    <row r="21">
      <c r="C21" s="111">
        <v>5.0</v>
      </c>
      <c r="D21" s="167" t="s">
        <v>104</v>
      </c>
      <c r="E21" s="117">
        <v>3.19</v>
      </c>
    </row>
    <row r="22">
      <c r="C22" s="111">
        <v>6.0</v>
      </c>
      <c r="D22" s="167" t="s">
        <v>90</v>
      </c>
      <c r="E22" s="118">
        <v>2.42</v>
      </c>
    </row>
    <row r="24">
      <c r="D24" s="55" t="s">
        <v>714</v>
      </c>
      <c r="E24" s="55" t="s">
        <v>94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</hyperlinks>
  <drawing r:id="rId7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0.25"/>
  </cols>
  <sheetData>
    <row r="1">
      <c r="A1" s="56"/>
      <c r="B1" s="135" t="s">
        <v>180</v>
      </c>
      <c r="C1" s="135" t="s">
        <v>181</v>
      </c>
      <c r="D1" s="135" t="s">
        <v>182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2">
        <v>6.0</v>
      </c>
      <c r="C2" s="72">
        <v>39.39</v>
      </c>
      <c r="D2" s="72">
        <v>100.0</v>
      </c>
      <c r="E2" s="136">
        <f t="shared" ref="E2:E7" si="1">C2/D2</f>
        <v>0.3939</v>
      </c>
      <c r="F2" s="33">
        <v>3.0</v>
      </c>
      <c r="G2" s="165">
        <v>29.0</v>
      </c>
      <c r="H2" s="146" t="s">
        <v>715</v>
      </c>
    </row>
    <row r="3">
      <c r="A3" s="14" t="s">
        <v>86</v>
      </c>
      <c r="B3" s="162">
        <v>8.0</v>
      </c>
      <c r="C3" s="162">
        <v>39.023</v>
      </c>
      <c r="D3" s="162">
        <v>75.0</v>
      </c>
      <c r="E3" s="136">
        <f t="shared" si="1"/>
        <v>0.5203066667</v>
      </c>
      <c r="F3" s="138">
        <v>1.0</v>
      </c>
      <c r="G3" s="166">
        <v>20.52</v>
      </c>
      <c r="H3" s="147" t="s">
        <v>716</v>
      </c>
    </row>
    <row r="4">
      <c r="A4" s="14" t="s">
        <v>88</v>
      </c>
      <c r="B4" s="162">
        <v>11.0</v>
      </c>
      <c r="C4" s="162">
        <v>67.96</v>
      </c>
      <c r="D4" s="162">
        <v>100.0</v>
      </c>
      <c r="E4" s="136">
        <f t="shared" si="1"/>
        <v>0.6796</v>
      </c>
      <c r="F4" s="138">
        <v>3.0</v>
      </c>
      <c r="G4" s="164">
        <v>55.92</v>
      </c>
      <c r="H4" s="147" t="s">
        <v>717</v>
      </c>
    </row>
    <row r="5">
      <c r="A5" s="14" t="s">
        <v>90</v>
      </c>
      <c r="B5" s="162">
        <v>12.0</v>
      </c>
      <c r="C5" s="162">
        <v>101.718</v>
      </c>
      <c r="D5" s="162">
        <v>75.0</v>
      </c>
      <c r="E5" s="136">
        <f t="shared" si="1"/>
        <v>1.35624</v>
      </c>
      <c r="F5" s="141">
        <v>1.0</v>
      </c>
      <c r="G5" s="164">
        <v>67.7</v>
      </c>
      <c r="H5" s="148" t="s">
        <v>718</v>
      </c>
    </row>
    <row r="6">
      <c r="A6" s="14" t="s">
        <v>91</v>
      </c>
      <c r="B6" s="162">
        <v>14.0</v>
      </c>
      <c r="C6" s="162">
        <v>66.414</v>
      </c>
      <c r="D6" s="162">
        <v>80.0</v>
      </c>
      <c r="E6" s="136">
        <f t="shared" si="1"/>
        <v>0.830175</v>
      </c>
      <c r="F6" s="141">
        <v>3.0</v>
      </c>
      <c r="G6" s="166">
        <v>49.97</v>
      </c>
      <c r="H6" s="148" t="s">
        <v>719</v>
      </c>
    </row>
    <row r="7">
      <c r="A7" s="14" t="s">
        <v>94</v>
      </c>
      <c r="B7" s="162">
        <v>5.0</v>
      </c>
      <c r="C7" s="162">
        <v>68.762</v>
      </c>
      <c r="D7" s="162">
        <v>80.0</v>
      </c>
      <c r="E7" s="136">
        <f t="shared" si="1"/>
        <v>0.859525</v>
      </c>
      <c r="F7" s="141">
        <v>4.0</v>
      </c>
      <c r="G7" s="166">
        <v>46.0</v>
      </c>
      <c r="H7" s="142" t="s">
        <v>720</v>
      </c>
    </row>
    <row r="10">
      <c r="A10" s="14" t="s">
        <v>89</v>
      </c>
      <c r="B10" s="162">
        <v>2.0</v>
      </c>
      <c r="C10" s="162">
        <v>59.4</v>
      </c>
      <c r="D10" s="162">
        <v>100.0</v>
      </c>
      <c r="E10" s="136">
        <f t="shared" ref="E10:E11" si="2">C10/D10</f>
        <v>0.594</v>
      </c>
      <c r="F10" s="141">
        <v>3.0</v>
      </c>
      <c r="G10" s="164">
        <v>47.17</v>
      </c>
      <c r="H10" s="148" t="s">
        <v>721</v>
      </c>
    </row>
    <row r="11">
      <c r="A11" s="14" t="s">
        <v>92</v>
      </c>
      <c r="B11" s="162">
        <v>1.0</v>
      </c>
      <c r="C11" s="162">
        <v>40.0</v>
      </c>
      <c r="D11" s="162">
        <v>80.0</v>
      </c>
      <c r="E11" s="136">
        <f t="shared" si="2"/>
        <v>0.5</v>
      </c>
      <c r="F11" s="141"/>
      <c r="G11" s="166">
        <v>30.0</v>
      </c>
      <c r="H11" s="169" t="s">
        <v>722</v>
      </c>
    </row>
    <row r="12">
      <c r="E12" s="86"/>
    </row>
    <row r="13">
      <c r="E13" s="86"/>
    </row>
    <row r="14">
      <c r="B14" s="52">
        <f t="shared" ref="B14:D14" si="3">SUM(B2:B11)</f>
        <v>59</v>
      </c>
      <c r="C14" s="52">
        <f t="shared" si="3"/>
        <v>482.667</v>
      </c>
      <c r="D14" s="52">
        <f t="shared" si="3"/>
        <v>690</v>
      </c>
      <c r="E14" s="86">
        <f>C14/D14</f>
        <v>0.6995173913</v>
      </c>
      <c r="F14" s="66">
        <f t="shared" ref="F14:G14" si="4">SUM(F2:F11)</f>
        <v>18</v>
      </c>
      <c r="G14" s="66">
        <f t="shared" si="4"/>
        <v>346.28</v>
      </c>
    </row>
    <row r="16">
      <c r="C16" s="94">
        <v>1.0</v>
      </c>
      <c r="D16" s="116" t="s">
        <v>90</v>
      </c>
      <c r="E16" s="116">
        <v>5.29</v>
      </c>
      <c r="F16" s="55" t="s">
        <v>723</v>
      </c>
    </row>
    <row r="17">
      <c r="C17" s="110">
        <v>2.0</v>
      </c>
      <c r="D17" s="130" t="s">
        <v>91</v>
      </c>
      <c r="E17" s="130">
        <v>3.69</v>
      </c>
    </row>
    <row r="18">
      <c r="C18" s="110">
        <v>3.0</v>
      </c>
      <c r="D18" s="130" t="s">
        <v>108</v>
      </c>
      <c r="E18" s="130">
        <v>3.13</v>
      </c>
    </row>
    <row r="19">
      <c r="C19" s="111">
        <v>4.0</v>
      </c>
      <c r="D19" s="130" t="s">
        <v>88</v>
      </c>
      <c r="E19" s="130">
        <v>2.84</v>
      </c>
    </row>
    <row r="20">
      <c r="C20" s="111">
        <v>5.0</v>
      </c>
      <c r="D20" s="118" t="s">
        <v>94</v>
      </c>
      <c r="E20" s="118">
        <v>2.75</v>
      </c>
    </row>
    <row r="21">
      <c r="C21" s="111">
        <v>6.0</v>
      </c>
      <c r="D21" s="117" t="s">
        <v>92</v>
      </c>
      <c r="E21" s="117">
        <v>2.26</v>
      </c>
    </row>
    <row r="22">
      <c r="C22" s="111">
        <v>7.0</v>
      </c>
      <c r="D22" s="118" t="s">
        <v>89</v>
      </c>
      <c r="E22" s="118">
        <v>2.03</v>
      </c>
    </row>
    <row r="23">
      <c r="C23" s="111">
        <v>8.0</v>
      </c>
      <c r="D23" s="118" t="s">
        <v>85</v>
      </c>
      <c r="E23" s="118">
        <v>1.91</v>
      </c>
    </row>
    <row r="25">
      <c r="D25" s="55" t="s">
        <v>723</v>
      </c>
      <c r="E25" s="55" t="s">
        <v>105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9628835" ref="H10"/>
    <hyperlink r:id="rId8" location="gid=609170198" ref="H11"/>
  </hyperlinks>
  <drawing r:id="rId9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1.75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10.0</v>
      </c>
      <c r="C2" s="71">
        <v>6.5</v>
      </c>
      <c r="D2" s="71">
        <v>18.0</v>
      </c>
      <c r="E2" s="136">
        <f t="shared" ref="E2:E7" si="1">C2/D2</f>
        <v>0.3611111111</v>
      </c>
      <c r="F2" s="33">
        <v>4.0</v>
      </c>
      <c r="G2" s="79">
        <v>53.67</v>
      </c>
      <c r="H2" s="146" t="s">
        <v>726</v>
      </c>
    </row>
    <row r="3">
      <c r="A3" s="14" t="s">
        <v>86</v>
      </c>
      <c r="B3" s="71">
        <v>10.0</v>
      </c>
      <c r="C3" s="71">
        <v>7.0</v>
      </c>
      <c r="D3" s="71">
        <v>13.5</v>
      </c>
      <c r="E3" s="136">
        <f t="shared" si="1"/>
        <v>0.5185185185</v>
      </c>
      <c r="F3" s="170">
        <v>0.0</v>
      </c>
      <c r="G3" s="171">
        <v>33.5</v>
      </c>
      <c r="H3" s="147" t="s">
        <v>727</v>
      </c>
    </row>
    <row r="4">
      <c r="A4" s="14" t="s">
        <v>88</v>
      </c>
      <c r="B4" s="71">
        <v>14.0</v>
      </c>
      <c r="C4" s="71">
        <v>11.5</v>
      </c>
      <c r="D4" s="71">
        <v>18.0</v>
      </c>
      <c r="E4" s="136">
        <f t="shared" si="1"/>
        <v>0.6388888889</v>
      </c>
      <c r="F4" s="170">
        <v>1.0</v>
      </c>
      <c r="G4" s="79">
        <v>51.72</v>
      </c>
      <c r="H4" s="147" t="s">
        <v>728</v>
      </c>
    </row>
    <row r="5">
      <c r="A5" s="14" t="s">
        <v>90</v>
      </c>
      <c r="B5" s="71">
        <v>8.0</v>
      </c>
      <c r="C5" s="71">
        <v>11.5</v>
      </c>
      <c r="D5" s="71">
        <v>14.4</v>
      </c>
      <c r="E5" s="136">
        <f t="shared" si="1"/>
        <v>0.7986111111</v>
      </c>
      <c r="F5" s="33">
        <v>1.0</v>
      </c>
      <c r="G5" s="79">
        <v>61.95</v>
      </c>
      <c r="H5" s="148" t="s">
        <v>729</v>
      </c>
    </row>
    <row r="6">
      <c r="A6" s="14" t="s">
        <v>91</v>
      </c>
      <c r="B6" s="71">
        <v>15.0</v>
      </c>
      <c r="C6" s="71">
        <v>10.0</v>
      </c>
      <c r="D6" s="71">
        <v>14.4</v>
      </c>
      <c r="E6" s="136">
        <f t="shared" si="1"/>
        <v>0.6944444444</v>
      </c>
      <c r="F6" s="33">
        <v>2.0</v>
      </c>
      <c r="G6" s="171">
        <v>42.8</v>
      </c>
      <c r="H6" s="148" t="s">
        <v>730</v>
      </c>
    </row>
    <row r="7">
      <c r="A7" s="14" t="s">
        <v>94</v>
      </c>
      <c r="B7" s="71">
        <v>6.0</v>
      </c>
      <c r="C7" s="71">
        <v>13.0</v>
      </c>
      <c r="D7" s="71">
        <v>14.4</v>
      </c>
      <c r="E7" s="136">
        <f t="shared" si="1"/>
        <v>0.9027777778</v>
      </c>
      <c r="F7" s="33">
        <v>1.0</v>
      </c>
      <c r="G7" s="171">
        <v>53.7</v>
      </c>
      <c r="H7" s="148" t="s">
        <v>731</v>
      </c>
    </row>
    <row r="8">
      <c r="A8" s="38"/>
      <c r="B8" s="38"/>
      <c r="C8" s="38"/>
      <c r="D8" s="38"/>
      <c r="E8" s="38"/>
      <c r="F8" s="38"/>
      <c r="G8" s="38"/>
    </row>
    <row r="9">
      <c r="A9" s="38"/>
      <c r="B9" s="38"/>
      <c r="C9" s="38"/>
      <c r="D9" s="38"/>
      <c r="E9" s="38"/>
      <c r="F9" s="38"/>
      <c r="G9" s="38"/>
    </row>
    <row r="10">
      <c r="A10" s="14" t="s">
        <v>89</v>
      </c>
      <c r="B10" s="71">
        <v>4.0</v>
      </c>
      <c r="C10" s="71">
        <v>2.0</v>
      </c>
      <c r="D10" s="71">
        <v>18.0</v>
      </c>
      <c r="E10" s="136">
        <f t="shared" ref="E10:E11" si="2">C10/D10</f>
        <v>0.1111111111</v>
      </c>
      <c r="F10" s="33">
        <v>2.0</v>
      </c>
      <c r="G10" s="79">
        <v>29.17</v>
      </c>
      <c r="H10" s="148" t="s">
        <v>732</v>
      </c>
    </row>
    <row r="11">
      <c r="A11" s="14" t="s">
        <v>92</v>
      </c>
      <c r="B11" s="71">
        <v>10.0</v>
      </c>
      <c r="C11" s="71">
        <v>9.0</v>
      </c>
      <c r="D11" s="71">
        <v>14.4</v>
      </c>
      <c r="E11" s="136">
        <f t="shared" si="2"/>
        <v>0.625</v>
      </c>
      <c r="F11" s="33">
        <v>0.0</v>
      </c>
      <c r="G11" s="171">
        <v>21.25</v>
      </c>
      <c r="H11" s="169" t="s">
        <v>733</v>
      </c>
    </row>
    <row r="15">
      <c r="B15" s="52">
        <f t="shared" ref="B15:D15" si="3">SUM(B2:B11)</f>
        <v>77</v>
      </c>
      <c r="C15" s="52">
        <f t="shared" si="3"/>
        <v>70.5</v>
      </c>
      <c r="D15" s="52">
        <f t="shared" si="3"/>
        <v>125.1</v>
      </c>
      <c r="E15" s="86">
        <f>C15/D15</f>
        <v>0.5635491607</v>
      </c>
      <c r="F15" s="66">
        <f t="shared" ref="F15:G15" si="4">SUM(F2:F11)</f>
        <v>11</v>
      </c>
      <c r="G15" s="66">
        <f t="shared" si="4"/>
        <v>347.76</v>
      </c>
    </row>
    <row r="17">
      <c r="C17" s="94" t="s">
        <v>193</v>
      </c>
      <c r="D17" s="116" t="s">
        <v>194</v>
      </c>
      <c r="E17" s="116" t="s">
        <v>217</v>
      </c>
    </row>
    <row r="18">
      <c r="C18" s="111">
        <v>1.0</v>
      </c>
      <c r="D18" s="118" t="s">
        <v>90</v>
      </c>
      <c r="E18" s="118">
        <v>4.33</v>
      </c>
    </row>
    <row r="19">
      <c r="A19" s="158"/>
      <c r="B19" s="106"/>
      <c r="C19" s="139">
        <v>2.0</v>
      </c>
      <c r="D19" s="130" t="s">
        <v>94</v>
      </c>
      <c r="E19" s="130">
        <v>3.59</v>
      </c>
    </row>
    <row r="20">
      <c r="A20" s="158"/>
      <c r="B20" s="106"/>
      <c r="C20" s="139">
        <v>3.0</v>
      </c>
      <c r="D20" s="130" t="s">
        <v>108</v>
      </c>
      <c r="E20" s="130">
        <v>3.59</v>
      </c>
    </row>
    <row r="21">
      <c r="A21" s="158"/>
      <c r="B21" s="106"/>
      <c r="C21" s="114">
        <v>4.0</v>
      </c>
      <c r="D21" s="130" t="s">
        <v>91</v>
      </c>
      <c r="E21" s="130">
        <v>3.58</v>
      </c>
    </row>
    <row r="22">
      <c r="A22" s="158"/>
      <c r="B22" s="106"/>
      <c r="C22" s="114">
        <v>5.0</v>
      </c>
      <c r="D22" s="118" t="s">
        <v>88</v>
      </c>
      <c r="E22" s="118">
        <v>3.25</v>
      </c>
    </row>
    <row r="23">
      <c r="A23" s="158"/>
      <c r="B23" s="106"/>
      <c r="C23" s="114">
        <v>6.0</v>
      </c>
      <c r="D23" s="118" t="s">
        <v>92</v>
      </c>
      <c r="E23" s="118">
        <v>2.69</v>
      </c>
    </row>
    <row r="24">
      <c r="A24" s="158"/>
      <c r="B24" s="106"/>
      <c r="C24" s="114">
        <v>7.0</v>
      </c>
      <c r="D24" s="118" t="s">
        <v>85</v>
      </c>
      <c r="E24" s="118">
        <v>2.15</v>
      </c>
    </row>
    <row r="25">
      <c r="A25" s="158"/>
      <c r="B25" s="106"/>
      <c r="C25" s="114">
        <v>8.0</v>
      </c>
      <c r="D25" s="118" t="s">
        <v>89</v>
      </c>
      <c r="E25" s="118">
        <v>1.53</v>
      </c>
    </row>
    <row r="26">
      <c r="A26" s="158"/>
      <c r="B26" s="106"/>
      <c r="C26" s="172"/>
    </row>
    <row r="27">
      <c r="D27" s="55" t="s">
        <v>99</v>
      </c>
      <c r="E27" s="55" t="s">
        <v>105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9628835" ref="H10"/>
    <hyperlink r:id="rId8" location="gid=609170198" ref="H11"/>
  </hyperlinks>
  <drawing r:id="rId9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1.38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2">
        <v>13.0</v>
      </c>
      <c r="C2" s="7">
        <v>12.5</v>
      </c>
      <c r="D2" s="72">
        <v>18.0</v>
      </c>
      <c r="E2" s="136">
        <f t="shared" ref="E2:E7" si="1">C2/D2</f>
        <v>0.6944444444</v>
      </c>
      <c r="F2" s="33">
        <v>1.0</v>
      </c>
      <c r="G2" s="79">
        <v>39.83</v>
      </c>
      <c r="H2" s="129" t="s">
        <v>734</v>
      </c>
    </row>
    <row r="3">
      <c r="A3" s="14" t="s">
        <v>86</v>
      </c>
      <c r="B3" s="72">
        <v>5.0</v>
      </c>
      <c r="C3" s="7">
        <v>3.0</v>
      </c>
      <c r="D3" s="72">
        <v>13.5</v>
      </c>
      <c r="E3" s="136">
        <f t="shared" si="1"/>
        <v>0.2222222222</v>
      </c>
      <c r="F3" s="138">
        <v>2.0</v>
      </c>
      <c r="G3" s="143">
        <v>7.75</v>
      </c>
      <c r="H3" s="107" t="s">
        <v>735</v>
      </c>
    </row>
    <row r="4">
      <c r="A4" s="14" t="s">
        <v>88</v>
      </c>
      <c r="B4" s="72">
        <v>10.0</v>
      </c>
      <c r="C4" s="7">
        <v>7.0</v>
      </c>
      <c r="D4" s="72">
        <v>10.0</v>
      </c>
      <c r="E4" s="136">
        <f t="shared" si="1"/>
        <v>0.7</v>
      </c>
      <c r="F4" s="173"/>
      <c r="G4" s="144">
        <v>32.55</v>
      </c>
      <c r="H4" s="129" t="s">
        <v>736</v>
      </c>
    </row>
    <row r="5">
      <c r="A5" s="14" t="s">
        <v>90</v>
      </c>
      <c r="B5" s="72">
        <v>14.0</v>
      </c>
      <c r="C5" s="7">
        <v>12.5</v>
      </c>
      <c r="D5" s="72">
        <v>13.5</v>
      </c>
      <c r="E5" s="136">
        <f t="shared" si="1"/>
        <v>0.9259259259</v>
      </c>
      <c r="F5" s="141">
        <v>1.0</v>
      </c>
      <c r="G5" s="144">
        <v>45.25</v>
      </c>
      <c r="H5" s="129" t="s">
        <v>737</v>
      </c>
    </row>
    <row r="6">
      <c r="A6" s="14" t="s">
        <v>91</v>
      </c>
      <c r="B6" s="72">
        <v>10.0</v>
      </c>
      <c r="C6" s="7">
        <v>5.0</v>
      </c>
      <c r="D6" s="72">
        <v>14.4</v>
      </c>
      <c r="E6" s="136">
        <f t="shared" si="1"/>
        <v>0.3472222222</v>
      </c>
      <c r="F6" s="141">
        <v>2.0</v>
      </c>
      <c r="G6" s="143">
        <v>28.15</v>
      </c>
      <c r="H6" s="129" t="s">
        <v>738</v>
      </c>
    </row>
    <row r="7">
      <c r="A7" s="14" t="s">
        <v>94</v>
      </c>
      <c r="B7" s="72">
        <v>9.0</v>
      </c>
      <c r="C7" s="7">
        <v>13.0</v>
      </c>
      <c r="D7" s="72">
        <v>14.4</v>
      </c>
      <c r="E7" s="136">
        <f t="shared" si="1"/>
        <v>0.9027777778</v>
      </c>
      <c r="F7" s="141">
        <v>3.0</v>
      </c>
      <c r="G7" s="143">
        <v>30.43</v>
      </c>
      <c r="H7" s="129" t="s">
        <v>739</v>
      </c>
    </row>
    <row r="10">
      <c r="A10" s="14" t="s">
        <v>89</v>
      </c>
      <c r="B10" s="72">
        <v>6.0</v>
      </c>
      <c r="C10" s="7">
        <v>5.0</v>
      </c>
      <c r="D10" s="72">
        <v>18.0</v>
      </c>
      <c r="E10" s="136">
        <f t="shared" ref="E10:E11" si="2">C10/D10</f>
        <v>0.2777777778</v>
      </c>
      <c r="F10" s="141">
        <v>2.0</v>
      </c>
      <c r="G10" s="144">
        <v>32.5</v>
      </c>
      <c r="H10" s="107" t="s">
        <v>740</v>
      </c>
    </row>
    <row r="11">
      <c r="A11" s="14" t="s">
        <v>92</v>
      </c>
      <c r="B11" s="72">
        <v>7.0</v>
      </c>
      <c r="C11" s="7">
        <v>6.0</v>
      </c>
      <c r="D11" s="72">
        <v>9.6</v>
      </c>
      <c r="E11" s="136">
        <f t="shared" si="2"/>
        <v>0.625</v>
      </c>
      <c r="F11" s="141">
        <v>3.0</v>
      </c>
      <c r="G11" s="143">
        <v>20.48</v>
      </c>
      <c r="H11" s="129" t="s">
        <v>741</v>
      </c>
    </row>
    <row r="12">
      <c r="E12" s="86"/>
    </row>
    <row r="13">
      <c r="E13" s="86"/>
    </row>
    <row r="14">
      <c r="E14" s="86"/>
    </row>
    <row r="15">
      <c r="E15" s="86"/>
    </row>
    <row r="16">
      <c r="B16" s="52">
        <f t="shared" ref="B16:D16" si="3">SUM(B2:B11)</f>
        <v>74</v>
      </c>
      <c r="C16" s="66">
        <f t="shared" si="3"/>
        <v>64</v>
      </c>
      <c r="D16" s="52">
        <f t="shared" si="3"/>
        <v>111.4</v>
      </c>
      <c r="E16" s="86">
        <f>C16/D16</f>
        <v>0.5745062837</v>
      </c>
      <c r="F16" s="66">
        <f t="shared" ref="F16:G16" si="4">SUM(F2:F11)</f>
        <v>14</v>
      </c>
      <c r="G16" s="66">
        <f t="shared" si="4"/>
        <v>236.94</v>
      </c>
    </row>
    <row r="18">
      <c r="C18" s="94" t="s">
        <v>193</v>
      </c>
      <c r="D18" s="116" t="s">
        <v>194</v>
      </c>
      <c r="E18" s="116" t="s">
        <v>217</v>
      </c>
    </row>
    <row r="19">
      <c r="C19" s="111">
        <v>1.0</v>
      </c>
      <c r="D19" s="118" t="s">
        <v>105</v>
      </c>
      <c r="E19" s="118">
        <v>4.57</v>
      </c>
      <c r="F19" s="55" t="s">
        <v>742</v>
      </c>
    </row>
    <row r="20">
      <c r="C20" s="110">
        <v>2.0</v>
      </c>
      <c r="D20" s="130" t="s">
        <v>140</v>
      </c>
      <c r="E20" s="130">
        <v>3.78</v>
      </c>
    </row>
    <row r="21">
      <c r="C21" s="110">
        <v>3.0</v>
      </c>
      <c r="D21" s="130" t="s">
        <v>104</v>
      </c>
      <c r="E21" s="130">
        <v>3.64</v>
      </c>
      <c r="F21" s="55" t="s">
        <v>723</v>
      </c>
    </row>
    <row r="22">
      <c r="C22" s="111">
        <v>4.0</v>
      </c>
      <c r="D22" s="118" t="s">
        <v>131</v>
      </c>
      <c r="E22" s="118">
        <v>3.21</v>
      </c>
    </row>
    <row r="23">
      <c r="C23" s="111">
        <v>5.0</v>
      </c>
      <c r="D23" s="118" t="s">
        <v>113</v>
      </c>
      <c r="E23" s="118">
        <v>2.87</v>
      </c>
    </row>
    <row r="24">
      <c r="C24" s="111">
        <v>6.0</v>
      </c>
      <c r="D24" s="118" t="s">
        <v>130</v>
      </c>
      <c r="E24" s="118">
        <v>2.26</v>
      </c>
    </row>
    <row r="25">
      <c r="C25" s="111">
        <v>7.0</v>
      </c>
      <c r="D25" s="118" t="s">
        <v>139</v>
      </c>
      <c r="E25" s="118">
        <v>2.22</v>
      </c>
    </row>
    <row r="26">
      <c r="C26" s="111">
        <v>8.0</v>
      </c>
      <c r="D26" s="118" t="s">
        <v>103</v>
      </c>
      <c r="E26" s="118">
        <v>2.09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9628835" ref="H10"/>
    <hyperlink r:id="rId8" location="gid=609170198" ref="H11"/>
  </hyperlinks>
  <drawing r:id="rId9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0.25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183</v>
      </c>
      <c r="G1" s="135" t="s">
        <v>184</v>
      </c>
      <c r="H1" s="7" t="s">
        <v>185</v>
      </c>
    </row>
    <row r="2">
      <c r="A2" s="14" t="s">
        <v>85</v>
      </c>
      <c r="B2" s="71">
        <v>5.0</v>
      </c>
      <c r="C2" s="71">
        <v>11.0</v>
      </c>
      <c r="D2" s="71">
        <v>16.0</v>
      </c>
      <c r="E2" s="136">
        <f t="shared" ref="E2:E7" si="1">C2/D2</f>
        <v>0.6875</v>
      </c>
      <c r="F2" s="33">
        <v>3.0</v>
      </c>
      <c r="G2" s="79">
        <v>36.67</v>
      </c>
      <c r="H2" s="129" t="s">
        <v>743</v>
      </c>
    </row>
    <row r="3">
      <c r="A3" s="14" t="s">
        <v>86</v>
      </c>
      <c r="B3" s="112">
        <v>8.0</v>
      </c>
      <c r="C3" s="112">
        <v>5.5</v>
      </c>
      <c r="D3" s="112">
        <v>12.0</v>
      </c>
      <c r="E3" s="136">
        <f t="shared" si="1"/>
        <v>0.4583333333</v>
      </c>
      <c r="F3" s="173"/>
      <c r="G3" s="143">
        <v>26.5</v>
      </c>
      <c r="H3" s="129" t="s">
        <v>744</v>
      </c>
    </row>
    <row r="4">
      <c r="A4" s="14" t="s">
        <v>88</v>
      </c>
      <c r="B4" s="112">
        <v>9.0</v>
      </c>
      <c r="C4" s="112">
        <v>6.5</v>
      </c>
      <c r="D4" s="112">
        <v>16.0</v>
      </c>
      <c r="E4" s="136">
        <f t="shared" si="1"/>
        <v>0.40625</v>
      </c>
      <c r="F4" s="138">
        <v>1.0</v>
      </c>
      <c r="G4" s="144">
        <v>48.55</v>
      </c>
      <c r="H4" s="129" t="s">
        <v>745</v>
      </c>
    </row>
    <row r="5">
      <c r="A5" s="14" t="s">
        <v>90</v>
      </c>
      <c r="B5" s="112">
        <v>8.0</v>
      </c>
      <c r="C5" s="112">
        <v>4.0</v>
      </c>
      <c r="D5" s="112">
        <v>10.5</v>
      </c>
      <c r="E5" s="136">
        <f t="shared" si="1"/>
        <v>0.380952381</v>
      </c>
      <c r="F5" s="154"/>
      <c r="G5" s="144">
        <v>22.3</v>
      </c>
      <c r="H5" s="129" t="s">
        <v>746</v>
      </c>
    </row>
    <row r="6">
      <c r="A6" s="14" t="s">
        <v>91</v>
      </c>
      <c r="B6" s="112">
        <v>7.0</v>
      </c>
      <c r="C6" s="112">
        <v>5.0</v>
      </c>
      <c r="D6" s="112">
        <v>12.8</v>
      </c>
      <c r="E6" s="136">
        <f t="shared" si="1"/>
        <v>0.390625</v>
      </c>
      <c r="F6" s="154"/>
      <c r="G6" s="143">
        <v>48.2</v>
      </c>
      <c r="H6" s="129" t="s">
        <v>747</v>
      </c>
    </row>
    <row r="7">
      <c r="A7" s="14" t="s">
        <v>94</v>
      </c>
      <c r="B7" s="112">
        <v>4.0</v>
      </c>
      <c r="C7" s="112">
        <v>10.0</v>
      </c>
      <c r="D7" s="112">
        <v>11.2</v>
      </c>
      <c r="E7" s="136">
        <f t="shared" si="1"/>
        <v>0.8928571429</v>
      </c>
      <c r="F7" s="141">
        <v>1.0</v>
      </c>
      <c r="G7" s="143">
        <v>45.15</v>
      </c>
      <c r="H7" s="129" t="s">
        <v>748</v>
      </c>
    </row>
    <row r="10">
      <c r="A10" s="14" t="s">
        <v>89</v>
      </c>
      <c r="B10" s="112">
        <v>4.0</v>
      </c>
      <c r="C10" s="112">
        <v>6.0</v>
      </c>
      <c r="D10" s="112">
        <v>16.0</v>
      </c>
      <c r="E10" s="136">
        <f t="shared" ref="E10:E11" si="2">C10/D10</f>
        <v>0.375</v>
      </c>
      <c r="F10" s="141">
        <v>1.0</v>
      </c>
      <c r="G10" s="144">
        <v>40.5</v>
      </c>
      <c r="H10" s="129" t="s">
        <v>749</v>
      </c>
    </row>
    <row r="11">
      <c r="A11" s="14" t="s">
        <v>92</v>
      </c>
      <c r="B11" s="112">
        <v>5.0</v>
      </c>
      <c r="C11" s="112">
        <v>5.5</v>
      </c>
      <c r="D11" s="112">
        <v>12.8</v>
      </c>
      <c r="E11" s="136">
        <f t="shared" si="2"/>
        <v>0.4296875</v>
      </c>
      <c r="F11" s="141">
        <v>2.0</v>
      </c>
      <c r="G11" s="143">
        <v>23.42</v>
      </c>
      <c r="H11" s="129" t="s">
        <v>750</v>
      </c>
    </row>
    <row r="15">
      <c r="B15" s="52">
        <f t="shared" ref="B15:D15" si="3">SUM(B2:B11)</f>
        <v>50</v>
      </c>
      <c r="C15" s="52">
        <f t="shared" si="3"/>
        <v>53.5</v>
      </c>
      <c r="D15" s="52">
        <f t="shared" si="3"/>
        <v>107.3</v>
      </c>
      <c r="E15" s="86">
        <f>C15/D15</f>
        <v>0.4986020503</v>
      </c>
      <c r="F15" s="55">
        <v>8.0</v>
      </c>
      <c r="G15" s="66">
        <f>SUM(G2:G11)</f>
        <v>291.29</v>
      </c>
    </row>
    <row r="17">
      <c r="D17" s="94">
        <v>1.0</v>
      </c>
      <c r="E17" s="116" t="s">
        <v>94</v>
      </c>
      <c r="F17" s="116">
        <v>3.52</v>
      </c>
      <c r="G17" s="55" t="s">
        <v>751</v>
      </c>
    </row>
    <row r="18">
      <c r="D18" s="110">
        <v>2.0</v>
      </c>
      <c r="E18" s="130" t="s">
        <v>90</v>
      </c>
      <c r="F18" s="130">
        <v>3.08</v>
      </c>
      <c r="G18" s="55" t="s">
        <v>99</v>
      </c>
    </row>
    <row r="19">
      <c r="D19" s="110">
        <v>3.0</v>
      </c>
      <c r="E19" s="130" t="s">
        <v>108</v>
      </c>
      <c r="F19" s="130">
        <v>3.03</v>
      </c>
    </row>
    <row r="20">
      <c r="D20" s="111">
        <v>4.0</v>
      </c>
      <c r="E20" s="118" t="s">
        <v>88</v>
      </c>
      <c r="F20" s="118">
        <v>2.38</v>
      </c>
    </row>
    <row r="21">
      <c r="D21" s="111">
        <v>5.0</v>
      </c>
      <c r="E21" s="118" t="s">
        <v>85</v>
      </c>
      <c r="F21" s="118">
        <v>2.34</v>
      </c>
    </row>
    <row r="22">
      <c r="D22" s="111">
        <v>6.0</v>
      </c>
      <c r="E22" s="118" t="s">
        <v>91</v>
      </c>
      <c r="F22" s="118">
        <v>2.34</v>
      </c>
    </row>
    <row r="23">
      <c r="D23" s="111">
        <v>7.0</v>
      </c>
      <c r="E23" s="118" t="s">
        <v>92</v>
      </c>
      <c r="F23" s="118">
        <v>2.24</v>
      </c>
    </row>
    <row r="24">
      <c r="D24" s="111">
        <v>8.0</v>
      </c>
      <c r="E24" s="118" t="s">
        <v>89</v>
      </c>
      <c r="F24" s="118">
        <v>2.12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9628835" ref="H10"/>
    <hyperlink r:id="rId8" location="gid=609170198" ref="H11"/>
  </hyperlinks>
  <drawing r:id="rId9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75"/>
    <col customWidth="1" min="8" max="8" width="88.0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183</v>
      </c>
      <c r="G1" s="135" t="s">
        <v>184</v>
      </c>
      <c r="H1" s="69" t="s">
        <v>185</v>
      </c>
    </row>
    <row r="2">
      <c r="A2" s="14" t="s">
        <v>85</v>
      </c>
      <c r="B2" s="71">
        <v>2.0</v>
      </c>
      <c r="C2" s="71">
        <v>5.0</v>
      </c>
      <c r="D2" s="71">
        <v>20.0</v>
      </c>
      <c r="E2" s="136">
        <f t="shared" ref="E2:E7" si="1">C2/D2</f>
        <v>0.25</v>
      </c>
      <c r="F2" s="33">
        <v>1.0</v>
      </c>
      <c r="G2" s="79">
        <v>20.0</v>
      </c>
      <c r="H2" s="129" t="s">
        <v>752</v>
      </c>
    </row>
    <row r="3">
      <c r="A3" s="14" t="s">
        <v>86</v>
      </c>
      <c r="B3" s="112">
        <v>11.0</v>
      </c>
      <c r="C3" s="112">
        <v>15.0</v>
      </c>
      <c r="D3" s="112">
        <v>15.0</v>
      </c>
      <c r="E3" s="136">
        <f t="shared" si="1"/>
        <v>1</v>
      </c>
      <c r="F3" s="173"/>
      <c r="G3" s="143">
        <v>52.5</v>
      </c>
      <c r="H3" s="107" t="s">
        <v>753</v>
      </c>
    </row>
    <row r="4">
      <c r="A4" s="14" t="s">
        <v>88</v>
      </c>
      <c r="B4" s="71">
        <v>17.0</v>
      </c>
      <c r="C4" s="71">
        <v>12.5</v>
      </c>
      <c r="D4" s="71">
        <v>20.0</v>
      </c>
      <c r="E4" s="136">
        <f t="shared" si="1"/>
        <v>0.625</v>
      </c>
      <c r="F4" s="170">
        <v>3.0</v>
      </c>
      <c r="G4" s="79">
        <v>58.35</v>
      </c>
      <c r="H4" s="107" t="s">
        <v>754</v>
      </c>
    </row>
    <row r="5">
      <c r="A5" s="14" t="s">
        <v>90</v>
      </c>
      <c r="B5" s="71">
        <v>5.0</v>
      </c>
      <c r="C5" s="71">
        <v>5.5</v>
      </c>
      <c r="D5" s="71">
        <v>7.5</v>
      </c>
      <c r="E5" s="136">
        <f t="shared" si="1"/>
        <v>0.7333333333</v>
      </c>
      <c r="F5" s="151"/>
      <c r="G5" s="79">
        <v>31.22</v>
      </c>
      <c r="H5" s="107" t="s">
        <v>755</v>
      </c>
    </row>
    <row r="6">
      <c r="A6" s="14" t="s">
        <v>91</v>
      </c>
      <c r="B6" s="71">
        <v>7.0</v>
      </c>
      <c r="C6" s="71">
        <v>4.0</v>
      </c>
      <c r="D6" s="72">
        <v>16.0</v>
      </c>
      <c r="E6" s="136">
        <f t="shared" si="1"/>
        <v>0.25</v>
      </c>
      <c r="F6" s="33">
        <v>2.0</v>
      </c>
      <c r="G6" s="171">
        <v>39.48</v>
      </c>
      <c r="H6" s="107" t="s">
        <v>756</v>
      </c>
    </row>
    <row r="7">
      <c r="A7" s="14" t="s">
        <v>94</v>
      </c>
      <c r="B7" s="71">
        <v>12.0</v>
      </c>
      <c r="C7" s="71">
        <v>11.5</v>
      </c>
      <c r="D7" s="71">
        <v>16.0</v>
      </c>
      <c r="E7" s="136">
        <f t="shared" si="1"/>
        <v>0.71875</v>
      </c>
      <c r="F7" s="33">
        <v>2.0</v>
      </c>
      <c r="G7" s="171">
        <v>34.03</v>
      </c>
      <c r="H7" s="107" t="s">
        <v>757</v>
      </c>
    </row>
    <row r="8">
      <c r="A8" s="38"/>
      <c r="B8" s="38"/>
      <c r="C8" s="38"/>
      <c r="D8" s="38"/>
      <c r="E8" s="38"/>
      <c r="F8" s="38"/>
      <c r="G8" s="38"/>
    </row>
    <row r="10">
      <c r="A10" s="14" t="s">
        <v>89</v>
      </c>
      <c r="B10" s="71">
        <v>8.0</v>
      </c>
      <c r="C10" s="71">
        <v>8.5</v>
      </c>
      <c r="D10" s="71">
        <v>20.0</v>
      </c>
      <c r="E10" s="136">
        <f t="shared" ref="E10:E11" si="2">C10/D10</f>
        <v>0.425</v>
      </c>
      <c r="F10" s="33">
        <v>1.0</v>
      </c>
      <c r="G10" s="79">
        <v>74.18</v>
      </c>
      <c r="H10" s="107" t="s">
        <v>758</v>
      </c>
    </row>
    <row r="11">
      <c r="A11" s="14" t="s">
        <v>92</v>
      </c>
      <c r="B11" s="112">
        <v>13.0</v>
      </c>
      <c r="C11" s="112">
        <v>10.5</v>
      </c>
      <c r="D11" s="162">
        <v>12.8</v>
      </c>
      <c r="E11" s="136">
        <f t="shared" si="2"/>
        <v>0.8203125</v>
      </c>
      <c r="F11" s="141">
        <v>2.0</v>
      </c>
      <c r="G11" s="143">
        <v>42.92</v>
      </c>
      <c r="H11" s="107" t="s">
        <v>759</v>
      </c>
    </row>
    <row r="12">
      <c r="E12" s="86"/>
      <c r="F12" s="55"/>
    </row>
    <row r="13">
      <c r="E13" s="86"/>
      <c r="F13" s="55"/>
    </row>
    <row r="14">
      <c r="B14" s="52">
        <f t="shared" ref="B14:D14" si="3">SUM(B2:B11)</f>
        <v>75</v>
      </c>
      <c r="C14" s="52">
        <f t="shared" si="3"/>
        <v>72.5</v>
      </c>
      <c r="D14" s="52">
        <f t="shared" si="3"/>
        <v>127.3</v>
      </c>
      <c r="E14" s="86">
        <f>C14/D14</f>
        <v>0.569520817</v>
      </c>
      <c r="F14" s="55">
        <v>11.0</v>
      </c>
      <c r="G14" s="66">
        <f>SUM(G2:G11)</f>
        <v>352.68</v>
      </c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9628835" ref="H10"/>
    <hyperlink r:id="rId8" location="gid=609170198" ref="H11"/>
  </hyperlinks>
  <drawing r:id="rId9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8.0"/>
    <col customWidth="1" min="4" max="4" width="8.63"/>
    <col customWidth="1" min="5" max="5" width="14.25"/>
    <col customWidth="1" min="6" max="6" width="28.75"/>
    <col customWidth="1" min="7" max="7" width="9.0"/>
    <col customWidth="1" min="8" max="8" width="87.75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183</v>
      </c>
      <c r="G1" s="135" t="s">
        <v>184</v>
      </c>
      <c r="H1" s="69" t="s">
        <v>185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14" t="s">
        <v>85</v>
      </c>
      <c r="B2" s="71">
        <v>5.0</v>
      </c>
      <c r="C2" s="71">
        <v>9.5</v>
      </c>
      <c r="D2" s="71">
        <v>20.0</v>
      </c>
      <c r="E2" s="136">
        <f t="shared" ref="E2:E6" si="1">C2/D2</f>
        <v>0.475</v>
      </c>
      <c r="F2" s="174"/>
      <c r="G2" s="79">
        <v>30.67</v>
      </c>
      <c r="H2" s="107" t="s">
        <v>760</v>
      </c>
    </row>
    <row r="3">
      <c r="A3" s="14" t="s">
        <v>86</v>
      </c>
      <c r="B3" s="112">
        <v>8.0</v>
      </c>
      <c r="C3" s="112">
        <v>8.5</v>
      </c>
      <c r="D3" s="112">
        <v>15.0</v>
      </c>
      <c r="E3" s="136">
        <f t="shared" si="1"/>
        <v>0.5666666667</v>
      </c>
      <c r="F3" s="173"/>
      <c r="G3" s="143">
        <v>36.0</v>
      </c>
      <c r="H3" s="107" t="s">
        <v>761</v>
      </c>
    </row>
    <row r="4">
      <c r="A4" s="14" t="s">
        <v>88</v>
      </c>
      <c r="B4" s="112">
        <v>6.0</v>
      </c>
      <c r="C4" s="112">
        <v>14.0</v>
      </c>
      <c r="D4" s="112">
        <v>20.0</v>
      </c>
      <c r="E4" s="136">
        <f t="shared" si="1"/>
        <v>0.7</v>
      </c>
      <c r="F4" s="138">
        <v>1.0</v>
      </c>
      <c r="G4" s="144">
        <v>65.22</v>
      </c>
      <c r="H4" s="129" t="s">
        <v>762</v>
      </c>
    </row>
    <row r="5">
      <c r="A5" s="14" t="s">
        <v>90</v>
      </c>
      <c r="B5" s="112">
        <v>6.0</v>
      </c>
      <c r="C5" s="112">
        <v>15.5</v>
      </c>
      <c r="D5" s="112">
        <v>7.5</v>
      </c>
      <c r="E5" s="136">
        <f t="shared" si="1"/>
        <v>2.066666667</v>
      </c>
      <c r="F5" s="175"/>
      <c r="G5" s="144">
        <v>102.45</v>
      </c>
      <c r="H5" s="107" t="s">
        <v>763</v>
      </c>
    </row>
    <row r="6">
      <c r="A6" s="14" t="s">
        <v>91</v>
      </c>
      <c r="B6" s="112">
        <v>5.0</v>
      </c>
      <c r="C6" s="112">
        <v>15.0</v>
      </c>
      <c r="D6" s="112">
        <v>12.0</v>
      </c>
      <c r="E6" s="136">
        <f t="shared" si="1"/>
        <v>1.25</v>
      </c>
      <c r="F6" s="176">
        <v>3.0</v>
      </c>
      <c r="G6" s="143">
        <v>52.58</v>
      </c>
      <c r="H6" s="107" t="s">
        <v>764</v>
      </c>
    </row>
    <row r="9">
      <c r="A9" s="14" t="s">
        <v>94</v>
      </c>
      <c r="B9" s="112">
        <v>10.0</v>
      </c>
      <c r="C9" s="112">
        <v>11.5</v>
      </c>
      <c r="D9" s="112">
        <v>16.0</v>
      </c>
      <c r="E9" s="136">
        <f t="shared" ref="E9:E11" si="2">C9/D9</f>
        <v>0.71875</v>
      </c>
      <c r="F9" s="175"/>
      <c r="G9" s="143">
        <v>46.33</v>
      </c>
      <c r="H9" s="107" t="s">
        <v>765</v>
      </c>
    </row>
    <row r="10">
      <c r="A10" s="14" t="s">
        <v>89</v>
      </c>
      <c r="B10" s="112">
        <v>13.0</v>
      </c>
      <c r="C10" s="112">
        <v>11.5</v>
      </c>
      <c r="D10" s="112">
        <v>20.0</v>
      </c>
      <c r="E10" s="136">
        <f t="shared" si="2"/>
        <v>0.575</v>
      </c>
      <c r="F10" s="176">
        <v>2.0</v>
      </c>
      <c r="G10" s="144">
        <v>52.67</v>
      </c>
      <c r="H10" s="107" t="s">
        <v>766</v>
      </c>
    </row>
    <row r="11">
      <c r="A11" s="14" t="s">
        <v>92</v>
      </c>
      <c r="B11" s="112">
        <v>8.0</v>
      </c>
      <c r="C11" s="112">
        <v>13.5</v>
      </c>
      <c r="D11" s="112">
        <v>16.0</v>
      </c>
      <c r="E11" s="136">
        <f t="shared" si="2"/>
        <v>0.84375</v>
      </c>
      <c r="F11" s="176">
        <v>2.0</v>
      </c>
      <c r="G11" s="143">
        <v>82.02</v>
      </c>
      <c r="H11" s="107" t="s">
        <v>767</v>
      </c>
    </row>
    <row r="12">
      <c r="E12" s="86"/>
      <c r="F12" s="55"/>
    </row>
    <row r="13">
      <c r="E13" s="86"/>
      <c r="F13" s="55"/>
    </row>
    <row r="14">
      <c r="E14" s="86"/>
      <c r="F14" s="55"/>
    </row>
    <row r="15">
      <c r="E15" s="86"/>
      <c r="F15" s="55"/>
    </row>
    <row r="16">
      <c r="B16" s="52">
        <f t="shared" ref="B16:D16" si="3">SUM(B2:B11)</f>
        <v>61</v>
      </c>
      <c r="C16" s="52">
        <f t="shared" si="3"/>
        <v>99</v>
      </c>
      <c r="D16" s="52">
        <f t="shared" si="3"/>
        <v>126.5</v>
      </c>
      <c r="E16" s="86">
        <f>C16/D16</f>
        <v>0.7826086957</v>
      </c>
      <c r="F16" s="55">
        <v>8.0</v>
      </c>
      <c r="G16" s="66">
        <f>SUM(G2:G11)</f>
        <v>467.94</v>
      </c>
      <c r="H16" s="66">
        <f>SUM(H2:H9)</f>
        <v>0</v>
      </c>
    </row>
    <row r="17">
      <c r="G17" s="177"/>
    </row>
    <row r="18">
      <c r="F18" s="55" t="s">
        <v>768</v>
      </c>
      <c r="G18" s="157" t="s">
        <v>103</v>
      </c>
    </row>
    <row r="19">
      <c r="F19" s="55" t="s">
        <v>751</v>
      </c>
      <c r="G19" s="157" t="s">
        <v>105</v>
      </c>
    </row>
    <row r="20">
      <c r="G20" s="177"/>
    </row>
    <row r="21">
      <c r="G21" s="177"/>
    </row>
    <row r="22">
      <c r="G22" s="177"/>
    </row>
    <row r="23">
      <c r="G23" s="177"/>
    </row>
    <row r="24">
      <c r="G24" s="177"/>
    </row>
    <row r="25">
      <c r="G25" s="177"/>
    </row>
    <row r="26">
      <c r="G26" s="177"/>
    </row>
    <row r="27">
      <c r="G27" s="177"/>
    </row>
    <row r="28">
      <c r="G28" s="177"/>
    </row>
    <row r="29">
      <c r="G29" s="177"/>
    </row>
    <row r="30">
      <c r="G30" s="177"/>
    </row>
    <row r="31">
      <c r="G31" s="177"/>
    </row>
    <row r="32">
      <c r="G32" s="177"/>
    </row>
    <row r="33">
      <c r="G33" s="177"/>
    </row>
    <row r="34">
      <c r="G34" s="177"/>
    </row>
    <row r="35">
      <c r="G35" s="177"/>
    </row>
    <row r="36">
      <c r="G36" s="177"/>
    </row>
    <row r="37">
      <c r="G37" s="177"/>
    </row>
    <row r="38">
      <c r="G38" s="177"/>
    </row>
    <row r="39">
      <c r="G39" s="177"/>
    </row>
    <row r="40">
      <c r="G40" s="177"/>
    </row>
    <row r="41">
      <c r="G41" s="177"/>
    </row>
    <row r="42">
      <c r="G42" s="177"/>
    </row>
    <row r="43">
      <c r="G43" s="177"/>
    </row>
    <row r="44">
      <c r="G44" s="177"/>
    </row>
    <row r="45">
      <c r="G45" s="177"/>
    </row>
    <row r="46">
      <c r="G46" s="177"/>
    </row>
    <row r="47">
      <c r="G47" s="177"/>
    </row>
    <row r="48">
      <c r="G48" s="177"/>
    </row>
    <row r="49">
      <c r="G49" s="177"/>
    </row>
    <row r="50">
      <c r="G50" s="177"/>
    </row>
    <row r="51">
      <c r="G51" s="177"/>
    </row>
    <row r="52">
      <c r="G52" s="177"/>
    </row>
    <row r="53">
      <c r="G53" s="177"/>
    </row>
    <row r="54">
      <c r="G54" s="177"/>
    </row>
    <row r="55">
      <c r="G55" s="177"/>
    </row>
    <row r="56">
      <c r="G56" s="177"/>
    </row>
    <row r="57">
      <c r="G57" s="177"/>
    </row>
    <row r="58">
      <c r="G58" s="177"/>
    </row>
    <row r="59">
      <c r="G59" s="177"/>
    </row>
    <row r="60">
      <c r="G60" s="177"/>
    </row>
    <row r="61">
      <c r="G61" s="177"/>
    </row>
    <row r="62">
      <c r="G62" s="177"/>
    </row>
    <row r="63">
      <c r="G63" s="177"/>
    </row>
    <row r="64">
      <c r="G64" s="177"/>
    </row>
    <row r="65">
      <c r="G65" s="177"/>
    </row>
    <row r="66">
      <c r="G66" s="177"/>
    </row>
    <row r="67">
      <c r="G67" s="177"/>
    </row>
    <row r="68">
      <c r="G68" s="177"/>
    </row>
    <row r="69">
      <c r="G69" s="177"/>
    </row>
    <row r="70">
      <c r="G70" s="177"/>
    </row>
    <row r="71">
      <c r="G71" s="177"/>
    </row>
    <row r="72">
      <c r="G72" s="177"/>
    </row>
    <row r="73">
      <c r="G73" s="177"/>
    </row>
    <row r="74">
      <c r="G74" s="177"/>
    </row>
    <row r="75">
      <c r="G75" s="177"/>
    </row>
    <row r="76">
      <c r="G76" s="177"/>
    </row>
    <row r="77">
      <c r="G77" s="177"/>
    </row>
    <row r="78">
      <c r="G78" s="177"/>
    </row>
    <row r="79">
      <c r="G79" s="177"/>
    </row>
    <row r="80">
      <c r="G80" s="177"/>
    </row>
    <row r="81">
      <c r="G81" s="177"/>
    </row>
    <row r="82">
      <c r="G82" s="177"/>
    </row>
    <row r="83">
      <c r="G83" s="177"/>
    </row>
    <row r="84">
      <c r="G84" s="177"/>
    </row>
    <row r="85">
      <c r="G85" s="177"/>
    </row>
    <row r="86">
      <c r="G86" s="177"/>
    </row>
    <row r="87">
      <c r="G87" s="177"/>
    </row>
    <row r="88">
      <c r="G88" s="177"/>
    </row>
    <row r="89">
      <c r="G89" s="177"/>
    </row>
    <row r="90">
      <c r="G90" s="177"/>
    </row>
    <row r="91">
      <c r="G91" s="177"/>
    </row>
    <row r="92">
      <c r="G92" s="177"/>
    </row>
    <row r="93">
      <c r="G93" s="177"/>
    </row>
    <row r="94">
      <c r="G94" s="177"/>
    </row>
    <row r="95">
      <c r="G95" s="177"/>
    </row>
    <row r="96">
      <c r="G96" s="177"/>
    </row>
    <row r="97">
      <c r="G97" s="177"/>
    </row>
    <row r="98">
      <c r="G98" s="177"/>
    </row>
    <row r="99">
      <c r="G99" s="177"/>
    </row>
    <row r="100">
      <c r="G100" s="177"/>
    </row>
    <row r="101">
      <c r="G101" s="177"/>
    </row>
    <row r="102">
      <c r="G102" s="177"/>
    </row>
    <row r="103">
      <c r="G103" s="177"/>
    </row>
    <row r="104">
      <c r="G104" s="177"/>
    </row>
    <row r="105">
      <c r="G105" s="177"/>
    </row>
    <row r="106">
      <c r="G106" s="177"/>
    </row>
    <row r="107">
      <c r="G107" s="177"/>
    </row>
    <row r="108">
      <c r="G108" s="177"/>
    </row>
    <row r="109">
      <c r="G109" s="177"/>
    </row>
    <row r="110">
      <c r="G110" s="177"/>
    </row>
    <row r="111">
      <c r="G111" s="177"/>
    </row>
    <row r="112">
      <c r="G112" s="177"/>
    </row>
    <row r="113">
      <c r="G113" s="177"/>
    </row>
    <row r="114">
      <c r="G114" s="177"/>
    </row>
    <row r="115">
      <c r="G115" s="177"/>
    </row>
    <row r="116">
      <c r="G116" s="177"/>
    </row>
    <row r="117">
      <c r="G117" s="177"/>
    </row>
    <row r="118">
      <c r="G118" s="177"/>
    </row>
    <row r="119">
      <c r="G119" s="177"/>
    </row>
    <row r="120">
      <c r="G120" s="177"/>
    </row>
    <row r="121">
      <c r="G121" s="177"/>
    </row>
    <row r="122">
      <c r="G122" s="177"/>
    </row>
    <row r="123">
      <c r="G123" s="177"/>
    </row>
    <row r="124">
      <c r="G124" s="177"/>
    </row>
    <row r="125">
      <c r="G125" s="177"/>
    </row>
    <row r="126">
      <c r="G126" s="177"/>
    </row>
    <row r="127">
      <c r="G127" s="177"/>
    </row>
    <row r="128">
      <c r="G128" s="177"/>
    </row>
    <row r="129">
      <c r="G129" s="177"/>
    </row>
    <row r="130">
      <c r="G130" s="177"/>
    </row>
    <row r="131">
      <c r="G131" s="177"/>
    </row>
    <row r="132">
      <c r="G132" s="177"/>
    </row>
    <row r="133">
      <c r="G133" s="177"/>
    </row>
    <row r="134">
      <c r="G134" s="177"/>
    </row>
    <row r="135">
      <c r="G135" s="177"/>
    </row>
    <row r="136">
      <c r="G136" s="177"/>
    </row>
    <row r="137">
      <c r="G137" s="177"/>
    </row>
    <row r="138">
      <c r="G138" s="177"/>
    </row>
    <row r="139">
      <c r="G139" s="177"/>
    </row>
    <row r="140">
      <c r="G140" s="177"/>
    </row>
    <row r="141">
      <c r="G141" s="177"/>
    </row>
    <row r="142">
      <c r="G142" s="177"/>
    </row>
    <row r="143">
      <c r="G143" s="177"/>
    </row>
    <row r="144">
      <c r="G144" s="177"/>
    </row>
    <row r="145">
      <c r="G145" s="177"/>
    </row>
    <row r="146">
      <c r="G146" s="177"/>
    </row>
    <row r="147">
      <c r="G147" s="177"/>
    </row>
    <row r="148">
      <c r="G148" s="177"/>
    </row>
    <row r="149">
      <c r="G149" s="177"/>
    </row>
    <row r="150">
      <c r="G150" s="177"/>
    </row>
    <row r="151">
      <c r="G151" s="177"/>
    </row>
    <row r="152">
      <c r="G152" s="177"/>
    </row>
    <row r="153">
      <c r="G153" s="177"/>
    </row>
    <row r="154">
      <c r="G154" s="177"/>
    </row>
    <row r="155">
      <c r="G155" s="177"/>
    </row>
    <row r="156">
      <c r="G156" s="177"/>
    </row>
    <row r="157">
      <c r="G157" s="177"/>
    </row>
    <row r="158">
      <c r="G158" s="177"/>
    </row>
    <row r="159">
      <c r="G159" s="177"/>
    </row>
    <row r="160">
      <c r="G160" s="177"/>
    </row>
    <row r="161">
      <c r="G161" s="177"/>
    </row>
    <row r="162">
      <c r="G162" s="177"/>
    </row>
    <row r="163">
      <c r="G163" s="177"/>
    </row>
    <row r="164">
      <c r="G164" s="177"/>
    </row>
    <row r="165">
      <c r="G165" s="177"/>
    </row>
    <row r="166">
      <c r="G166" s="177"/>
    </row>
    <row r="167">
      <c r="G167" s="177"/>
    </row>
    <row r="168">
      <c r="G168" s="177"/>
    </row>
    <row r="169">
      <c r="G169" s="177"/>
    </row>
    <row r="170">
      <c r="G170" s="177"/>
    </row>
    <row r="171">
      <c r="G171" s="177"/>
    </row>
    <row r="172">
      <c r="G172" s="177"/>
    </row>
    <row r="173">
      <c r="G173" s="177"/>
    </row>
    <row r="174">
      <c r="G174" s="177"/>
    </row>
    <row r="175">
      <c r="G175" s="177"/>
    </row>
    <row r="176">
      <c r="G176" s="177"/>
    </row>
    <row r="177">
      <c r="G177" s="177"/>
    </row>
    <row r="178">
      <c r="G178" s="177"/>
    </row>
    <row r="179">
      <c r="G179" s="177"/>
    </row>
    <row r="180">
      <c r="G180" s="177"/>
    </row>
    <row r="181">
      <c r="G181" s="177"/>
    </row>
    <row r="182">
      <c r="G182" s="177"/>
    </row>
    <row r="183">
      <c r="G183" s="177"/>
    </row>
    <row r="184">
      <c r="G184" s="177"/>
    </row>
    <row r="185">
      <c r="G185" s="177"/>
    </row>
    <row r="186">
      <c r="G186" s="177"/>
    </row>
    <row r="187">
      <c r="G187" s="177"/>
    </row>
    <row r="188">
      <c r="G188" s="177"/>
    </row>
    <row r="189">
      <c r="G189" s="177"/>
    </row>
    <row r="190">
      <c r="G190" s="177"/>
    </row>
    <row r="191">
      <c r="G191" s="177"/>
    </row>
    <row r="192">
      <c r="G192" s="177"/>
    </row>
    <row r="193">
      <c r="G193" s="177"/>
    </row>
    <row r="194">
      <c r="G194" s="177"/>
    </row>
    <row r="195">
      <c r="G195" s="177"/>
    </row>
    <row r="196">
      <c r="G196" s="177"/>
    </row>
    <row r="197">
      <c r="G197" s="177"/>
    </row>
    <row r="198">
      <c r="G198" s="177"/>
    </row>
    <row r="199">
      <c r="G199" s="177"/>
    </row>
    <row r="200">
      <c r="G200" s="177"/>
    </row>
    <row r="201">
      <c r="G201" s="177"/>
    </row>
    <row r="202">
      <c r="G202" s="177"/>
    </row>
    <row r="203">
      <c r="G203" s="177"/>
    </row>
    <row r="204">
      <c r="G204" s="177"/>
    </row>
    <row r="205">
      <c r="G205" s="177"/>
    </row>
    <row r="206">
      <c r="G206" s="177"/>
    </row>
    <row r="207">
      <c r="G207" s="177"/>
    </row>
    <row r="208">
      <c r="G208" s="177"/>
    </row>
    <row r="209">
      <c r="G209" s="177"/>
    </row>
    <row r="210">
      <c r="G210" s="177"/>
    </row>
    <row r="211">
      <c r="G211" s="177"/>
    </row>
    <row r="212">
      <c r="G212" s="177"/>
    </row>
    <row r="213">
      <c r="G213" s="177"/>
    </row>
    <row r="214">
      <c r="G214" s="177"/>
    </row>
    <row r="215">
      <c r="G215" s="177"/>
    </row>
    <row r="216">
      <c r="G216" s="177"/>
    </row>
    <row r="217">
      <c r="G217" s="177"/>
    </row>
    <row r="218">
      <c r="G218" s="177"/>
    </row>
    <row r="219">
      <c r="G219" s="177"/>
    </row>
    <row r="220">
      <c r="G220" s="177"/>
    </row>
    <row r="221">
      <c r="G221" s="177"/>
    </row>
    <row r="222">
      <c r="G222" s="177"/>
    </row>
    <row r="223">
      <c r="G223" s="177"/>
    </row>
    <row r="224">
      <c r="G224" s="177"/>
    </row>
    <row r="225">
      <c r="G225" s="177"/>
    </row>
    <row r="226">
      <c r="G226" s="177"/>
    </row>
    <row r="227">
      <c r="G227" s="177"/>
    </row>
    <row r="228">
      <c r="G228" s="177"/>
    </row>
    <row r="229">
      <c r="G229" s="177"/>
    </row>
    <row r="230">
      <c r="G230" s="177"/>
    </row>
    <row r="231">
      <c r="G231" s="177"/>
    </row>
    <row r="232">
      <c r="G232" s="177"/>
    </row>
    <row r="233">
      <c r="G233" s="177"/>
    </row>
    <row r="234">
      <c r="G234" s="177"/>
    </row>
    <row r="235">
      <c r="G235" s="177"/>
    </row>
    <row r="236">
      <c r="G236" s="177"/>
    </row>
    <row r="237">
      <c r="G237" s="177"/>
    </row>
    <row r="238">
      <c r="G238" s="177"/>
    </row>
    <row r="239">
      <c r="G239" s="177"/>
    </row>
    <row r="240">
      <c r="G240" s="177"/>
    </row>
    <row r="241">
      <c r="G241" s="177"/>
    </row>
    <row r="242">
      <c r="G242" s="177"/>
    </row>
    <row r="243">
      <c r="G243" s="177"/>
    </row>
    <row r="244">
      <c r="G244" s="177"/>
    </row>
    <row r="245">
      <c r="G245" s="177"/>
    </row>
    <row r="246">
      <c r="G246" s="177"/>
    </row>
    <row r="247">
      <c r="G247" s="177"/>
    </row>
    <row r="248">
      <c r="G248" s="177"/>
    </row>
    <row r="249">
      <c r="G249" s="177"/>
    </row>
    <row r="250">
      <c r="G250" s="177"/>
    </row>
    <row r="251">
      <c r="G251" s="177"/>
    </row>
    <row r="252">
      <c r="G252" s="177"/>
    </row>
    <row r="253">
      <c r="G253" s="177"/>
    </row>
    <row r="254">
      <c r="G254" s="177"/>
    </row>
    <row r="255">
      <c r="G255" s="177"/>
    </row>
    <row r="256">
      <c r="G256" s="177"/>
    </row>
    <row r="257">
      <c r="G257" s="177"/>
    </row>
    <row r="258">
      <c r="G258" s="177"/>
    </row>
    <row r="259">
      <c r="G259" s="177"/>
    </row>
    <row r="260">
      <c r="G260" s="177"/>
    </row>
    <row r="261">
      <c r="G261" s="177"/>
    </row>
    <row r="262">
      <c r="G262" s="177"/>
    </row>
    <row r="263">
      <c r="G263" s="177"/>
    </row>
    <row r="264">
      <c r="G264" s="177"/>
    </row>
    <row r="265">
      <c r="G265" s="177"/>
    </row>
    <row r="266">
      <c r="G266" s="177"/>
    </row>
    <row r="267">
      <c r="G267" s="177"/>
    </row>
    <row r="268">
      <c r="G268" s="177"/>
    </row>
    <row r="269">
      <c r="G269" s="177"/>
    </row>
    <row r="270">
      <c r="G270" s="177"/>
    </row>
    <row r="271">
      <c r="G271" s="177"/>
    </row>
    <row r="272">
      <c r="G272" s="177"/>
    </row>
    <row r="273">
      <c r="G273" s="177"/>
    </row>
    <row r="274">
      <c r="G274" s="177"/>
    </row>
    <row r="275">
      <c r="G275" s="177"/>
    </row>
    <row r="276">
      <c r="G276" s="177"/>
    </row>
    <row r="277">
      <c r="G277" s="177"/>
    </row>
    <row r="278">
      <c r="G278" s="177"/>
    </row>
    <row r="279">
      <c r="G279" s="177"/>
    </row>
    <row r="280">
      <c r="G280" s="177"/>
    </row>
    <row r="281">
      <c r="G281" s="177"/>
    </row>
    <row r="282">
      <c r="G282" s="177"/>
    </row>
    <row r="283">
      <c r="G283" s="177"/>
    </row>
    <row r="284">
      <c r="G284" s="177"/>
    </row>
    <row r="285">
      <c r="G285" s="177"/>
    </row>
    <row r="286">
      <c r="G286" s="177"/>
    </row>
    <row r="287">
      <c r="G287" s="177"/>
    </row>
    <row r="288">
      <c r="G288" s="177"/>
    </row>
    <row r="289">
      <c r="G289" s="177"/>
    </row>
    <row r="290">
      <c r="G290" s="177"/>
    </row>
    <row r="291">
      <c r="G291" s="177"/>
    </row>
    <row r="292">
      <c r="G292" s="177"/>
    </row>
    <row r="293">
      <c r="G293" s="177"/>
    </row>
    <row r="294">
      <c r="G294" s="177"/>
    </row>
    <row r="295">
      <c r="G295" s="177"/>
    </row>
    <row r="296">
      <c r="G296" s="177"/>
    </row>
    <row r="297">
      <c r="G297" s="177"/>
    </row>
    <row r="298">
      <c r="G298" s="177"/>
    </row>
    <row r="299">
      <c r="G299" s="177"/>
    </row>
    <row r="300">
      <c r="G300" s="177"/>
    </row>
    <row r="301">
      <c r="G301" s="177"/>
    </row>
    <row r="302">
      <c r="G302" s="177"/>
    </row>
    <row r="303">
      <c r="G303" s="177"/>
    </row>
    <row r="304">
      <c r="G304" s="177"/>
    </row>
    <row r="305">
      <c r="G305" s="177"/>
    </row>
    <row r="306">
      <c r="G306" s="177"/>
    </row>
    <row r="307">
      <c r="G307" s="177"/>
    </row>
    <row r="308">
      <c r="G308" s="177"/>
    </row>
    <row r="309">
      <c r="G309" s="177"/>
    </row>
    <row r="310">
      <c r="G310" s="177"/>
    </row>
    <row r="311">
      <c r="G311" s="177"/>
    </row>
    <row r="312">
      <c r="G312" s="177"/>
    </row>
    <row r="313">
      <c r="G313" s="177"/>
    </row>
    <row r="314">
      <c r="G314" s="177"/>
    </row>
    <row r="315">
      <c r="G315" s="177"/>
    </row>
    <row r="316">
      <c r="G316" s="177"/>
    </row>
    <row r="317">
      <c r="G317" s="177"/>
    </row>
    <row r="318">
      <c r="G318" s="177"/>
    </row>
    <row r="319">
      <c r="G319" s="177"/>
    </row>
    <row r="320">
      <c r="G320" s="177"/>
    </row>
    <row r="321">
      <c r="G321" s="177"/>
    </row>
    <row r="322">
      <c r="G322" s="177"/>
    </row>
    <row r="323">
      <c r="G323" s="177"/>
    </row>
    <row r="324">
      <c r="G324" s="177"/>
    </row>
    <row r="325">
      <c r="G325" s="177"/>
    </row>
    <row r="326">
      <c r="G326" s="177"/>
    </row>
    <row r="327">
      <c r="G327" s="177"/>
    </row>
    <row r="328">
      <c r="G328" s="177"/>
    </row>
    <row r="329">
      <c r="G329" s="177"/>
    </row>
    <row r="330">
      <c r="G330" s="177"/>
    </row>
    <row r="331">
      <c r="G331" s="177"/>
    </row>
    <row r="332">
      <c r="G332" s="177"/>
    </row>
    <row r="333">
      <c r="G333" s="177"/>
    </row>
    <row r="334">
      <c r="G334" s="177"/>
    </row>
    <row r="335">
      <c r="G335" s="177"/>
    </row>
    <row r="336">
      <c r="G336" s="177"/>
    </row>
    <row r="337">
      <c r="G337" s="177"/>
    </row>
    <row r="338">
      <c r="G338" s="177"/>
    </row>
    <row r="339">
      <c r="G339" s="177"/>
    </row>
    <row r="340">
      <c r="G340" s="177"/>
    </row>
    <row r="341">
      <c r="G341" s="177"/>
    </row>
    <row r="342">
      <c r="G342" s="177"/>
    </row>
    <row r="343">
      <c r="G343" s="177"/>
    </row>
    <row r="344">
      <c r="G344" s="177"/>
    </row>
    <row r="345">
      <c r="G345" s="177"/>
    </row>
    <row r="346">
      <c r="G346" s="177"/>
    </row>
    <row r="347">
      <c r="G347" s="177"/>
    </row>
    <row r="348">
      <c r="G348" s="177"/>
    </row>
    <row r="349">
      <c r="G349" s="177"/>
    </row>
    <row r="350">
      <c r="G350" s="177"/>
    </row>
    <row r="351">
      <c r="G351" s="177"/>
    </row>
    <row r="352">
      <c r="G352" s="177"/>
    </row>
    <row r="353">
      <c r="G353" s="177"/>
    </row>
    <row r="354">
      <c r="G354" s="177"/>
    </row>
    <row r="355">
      <c r="G355" s="177"/>
    </row>
    <row r="356">
      <c r="G356" s="177"/>
    </row>
    <row r="357">
      <c r="G357" s="177"/>
    </row>
    <row r="358">
      <c r="G358" s="177"/>
    </row>
    <row r="359">
      <c r="G359" s="177"/>
    </row>
    <row r="360">
      <c r="G360" s="177"/>
    </row>
    <row r="361">
      <c r="G361" s="177"/>
    </row>
    <row r="362">
      <c r="G362" s="177"/>
    </row>
    <row r="363">
      <c r="G363" s="177"/>
    </row>
    <row r="364">
      <c r="G364" s="177"/>
    </row>
    <row r="365">
      <c r="G365" s="177"/>
    </row>
    <row r="366">
      <c r="G366" s="177"/>
    </row>
    <row r="367">
      <c r="G367" s="177"/>
    </row>
    <row r="368">
      <c r="G368" s="177"/>
    </row>
    <row r="369">
      <c r="G369" s="177"/>
    </row>
    <row r="370">
      <c r="G370" s="177"/>
    </row>
    <row r="371">
      <c r="G371" s="177"/>
    </row>
    <row r="372">
      <c r="G372" s="177"/>
    </row>
    <row r="373">
      <c r="G373" s="177"/>
    </row>
    <row r="374">
      <c r="G374" s="177"/>
    </row>
    <row r="375">
      <c r="G375" s="177"/>
    </row>
    <row r="376">
      <c r="G376" s="177"/>
    </row>
    <row r="377">
      <c r="G377" s="177"/>
    </row>
    <row r="378">
      <c r="G378" s="177"/>
    </row>
    <row r="379">
      <c r="G379" s="177"/>
    </row>
    <row r="380">
      <c r="G380" s="177"/>
    </row>
    <row r="381">
      <c r="G381" s="177"/>
    </row>
    <row r="382">
      <c r="G382" s="177"/>
    </row>
    <row r="383">
      <c r="G383" s="177"/>
    </row>
    <row r="384">
      <c r="G384" s="177"/>
    </row>
    <row r="385">
      <c r="G385" s="177"/>
    </row>
    <row r="386">
      <c r="G386" s="177"/>
    </row>
    <row r="387">
      <c r="G387" s="177"/>
    </row>
    <row r="388">
      <c r="G388" s="177"/>
    </row>
    <row r="389">
      <c r="G389" s="177"/>
    </row>
    <row r="390">
      <c r="G390" s="177"/>
    </row>
    <row r="391">
      <c r="G391" s="177"/>
    </row>
    <row r="392">
      <c r="G392" s="177"/>
    </row>
    <row r="393">
      <c r="G393" s="177"/>
    </row>
    <row r="394">
      <c r="G394" s="177"/>
    </row>
    <row r="395">
      <c r="G395" s="177"/>
    </row>
    <row r="396">
      <c r="G396" s="177"/>
    </row>
    <row r="397">
      <c r="G397" s="177"/>
    </row>
    <row r="398">
      <c r="G398" s="177"/>
    </row>
    <row r="399">
      <c r="G399" s="177"/>
    </row>
    <row r="400">
      <c r="G400" s="177"/>
    </row>
    <row r="401">
      <c r="G401" s="177"/>
    </row>
    <row r="402">
      <c r="G402" s="177"/>
    </row>
    <row r="403">
      <c r="G403" s="177"/>
    </row>
    <row r="404">
      <c r="G404" s="177"/>
    </row>
    <row r="405">
      <c r="G405" s="177"/>
    </row>
    <row r="406">
      <c r="G406" s="177"/>
    </row>
    <row r="407">
      <c r="G407" s="177"/>
    </row>
    <row r="408">
      <c r="G408" s="177"/>
    </row>
    <row r="409">
      <c r="G409" s="177"/>
    </row>
    <row r="410">
      <c r="G410" s="177"/>
    </row>
    <row r="411">
      <c r="G411" s="177"/>
    </row>
    <row r="412">
      <c r="G412" s="177"/>
    </row>
    <row r="413">
      <c r="G413" s="177"/>
    </row>
    <row r="414">
      <c r="G414" s="177"/>
    </row>
    <row r="415">
      <c r="G415" s="177"/>
    </row>
    <row r="416">
      <c r="G416" s="177"/>
    </row>
    <row r="417">
      <c r="G417" s="177"/>
    </row>
    <row r="418">
      <c r="G418" s="177"/>
    </row>
    <row r="419">
      <c r="G419" s="177"/>
    </row>
    <row r="420">
      <c r="G420" s="177"/>
    </row>
    <row r="421">
      <c r="G421" s="177"/>
    </row>
    <row r="422">
      <c r="G422" s="177"/>
    </row>
    <row r="423">
      <c r="G423" s="177"/>
    </row>
    <row r="424">
      <c r="G424" s="177"/>
    </row>
    <row r="425">
      <c r="G425" s="177"/>
    </row>
    <row r="426">
      <c r="G426" s="177"/>
    </row>
    <row r="427">
      <c r="G427" s="177"/>
    </row>
    <row r="428">
      <c r="G428" s="177"/>
    </row>
    <row r="429">
      <c r="G429" s="177"/>
    </row>
    <row r="430">
      <c r="G430" s="177"/>
    </row>
    <row r="431">
      <c r="G431" s="177"/>
    </row>
    <row r="432">
      <c r="G432" s="177"/>
    </row>
    <row r="433">
      <c r="G433" s="177"/>
    </row>
    <row r="434">
      <c r="G434" s="177"/>
    </row>
    <row r="435">
      <c r="G435" s="177"/>
    </row>
    <row r="436">
      <c r="G436" s="177"/>
    </row>
    <row r="437">
      <c r="G437" s="177"/>
    </row>
    <row r="438">
      <c r="G438" s="177"/>
    </row>
    <row r="439">
      <c r="G439" s="177"/>
    </row>
    <row r="440">
      <c r="G440" s="177"/>
    </row>
    <row r="441">
      <c r="G441" s="177"/>
    </row>
    <row r="442">
      <c r="G442" s="177"/>
    </row>
    <row r="443">
      <c r="G443" s="177"/>
    </row>
    <row r="444">
      <c r="G444" s="177"/>
    </row>
    <row r="445">
      <c r="G445" s="177"/>
    </row>
    <row r="446">
      <c r="G446" s="177"/>
    </row>
    <row r="447">
      <c r="G447" s="177"/>
    </row>
    <row r="448">
      <c r="G448" s="177"/>
    </row>
    <row r="449">
      <c r="G449" s="177"/>
    </row>
    <row r="450">
      <c r="G450" s="177"/>
    </row>
    <row r="451">
      <c r="G451" s="177"/>
    </row>
    <row r="452">
      <c r="G452" s="177"/>
    </row>
    <row r="453">
      <c r="G453" s="177"/>
    </row>
    <row r="454">
      <c r="G454" s="177"/>
    </row>
    <row r="455">
      <c r="G455" s="177"/>
    </row>
    <row r="456">
      <c r="G456" s="177"/>
    </row>
    <row r="457">
      <c r="G457" s="177"/>
    </row>
    <row r="458">
      <c r="G458" s="177"/>
    </row>
    <row r="459">
      <c r="G459" s="177"/>
    </row>
    <row r="460">
      <c r="G460" s="177"/>
    </row>
    <row r="461">
      <c r="G461" s="177"/>
    </row>
    <row r="462">
      <c r="G462" s="177"/>
    </row>
    <row r="463">
      <c r="G463" s="177"/>
    </row>
    <row r="464">
      <c r="G464" s="177"/>
    </row>
    <row r="465">
      <c r="G465" s="177"/>
    </row>
    <row r="466">
      <c r="G466" s="177"/>
    </row>
    <row r="467">
      <c r="G467" s="177"/>
    </row>
    <row r="468">
      <c r="G468" s="177"/>
    </row>
    <row r="469">
      <c r="G469" s="177"/>
    </row>
    <row r="470">
      <c r="G470" s="177"/>
    </row>
    <row r="471">
      <c r="G471" s="177"/>
    </row>
    <row r="472">
      <c r="G472" s="177"/>
    </row>
    <row r="473">
      <c r="G473" s="177"/>
    </row>
    <row r="474">
      <c r="G474" s="177"/>
    </row>
    <row r="475">
      <c r="G475" s="177"/>
    </row>
    <row r="476">
      <c r="G476" s="177"/>
    </row>
    <row r="477">
      <c r="G477" s="177"/>
    </row>
    <row r="478">
      <c r="G478" s="177"/>
    </row>
    <row r="479">
      <c r="G479" s="177"/>
    </row>
    <row r="480">
      <c r="G480" s="177"/>
    </row>
    <row r="481">
      <c r="G481" s="177"/>
    </row>
    <row r="482">
      <c r="G482" s="177"/>
    </row>
    <row r="483">
      <c r="G483" s="177"/>
    </row>
    <row r="484">
      <c r="G484" s="177"/>
    </row>
    <row r="485">
      <c r="G485" s="177"/>
    </row>
    <row r="486">
      <c r="G486" s="177"/>
    </row>
    <row r="487">
      <c r="G487" s="177"/>
    </row>
    <row r="488">
      <c r="G488" s="177"/>
    </row>
    <row r="489">
      <c r="G489" s="177"/>
    </row>
    <row r="490">
      <c r="G490" s="177"/>
    </row>
    <row r="491">
      <c r="G491" s="177"/>
    </row>
    <row r="492">
      <c r="G492" s="177"/>
    </row>
    <row r="493">
      <c r="G493" s="177"/>
    </row>
    <row r="494">
      <c r="G494" s="177"/>
    </row>
    <row r="495">
      <c r="G495" s="177"/>
    </row>
    <row r="496">
      <c r="G496" s="177"/>
    </row>
    <row r="497">
      <c r="G497" s="177"/>
    </row>
    <row r="498">
      <c r="G498" s="177"/>
    </row>
    <row r="499">
      <c r="G499" s="177"/>
    </row>
    <row r="500">
      <c r="G500" s="177"/>
    </row>
    <row r="501">
      <c r="G501" s="177"/>
    </row>
    <row r="502">
      <c r="G502" s="177"/>
    </row>
    <row r="503">
      <c r="G503" s="177"/>
    </row>
    <row r="504">
      <c r="G504" s="177"/>
    </row>
    <row r="505">
      <c r="G505" s="177"/>
    </row>
    <row r="506">
      <c r="G506" s="177"/>
    </row>
    <row r="507">
      <c r="G507" s="177"/>
    </row>
    <row r="508">
      <c r="G508" s="177"/>
    </row>
    <row r="509">
      <c r="G509" s="177"/>
    </row>
    <row r="510">
      <c r="G510" s="177"/>
    </row>
    <row r="511">
      <c r="G511" s="177"/>
    </row>
    <row r="512">
      <c r="G512" s="177"/>
    </row>
    <row r="513">
      <c r="G513" s="177"/>
    </row>
    <row r="514">
      <c r="G514" s="177"/>
    </row>
    <row r="515">
      <c r="G515" s="177"/>
    </row>
    <row r="516">
      <c r="G516" s="177"/>
    </row>
    <row r="517">
      <c r="G517" s="177"/>
    </row>
    <row r="518">
      <c r="G518" s="177"/>
    </row>
    <row r="519">
      <c r="G519" s="177"/>
    </row>
    <row r="520">
      <c r="G520" s="177"/>
    </row>
    <row r="521">
      <c r="G521" s="177"/>
    </row>
    <row r="522">
      <c r="G522" s="177"/>
    </row>
    <row r="523">
      <c r="G523" s="177"/>
    </row>
    <row r="524">
      <c r="G524" s="177"/>
    </row>
    <row r="525">
      <c r="G525" s="177"/>
    </row>
    <row r="526">
      <c r="G526" s="177"/>
    </row>
    <row r="527">
      <c r="G527" s="177"/>
    </row>
    <row r="528">
      <c r="G528" s="177"/>
    </row>
    <row r="529">
      <c r="G529" s="177"/>
    </row>
    <row r="530">
      <c r="G530" s="177"/>
    </row>
    <row r="531">
      <c r="G531" s="177"/>
    </row>
    <row r="532">
      <c r="G532" s="177"/>
    </row>
    <row r="533">
      <c r="G533" s="177"/>
    </row>
    <row r="534">
      <c r="G534" s="177"/>
    </row>
    <row r="535">
      <c r="G535" s="177"/>
    </row>
    <row r="536">
      <c r="G536" s="177"/>
    </row>
    <row r="537">
      <c r="G537" s="177"/>
    </row>
    <row r="538">
      <c r="G538" s="177"/>
    </row>
    <row r="539">
      <c r="G539" s="177"/>
    </row>
    <row r="540">
      <c r="G540" s="177"/>
    </row>
    <row r="541">
      <c r="G541" s="177"/>
    </row>
    <row r="542">
      <c r="G542" s="177"/>
    </row>
    <row r="543">
      <c r="G543" s="177"/>
    </row>
    <row r="544">
      <c r="G544" s="177"/>
    </row>
    <row r="545">
      <c r="G545" s="177"/>
    </row>
    <row r="546">
      <c r="G546" s="177"/>
    </row>
    <row r="547">
      <c r="G547" s="177"/>
    </row>
    <row r="548">
      <c r="G548" s="177"/>
    </row>
    <row r="549">
      <c r="G549" s="177"/>
    </row>
    <row r="550">
      <c r="G550" s="177"/>
    </row>
    <row r="551">
      <c r="G551" s="177"/>
    </row>
    <row r="552">
      <c r="G552" s="177"/>
    </row>
    <row r="553">
      <c r="G553" s="177"/>
    </row>
    <row r="554">
      <c r="G554" s="177"/>
    </row>
    <row r="555">
      <c r="G555" s="177"/>
    </row>
    <row r="556">
      <c r="G556" s="177"/>
    </row>
    <row r="557">
      <c r="G557" s="177"/>
    </row>
    <row r="558">
      <c r="G558" s="177"/>
    </row>
    <row r="559">
      <c r="G559" s="177"/>
    </row>
    <row r="560">
      <c r="G560" s="177"/>
    </row>
    <row r="561">
      <c r="G561" s="177"/>
    </row>
    <row r="562">
      <c r="G562" s="177"/>
    </row>
    <row r="563">
      <c r="G563" s="177"/>
    </row>
    <row r="564">
      <c r="G564" s="177"/>
    </row>
    <row r="565">
      <c r="G565" s="177"/>
    </row>
    <row r="566">
      <c r="G566" s="177"/>
    </row>
    <row r="567">
      <c r="G567" s="177"/>
    </row>
    <row r="568">
      <c r="G568" s="177"/>
    </row>
    <row r="569">
      <c r="G569" s="177"/>
    </row>
    <row r="570">
      <c r="G570" s="177"/>
    </row>
    <row r="571">
      <c r="G571" s="177"/>
    </row>
    <row r="572">
      <c r="G572" s="177"/>
    </row>
    <row r="573">
      <c r="G573" s="177"/>
    </row>
    <row r="574">
      <c r="G574" s="177"/>
    </row>
    <row r="575">
      <c r="G575" s="177"/>
    </row>
    <row r="576">
      <c r="G576" s="177"/>
    </row>
    <row r="577">
      <c r="G577" s="177"/>
    </row>
    <row r="578">
      <c r="G578" s="177"/>
    </row>
    <row r="579">
      <c r="G579" s="177"/>
    </row>
    <row r="580">
      <c r="G580" s="177"/>
    </row>
    <row r="581">
      <c r="G581" s="177"/>
    </row>
    <row r="582">
      <c r="G582" s="177"/>
    </row>
    <row r="583">
      <c r="G583" s="177"/>
    </row>
    <row r="584">
      <c r="G584" s="177"/>
    </row>
    <row r="585">
      <c r="G585" s="177"/>
    </row>
    <row r="586">
      <c r="G586" s="177"/>
    </row>
    <row r="587">
      <c r="G587" s="177"/>
    </row>
    <row r="588">
      <c r="G588" s="177"/>
    </row>
    <row r="589">
      <c r="G589" s="177"/>
    </row>
    <row r="590">
      <c r="G590" s="177"/>
    </row>
    <row r="591">
      <c r="G591" s="177"/>
    </row>
    <row r="592">
      <c r="G592" s="177"/>
    </row>
    <row r="593">
      <c r="G593" s="177"/>
    </row>
    <row r="594">
      <c r="G594" s="177"/>
    </row>
    <row r="595">
      <c r="G595" s="177"/>
    </row>
    <row r="596">
      <c r="G596" s="177"/>
    </row>
    <row r="597">
      <c r="G597" s="177"/>
    </row>
    <row r="598">
      <c r="G598" s="177"/>
    </row>
    <row r="599">
      <c r="G599" s="177"/>
    </row>
    <row r="600">
      <c r="G600" s="177"/>
    </row>
    <row r="601">
      <c r="G601" s="177"/>
    </row>
    <row r="602">
      <c r="G602" s="177"/>
    </row>
    <row r="603">
      <c r="G603" s="177"/>
    </row>
    <row r="604">
      <c r="G604" s="177"/>
    </row>
    <row r="605">
      <c r="G605" s="177"/>
    </row>
    <row r="606">
      <c r="G606" s="177"/>
    </row>
    <row r="607">
      <c r="G607" s="177"/>
    </row>
    <row r="608">
      <c r="G608" s="177"/>
    </row>
    <row r="609">
      <c r="G609" s="177"/>
    </row>
    <row r="610">
      <c r="G610" s="177"/>
    </row>
    <row r="611">
      <c r="G611" s="177"/>
    </row>
    <row r="612">
      <c r="G612" s="177"/>
    </row>
    <row r="613">
      <c r="G613" s="177"/>
    </row>
    <row r="614">
      <c r="G614" s="177"/>
    </row>
    <row r="615">
      <c r="G615" s="177"/>
    </row>
    <row r="616">
      <c r="G616" s="177"/>
    </row>
    <row r="617">
      <c r="G617" s="177"/>
    </row>
    <row r="618">
      <c r="G618" s="177"/>
    </row>
    <row r="619">
      <c r="G619" s="177"/>
    </row>
    <row r="620">
      <c r="G620" s="177"/>
    </row>
    <row r="621">
      <c r="G621" s="177"/>
    </row>
    <row r="622">
      <c r="G622" s="177"/>
    </row>
    <row r="623">
      <c r="G623" s="177"/>
    </row>
    <row r="624">
      <c r="G624" s="177"/>
    </row>
    <row r="625">
      <c r="G625" s="177"/>
    </row>
    <row r="626">
      <c r="G626" s="177"/>
    </row>
    <row r="627">
      <c r="G627" s="177"/>
    </row>
    <row r="628">
      <c r="G628" s="177"/>
    </row>
    <row r="629">
      <c r="G629" s="177"/>
    </row>
    <row r="630">
      <c r="G630" s="177"/>
    </row>
    <row r="631">
      <c r="G631" s="177"/>
    </row>
    <row r="632">
      <c r="G632" s="177"/>
    </row>
    <row r="633">
      <c r="G633" s="177"/>
    </row>
    <row r="634">
      <c r="G634" s="177"/>
    </row>
    <row r="635">
      <c r="G635" s="177"/>
    </row>
    <row r="636">
      <c r="G636" s="177"/>
    </row>
    <row r="637">
      <c r="G637" s="177"/>
    </row>
    <row r="638">
      <c r="G638" s="177"/>
    </row>
    <row r="639">
      <c r="G639" s="177"/>
    </row>
    <row r="640">
      <c r="G640" s="177"/>
    </row>
    <row r="641">
      <c r="G641" s="177"/>
    </row>
    <row r="642">
      <c r="G642" s="177"/>
    </row>
    <row r="643">
      <c r="G643" s="177"/>
    </row>
    <row r="644">
      <c r="G644" s="177"/>
    </row>
    <row r="645">
      <c r="G645" s="177"/>
    </row>
    <row r="646">
      <c r="G646" s="177"/>
    </row>
    <row r="647">
      <c r="G647" s="177"/>
    </row>
    <row r="648">
      <c r="G648" s="177"/>
    </row>
    <row r="649">
      <c r="G649" s="177"/>
    </row>
    <row r="650">
      <c r="G650" s="177"/>
    </row>
    <row r="651">
      <c r="G651" s="177"/>
    </row>
    <row r="652">
      <c r="G652" s="177"/>
    </row>
    <row r="653">
      <c r="G653" s="177"/>
    </row>
    <row r="654">
      <c r="G654" s="177"/>
    </row>
    <row r="655">
      <c r="G655" s="177"/>
    </row>
    <row r="656">
      <c r="G656" s="177"/>
    </row>
    <row r="657">
      <c r="G657" s="177"/>
    </row>
    <row r="658">
      <c r="G658" s="177"/>
    </row>
    <row r="659">
      <c r="G659" s="177"/>
    </row>
    <row r="660">
      <c r="G660" s="177"/>
    </row>
    <row r="661">
      <c r="G661" s="177"/>
    </row>
    <row r="662">
      <c r="G662" s="177"/>
    </row>
    <row r="663">
      <c r="G663" s="177"/>
    </row>
    <row r="664">
      <c r="G664" s="177"/>
    </row>
    <row r="665">
      <c r="G665" s="177"/>
    </row>
    <row r="666">
      <c r="G666" s="177"/>
    </row>
    <row r="667">
      <c r="G667" s="177"/>
    </row>
    <row r="668">
      <c r="G668" s="177"/>
    </row>
    <row r="669">
      <c r="G669" s="177"/>
    </row>
    <row r="670">
      <c r="G670" s="177"/>
    </row>
    <row r="671">
      <c r="G671" s="177"/>
    </row>
    <row r="672">
      <c r="G672" s="177"/>
    </row>
    <row r="673">
      <c r="G673" s="177"/>
    </row>
    <row r="674">
      <c r="G674" s="177"/>
    </row>
    <row r="675">
      <c r="G675" s="177"/>
    </row>
    <row r="676">
      <c r="G676" s="177"/>
    </row>
    <row r="677">
      <c r="G677" s="177"/>
    </row>
    <row r="678">
      <c r="G678" s="177"/>
    </row>
    <row r="679">
      <c r="G679" s="177"/>
    </row>
    <row r="680">
      <c r="G680" s="177"/>
    </row>
    <row r="681">
      <c r="G681" s="177"/>
    </row>
    <row r="682">
      <c r="G682" s="177"/>
    </row>
    <row r="683">
      <c r="G683" s="177"/>
    </row>
    <row r="684">
      <c r="G684" s="177"/>
    </row>
    <row r="685">
      <c r="G685" s="177"/>
    </row>
    <row r="686">
      <c r="G686" s="177"/>
    </row>
    <row r="687">
      <c r="G687" s="177"/>
    </row>
    <row r="688">
      <c r="G688" s="177"/>
    </row>
    <row r="689">
      <c r="G689" s="177"/>
    </row>
    <row r="690">
      <c r="G690" s="177"/>
    </row>
    <row r="691">
      <c r="G691" s="177"/>
    </row>
    <row r="692">
      <c r="G692" s="177"/>
    </row>
    <row r="693">
      <c r="G693" s="177"/>
    </row>
    <row r="694">
      <c r="G694" s="177"/>
    </row>
    <row r="695">
      <c r="G695" s="177"/>
    </row>
    <row r="696">
      <c r="G696" s="177"/>
    </row>
    <row r="697">
      <c r="G697" s="177"/>
    </row>
    <row r="698">
      <c r="G698" s="177"/>
    </row>
    <row r="699">
      <c r="G699" s="177"/>
    </row>
    <row r="700">
      <c r="G700" s="177"/>
    </row>
    <row r="701">
      <c r="G701" s="177"/>
    </row>
    <row r="702">
      <c r="G702" s="177"/>
    </row>
    <row r="703">
      <c r="G703" s="177"/>
    </row>
    <row r="704">
      <c r="G704" s="177"/>
    </row>
    <row r="705">
      <c r="G705" s="177"/>
    </row>
    <row r="706">
      <c r="G706" s="177"/>
    </row>
    <row r="707">
      <c r="G707" s="177"/>
    </row>
    <row r="708">
      <c r="G708" s="177"/>
    </row>
    <row r="709">
      <c r="G709" s="177"/>
    </row>
    <row r="710">
      <c r="G710" s="177"/>
    </row>
    <row r="711">
      <c r="G711" s="177"/>
    </row>
    <row r="712">
      <c r="G712" s="177"/>
    </row>
    <row r="713">
      <c r="G713" s="177"/>
    </row>
    <row r="714">
      <c r="G714" s="177"/>
    </row>
    <row r="715">
      <c r="G715" s="177"/>
    </row>
    <row r="716">
      <c r="G716" s="177"/>
    </row>
    <row r="717">
      <c r="G717" s="177"/>
    </row>
    <row r="718">
      <c r="G718" s="177"/>
    </row>
    <row r="719">
      <c r="G719" s="177"/>
    </row>
    <row r="720">
      <c r="G720" s="177"/>
    </row>
    <row r="721">
      <c r="G721" s="177"/>
    </row>
    <row r="722">
      <c r="G722" s="177"/>
    </row>
    <row r="723">
      <c r="G723" s="177"/>
    </row>
    <row r="724">
      <c r="G724" s="177"/>
    </row>
    <row r="725">
      <c r="G725" s="177"/>
    </row>
    <row r="726">
      <c r="G726" s="177"/>
    </row>
    <row r="727">
      <c r="G727" s="177"/>
    </row>
    <row r="728">
      <c r="G728" s="177"/>
    </row>
    <row r="729">
      <c r="G729" s="177"/>
    </row>
    <row r="730">
      <c r="G730" s="177"/>
    </row>
    <row r="731">
      <c r="G731" s="177"/>
    </row>
    <row r="732">
      <c r="G732" s="177"/>
    </row>
    <row r="733">
      <c r="G733" s="177"/>
    </row>
    <row r="734">
      <c r="G734" s="177"/>
    </row>
    <row r="735">
      <c r="G735" s="177"/>
    </row>
    <row r="736">
      <c r="G736" s="177"/>
    </row>
    <row r="737">
      <c r="G737" s="177"/>
    </row>
    <row r="738">
      <c r="G738" s="177"/>
    </row>
    <row r="739">
      <c r="G739" s="177"/>
    </row>
    <row r="740">
      <c r="G740" s="177"/>
    </row>
    <row r="741">
      <c r="G741" s="177"/>
    </row>
    <row r="742">
      <c r="G742" s="177"/>
    </row>
    <row r="743">
      <c r="G743" s="177"/>
    </row>
    <row r="744">
      <c r="G744" s="177"/>
    </row>
    <row r="745">
      <c r="G745" s="177"/>
    </row>
    <row r="746">
      <c r="G746" s="177"/>
    </row>
    <row r="747">
      <c r="G747" s="177"/>
    </row>
    <row r="748">
      <c r="G748" s="177"/>
    </row>
    <row r="749">
      <c r="G749" s="177"/>
    </row>
    <row r="750">
      <c r="G750" s="177"/>
    </row>
    <row r="751">
      <c r="G751" s="177"/>
    </row>
    <row r="752">
      <c r="G752" s="177"/>
    </row>
    <row r="753">
      <c r="G753" s="177"/>
    </row>
    <row r="754">
      <c r="G754" s="177"/>
    </row>
    <row r="755">
      <c r="G755" s="177"/>
    </row>
    <row r="756">
      <c r="G756" s="177"/>
    </row>
    <row r="757">
      <c r="G757" s="177"/>
    </row>
    <row r="758">
      <c r="G758" s="177"/>
    </row>
    <row r="759">
      <c r="G759" s="177"/>
    </row>
    <row r="760">
      <c r="G760" s="177"/>
    </row>
    <row r="761">
      <c r="G761" s="177"/>
    </row>
    <row r="762">
      <c r="G762" s="177"/>
    </row>
    <row r="763">
      <c r="G763" s="177"/>
    </row>
    <row r="764">
      <c r="G764" s="177"/>
    </row>
    <row r="765">
      <c r="G765" s="177"/>
    </row>
    <row r="766">
      <c r="G766" s="177"/>
    </row>
    <row r="767">
      <c r="G767" s="177"/>
    </row>
    <row r="768">
      <c r="G768" s="177"/>
    </row>
    <row r="769">
      <c r="G769" s="177"/>
    </row>
    <row r="770">
      <c r="G770" s="177"/>
    </row>
    <row r="771">
      <c r="G771" s="177"/>
    </row>
    <row r="772">
      <c r="G772" s="177"/>
    </row>
    <row r="773">
      <c r="G773" s="177"/>
    </row>
    <row r="774">
      <c r="G774" s="177"/>
    </row>
    <row r="775">
      <c r="G775" s="177"/>
    </row>
    <row r="776">
      <c r="G776" s="177"/>
    </row>
    <row r="777">
      <c r="G777" s="177"/>
    </row>
    <row r="778">
      <c r="G778" s="177"/>
    </row>
    <row r="779">
      <c r="G779" s="177"/>
    </row>
    <row r="780">
      <c r="G780" s="177"/>
    </row>
    <row r="781">
      <c r="G781" s="177"/>
    </row>
    <row r="782">
      <c r="G782" s="177"/>
    </row>
    <row r="783">
      <c r="G783" s="177"/>
    </row>
    <row r="784">
      <c r="G784" s="177"/>
    </row>
    <row r="785">
      <c r="G785" s="177"/>
    </row>
    <row r="786">
      <c r="G786" s="177"/>
    </row>
    <row r="787">
      <c r="G787" s="177"/>
    </row>
    <row r="788">
      <c r="G788" s="177"/>
    </row>
    <row r="789">
      <c r="G789" s="177"/>
    </row>
    <row r="790">
      <c r="G790" s="177"/>
    </row>
    <row r="791">
      <c r="G791" s="177"/>
    </row>
    <row r="792">
      <c r="G792" s="177"/>
    </row>
    <row r="793">
      <c r="G793" s="177"/>
    </row>
    <row r="794">
      <c r="G794" s="177"/>
    </row>
    <row r="795">
      <c r="G795" s="177"/>
    </row>
    <row r="796">
      <c r="G796" s="177"/>
    </row>
    <row r="797">
      <c r="G797" s="177"/>
    </row>
    <row r="798">
      <c r="G798" s="177"/>
    </row>
    <row r="799">
      <c r="G799" s="177"/>
    </row>
    <row r="800">
      <c r="G800" s="177"/>
    </row>
    <row r="801">
      <c r="G801" s="177"/>
    </row>
    <row r="802">
      <c r="G802" s="177"/>
    </row>
    <row r="803">
      <c r="G803" s="177"/>
    </row>
    <row r="804">
      <c r="G804" s="177"/>
    </row>
    <row r="805">
      <c r="G805" s="177"/>
    </row>
    <row r="806">
      <c r="G806" s="177"/>
    </row>
    <row r="807">
      <c r="G807" s="177"/>
    </row>
    <row r="808">
      <c r="G808" s="177"/>
    </row>
    <row r="809">
      <c r="G809" s="177"/>
    </row>
    <row r="810">
      <c r="G810" s="177"/>
    </row>
    <row r="811">
      <c r="G811" s="177"/>
    </row>
    <row r="812">
      <c r="G812" s="177"/>
    </row>
    <row r="813">
      <c r="G813" s="177"/>
    </row>
    <row r="814">
      <c r="G814" s="177"/>
    </row>
    <row r="815">
      <c r="G815" s="177"/>
    </row>
    <row r="816">
      <c r="G816" s="177"/>
    </row>
    <row r="817">
      <c r="G817" s="177"/>
    </row>
    <row r="818">
      <c r="G818" s="177"/>
    </row>
    <row r="819">
      <c r="G819" s="177"/>
    </row>
    <row r="820">
      <c r="G820" s="177"/>
    </row>
    <row r="821">
      <c r="G821" s="177"/>
    </row>
    <row r="822">
      <c r="G822" s="177"/>
    </row>
    <row r="823">
      <c r="G823" s="177"/>
    </row>
    <row r="824">
      <c r="G824" s="177"/>
    </row>
    <row r="825">
      <c r="G825" s="177"/>
    </row>
    <row r="826">
      <c r="G826" s="177"/>
    </row>
    <row r="827">
      <c r="G827" s="177"/>
    </row>
    <row r="828">
      <c r="G828" s="177"/>
    </row>
    <row r="829">
      <c r="G829" s="177"/>
    </row>
    <row r="830">
      <c r="G830" s="177"/>
    </row>
    <row r="831">
      <c r="G831" s="177"/>
    </row>
    <row r="832">
      <c r="G832" s="177"/>
    </row>
    <row r="833">
      <c r="G833" s="177"/>
    </row>
    <row r="834">
      <c r="G834" s="177"/>
    </row>
    <row r="835">
      <c r="G835" s="177"/>
    </row>
    <row r="836">
      <c r="G836" s="177"/>
    </row>
    <row r="837">
      <c r="G837" s="177"/>
    </row>
    <row r="838">
      <c r="G838" s="177"/>
    </row>
    <row r="839">
      <c r="G839" s="177"/>
    </row>
    <row r="840">
      <c r="G840" s="177"/>
    </row>
    <row r="841">
      <c r="G841" s="177"/>
    </row>
    <row r="842">
      <c r="G842" s="177"/>
    </row>
    <row r="843">
      <c r="G843" s="177"/>
    </row>
    <row r="844">
      <c r="G844" s="177"/>
    </row>
    <row r="845">
      <c r="G845" s="177"/>
    </row>
    <row r="846">
      <c r="G846" s="177"/>
    </row>
    <row r="847">
      <c r="G847" s="177"/>
    </row>
    <row r="848">
      <c r="G848" s="177"/>
    </row>
    <row r="849">
      <c r="G849" s="177"/>
    </row>
    <row r="850">
      <c r="G850" s="177"/>
    </row>
    <row r="851">
      <c r="G851" s="177"/>
    </row>
    <row r="852">
      <c r="G852" s="177"/>
    </row>
    <row r="853">
      <c r="G853" s="177"/>
    </row>
    <row r="854">
      <c r="G854" s="177"/>
    </row>
    <row r="855">
      <c r="G855" s="177"/>
    </row>
    <row r="856">
      <c r="G856" s="177"/>
    </row>
    <row r="857">
      <c r="G857" s="177"/>
    </row>
    <row r="858">
      <c r="G858" s="177"/>
    </row>
    <row r="859">
      <c r="G859" s="177"/>
    </row>
    <row r="860">
      <c r="G860" s="177"/>
    </row>
    <row r="861">
      <c r="G861" s="177"/>
    </row>
    <row r="862">
      <c r="G862" s="177"/>
    </row>
    <row r="863">
      <c r="G863" s="177"/>
    </row>
    <row r="864">
      <c r="G864" s="177"/>
    </row>
    <row r="865">
      <c r="G865" s="177"/>
    </row>
    <row r="866">
      <c r="G866" s="177"/>
    </row>
    <row r="867">
      <c r="G867" s="177"/>
    </row>
    <row r="868">
      <c r="G868" s="177"/>
    </row>
    <row r="869">
      <c r="G869" s="177"/>
    </row>
    <row r="870">
      <c r="G870" s="177"/>
    </row>
    <row r="871">
      <c r="G871" s="177"/>
    </row>
    <row r="872">
      <c r="G872" s="177"/>
    </row>
    <row r="873">
      <c r="G873" s="177"/>
    </row>
    <row r="874">
      <c r="G874" s="177"/>
    </row>
    <row r="875">
      <c r="G875" s="177"/>
    </row>
    <row r="876">
      <c r="G876" s="177"/>
    </row>
    <row r="877">
      <c r="G877" s="177"/>
    </row>
    <row r="878">
      <c r="G878" s="177"/>
    </row>
    <row r="879">
      <c r="G879" s="177"/>
    </row>
    <row r="880">
      <c r="G880" s="177"/>
    </row>
    <row r="881">
      <c r="G881" s="177"/>
    </row>
    <row r="882">
      <c r="G882" s="177"/>
    </row>
    <row r="883">
      <c r="G883" s="177"/>
    </row>
    <row r="884">
      <c r="G884" s="177"/>
    </row>
    <row r="885">
      <c r="G885" s="177"/>
    </row>
    <row r="886">
      <c r="G886" s="177"/>
    </row>
    <row r="887">
      <c r="G887" s="177"/>
    </row>
    <row r="888">
      <c r="G888" s="177"/>
    </row>
    <row r="889">
      <c r="G889" s="177"/>
    </row>
    <row r="890">
      <c r="G890" s="177"/>
    </row>
    <row r="891">
      <c r="G891" s="177"/>
    </row>
    <row r="892">
      <c r="G892" s="177"/>
    </row>
    <row r="893">
      <c r="G893" s="177"/>
    </row>
    <row r="894">
      <c r="G894" s="177"/>
    </row>
    <row r="895">
      <c r="G895" s="177"/>
    </row>
    <row r="896">
      <c r="G896" s="177"/>
    </row>
    <row r="897">
      <c r="G897" s="177"/>
    </row>
    <row r="898">
      <c r="G898" s="177"/>
    </row>
    <row r="899">
      <c r="G899" s="177"/>
    </row>
    <row r="900">
      <c r="G900" s="177"/>
    </row>
    <row r="901">
      <c r="G901" s="177"/>
    </row>
    <row r="902">
      <c r="G902" s="177"/>
    </row>
    <row r="903">
      <c r="G903" s="177"/>
    </row>
    <row r="904">
      <c r="G904" s="177"/>
    </row>
    <row r="905">
      <c r="G905" s="177"/>
    </row>
    <row r="906">
      <c r="G906" s="177"/>
    </row>
    <row r="907">
      <c r="G907" s="177"/>
    </row>
    <row r="908">
      <c r="G908" s="177"/>
    </row>
    <row r="909">
      <c r="G909" s="177"/>
    </row>
    <row r="910">
      <c r="G910" s="177"/>
    </row>
    <row r="911">
      <c r="G911" s="177"/>
    </row>
    <row r="912">
      <c r="G912" s="177"/>
    </row>
    <row r="913">
      <c r="G913" s="177"/>
    </row>
    <row r="914">
      <c r="G914" s="177"/>
    </row>
    <row r="915">
      <c r="G915" s="177"/>
    </row>
    <row r="916">
      <c r="G916" s="177"/>
    </row>
    <row r="917">
      <c r="G917" s="177"/>
    </row>
    <row r="918">
      <c r="G918" s="177"/>
    </row>
    <row r="919">
      <c r="G919" s="177"/>
    </row>
    <row r="920">
      <c r="G920" s="177"/>
    </row>
    <row r="921">
      <c r="G921" s="177"/>
    </row>
    <row r="922">
      <c r="G922" s="177"/>
    </row>
    <row r="923">
      <c r="G923" s="177"/>
    </row>
    <row r="924">
      <c r="G924" s="177"/>
    </row>
    <row r="925">
      <c r="G925" s="177"/>
    </row>
    <row r="926">
      <c r="G926" s="177"/>
    </row>
    <row r="927">
      <c r="G927" s="177"/>
    </row>
    <row r="928">
      <c r="G928" s="177"/>
    </row>
    <row r="929">
      <c r="G929" s="177"/>
    </row>
    <row r="930">
      <c r="G930" s="177"/>
    </row>
    <row r="931">
      <c r="G931" s="177"/>
    </row>
    <row r="932">
      <c r="G932" s="177"/>
    </row>
    <row r="933">
      <c r="G933" s="177"/>
    </row>
    <row r="934">
      <c r="G934" s="177"/>
    </row>
    <row r="935">
      <c r="G935" s="177"/>
    </row>
    <row r="936">
      <c r="G936" s="177"/>
    </row>
    <row r="937">
      <c r="G937" s="177"/>
    </row>
    <row r="938">
      <c r="G938" s="177"/>
    </row>
    <row r="939">
      <c r="G939" s="177"/>
    </row>
    <row r="940">
      <c r="G940" s="177"/>
    </row>
    <row r="941">
      <c r="G941" s="177"/>
    </row>
    <row r="942">
      <c r="G942" s="177"/>
    </row>
    <row r="943">
      <c r="G943" s="177"/>
    </row>
    <row r="944">
      <c r="G944" s="177"/>
    </row>
    <row r="945">
      <c r="G945" s="177"/>
    </row>
    <row r="946">
      <c r="G946" s="177"/>
    </row>
    <row r="947">
      <c r="G947" s="177"/>
    </row>
    <row r="948">
      <c r="G948" s="177"/>
    </row>
    <row r="949">
      <c r="G949" s="177"/>
    </row>
    <row r="950">
      <c r="G950" s="177"/>
    </row>
    <row r="951">
      <c r="G951" s="177"/>
    </row>
    <row r="952">
      <c r="G952" s="177"/>
    </row>
    <row r="953">
      <c r="G953" s="177"/>
    </row>
    <row r="954">
      <c r="G954" s="177"/>
    </row>
    <row r="955">
      <c r="G955" s="177"/>
    </row>
    <row r="956">
      <c r="G956" s="177"/>
    </row>
    <row r="957">
      <c r="G957" s="177"/>
    </row>
    <row r="958">
      <c r="G958" s="177"/>
    </row>
    <row r="959">
      <c r="G959" s="177"/>
    </row>
    <row r="960">
      <c r="G960" s="177"/>
    </row>
    <row r="961">
      <c r="G961" s="177"/>
    </row>
    <row r="962">
      <c r="G962" s="177"/>
    </row>
    <row r="963">
      <c r="G963" s="177"/>
    </row>
    <row r="964">
      <c r="G964" s="177"/>
    </row>
    <row r="965">
      <c r="G965" s="177"/>
    </row>
    <row r="966">
      <c r="G966" s="177"/>
    </row>
    <row r="967">
      <c r="G967" s="177"/>
    </row>
    <row r="968">
      <c r="G968" s="177"/>
    </row>
    <row r="969">
      <c r="G969" s="177"/>
    </row>
    <row r="970">
      <c r="G970" s="177"/>
    </row>
    <row r="971">
      <c r="G971" s="177"/>
    </row>
    <row r="972">
      <c r="G972" s="177"/>
    </row>
    <row r="973">
      <c r="G973" s="177"/>
    </row>
    <row r="974">
      <c r="G974" s="177"/>
    </row>
    <row r="975">
      <c r="G975" s="177"/>
    </row>
    <row r="976">
      <c r="G976" s="177"/>
    </row>
    <row r="977">
      <c r="G977" s="177"/>
    </row>
    <row r="978">
      <c r="G978" s="177"/>
    </row>
    <row r="979">
      <c r="G979" s="177"/>
    </row>
    <row r="980">
      <c r="G980" s="177"/>
    </row>
    <row r="981">
      <c r="G981" s="177"/>
    </row>
    <row r="982">
      <c r="G982" s="177"/>
    </row>
    <row r="983">
      <c r="G983" s="177"/>
    </row>
    <row r="984">
      <c r="G984" s="177"/>
    </row>
    <row r="985">
      <c r="G985" s="177"/>
    </row>
    <row r="986">
      <c r="G986" s="177"/>
    </row>
    <row r="987">
      <c r="G987" s="177"/>
    </row>
    <row r="988">
      <c r="G988" s="177"/>
    </row>
    <row r="989">
      <c r="G989" s="177"/>
    </row>
    <row r="990">
      <c r="G990" s="177"/>
    </row>
    <row r="991">
      <c r="G991" s="177"/>
    </row>
    <row r="992">
      <c r="G992" s="177"/>
    </row>
    <row r="993">
      <c r="G993" s="177"/>
    </row>
    <row r="994">
      <c r="G994" s="177"/>
    </row>
    <row r="995">
      <c r="G995" s="177"/>
    </row>
    <row r="996">
      <c r="G996" s="177"/>
    </row>
    <row r="997">
      <c r="G997" s="177"/>
    </row>
    <row r="998">
      <c r="G998" s="177"/>
    </row>
    <row r="999">
      <c r="G999" s="177"/>
    </row>
    <row r="1000">
      <c r="G1000" s="177"/>
    </row>
    <row r="1001">
      <c r="G1001" s="177"/>
    </row>
    <row r="1002">
      <c r="G1002" s="177"/>
    </row>
    <row r="1003">
      <c r="G1003" s="177"/>
    </row>
    <row r="1004">
      <c r="G1004" s="177"/>
    </row>
    <row r="1005">
      <c r="G1005" s="177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9"/>
    <hyperlink r:id="rId7" location="gid=49628835" ref="H10"/>
    <hyperlink r:id="rId8" location="gid=609170198" ref="H11"/>
  </hyperlinks>
  <drawing r:id="rId9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8.0"/>
    <col customWidth="1" min="4" max="4" width="8.63"/>
    <col customWidth="1" min="5" max="5" width="14.25"/>
    <col customWidth="1" min="6" max="6" width="19.25"/>
    <col customWidth="1" min="7" max="7" width="9.0"/>
    <col customWidth="1" min="8" max="8" width="87.75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183</v>
      </c>
      <c r="G1" s="135" t="s">
        <v>184</v>
      </c>
      <c r="H1" s="69" t="s">
        <v>185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14" t="s">
        <v>85</v>
      </c>
      <c r="B2" s="71">
        <v>12.0</v>
      </c>
      <c r="C2" s="71">
        <v>18.5</v>
      </c>
      <c r="D2" s="71">
        <v>20.0</v>
      </c>
      <c r="E2" s="136">
        <f t="shared" ref="E2:E6" si="1">C2/D2</f>
        <v>0.925</v>
      </c>
      <c r="F2" s="33">
        <v>3.0</v>
      </c>
      <c r="G2" s="79">
        <v>75.0</v>
      </c>
      <c r="H2" s="129" t="s">
        <v>769</v>
      </c>
    </row>
    <row r="3">
      <c r="A3" s="14" t="s">
        <v>86</v>
      </c>
      <c r="B3" s="112">
        <v>6.0</v>
      </c>
      <c r="C3" s="112">
        <v>4.0</v>
      </c>
      <c r="D3" s="112">
        <v>15.0</v>
      </c>
      <c r="E3" s="136">
        <f t="shared" si="1"/>
        <v>0.2666666667</v>
      </c>
      <c r="F3" s="153"/>
      <c r="G3" s="171">
        <v>20.0</v>
      </c>
      <c r="H3" s="107" t="s">
        <v>770</v>
      </c>
    </row>
    <row r="4">
      <c r="A4" s="14" t="s">
        <v>88</v>
      </c>
      <c r="B4" s="112">
        <v>13.0</v>
      </c>
      <c r="C4" s="112">
        <v>7.5</v>
      </c>
      <c r="D4" s="112">
        <v>16.0</v>
      </c>
      <c r="E4" s="136">
        <f t="shared" si="1"/>
        <v>0.46875</v>
      </c>
      <c r="F4" s="178">
        <v>1.0</v>
      </c>
      <c r="G4" s="79">
        <v>51.33</v>
      </c>
      <c r="H4" s="129" t="s">
        <v>771</v>
      </c>
    </row>
    <row r="5">
      <c r="A5" s="14" t="s">
        <v>90</v>
      </c>
      <c r="B5" s="112">
        <v>10.0</v>
      </c>
      <c r="C5" s="112">
        <v>8.5</v>
      </c>
      <c r="D5" s="112">
        <v>15.0</v>
      </c>
      <c r="E5" s="136">
        <f t="shared" si="1"/>
        <v>0.5666666667</v>
      </c>
      <c r="F5" s="141">
        <v>2.0</v>
      </c>
      <c r="G5" s="79">
        <v>66.12</v>
      </c>
      <c r="H5" s="107" t="s">
        <v>772</v>
      </c>
    </row>
    <row r="6">
      <c r="A6" s="14" t="s">
        <v>91</v>
      </c>
      <c r="B6" s="112">
        <v>16.0</v>
      </c>
      <c r="C6" s="112">
        <v>14.0</v>
      </c>
      <c r="D6" s="112">
        <v>12.0</v>
      </c>
      <c r="E6" s="136">
        <f t="shared" si="1"/>
        <v>1.166666667</v>
      </c>
      <c r="F6" s="141">
        <v>3.0</v>
      </c>
      <c r="G6" s="171">
        <v>63.22</v>
      </c>
      <c r="H6" s="107" t="s">
        <v>773</v>
      </c>
    </row>
    <row r="9">
      <c r="A9" s="14" t="s">
        <v>94</v>
      </c>
      <c r="B9" s="112">
        <v>9.0</v>
      </c>
      <c r="C9" s="112">
        <v>14.5</v>
      </c>
      <c r="D9" s="112">
        <v>16.0</v>
      </c>
      <c r="E9" s="136">
        <f t="shared" ref="E9:E11" si="2">C9/D9</f>
        <v>0.90625</v>
      </c>
      <c r="F9" s="141">
        <v>2.0</v>
      </c>
      <c r="G9" s="171">
        <v>61.75</v>
      </c>
      <c r="H9" s="107" t="s">
        <v>774</v>
      </c>
    </row>
    <row r="10">
      <c r="A10" s="14" t="s">
        <v>89</v>
      </c>
      <c r="B10" s="112">
        <v>12.0</v>
      </c>
      <c r="C10" s="112">
        <v>13.5</v>
      </c>
      <c r="D10" s="112">
        <v>20.0</v>
      </c>
      <c r="E10" s="136">
        <f t="shared" si="2"/>
        <v>0.675</v>
      </c>
      <c r="F10" s="141">
        <v>2.0</v>
      </c>
      <c r="G10" s="79">
        <v>74.5</v>
      </c>
      <c r="H10" s="107" t="s">
        <v>775</v>
      </c>
    </row>
    <row r="11">
      <c r="A11" s="14" t="s">
        <v>92</v>
      </c>
      <c r="B11" s="112">
        <v>5.0</v>
      </c>
      <c r="C11" s="112">
        <v>4.0</v>
      </c>
      <c r="D11" s="112">
        <v>16.0</v>
      </c>
      <c r="E11" s="136">
        <f t="shared" si="2"/>
        <v>0.25</v>
      </c>
      <c r="F11" s="141">
        <v>2.0</v>
      </c>
      <c r="G11" s="171">
        <v>24.52</v>
      </c>
      <c r="H11" s="107" t="s">
        <v>776</v>
      </c>
    </row>
    <row r="12">
      <c r="F12" s="55"/>
    </row>
    <row r="13">
      <c r="F13" s="55"/>
    </row>
    <row r="14">
      <c r="F14" s="55"/>
    </row>
    <row r="15">
      <c r="B15" s="52">
        <f t="shared" ref="B15:D15" si="3">SUM(B2:B11)</f>
        <v>83</v>
      </c>
      <c r="C15" s="52">
        <f t="shared" si="3"/>
        <v>84.5</v>
      </c>
      <c r="D15" s="52">
        <f t="shared" si="3"/>
        <v>130</v>
      </c>
      <c r="E15" s="66">
        <f>C15/D15</f>
        <v>0.65</v>
      </c>
      <c r="F15" s="55">
        <v>15.0</v>
      </c>
      <c r="G15" s="66">
        <f>SUM(G2:G11)</f>
        <v>436.44</v>
      </c>
    </row>
    <row r="16">
      <c r="G16" s="177"/>
    </row>
    <row r="17">
      <c r="G17" s="177"/>
    </row>
    <row r="18">
      <c r="G18" s="177"/>
    </row>
    <row r="19">
      <c r="G19" s="177"/>
    </row>
    <row r="20">
      <c r="G20" s="177"/>
    </row>
    <row r="21">
      <c r="G21" s="177"/>
    </row>
    <row r="22">
      <c r="G22" s="177"/>
    </row>
    <row r="23">
      <c r="G23" s="177"/>
    </row>
    <row r="24">
      <c r="G24" s="177"/>
    </row>
    <row r="25">
      <c r="G25" s="177"/>
    </row>
    <row r="26">
      <c r="G26" s="177"/>
    </row>
    <row r="27">
      <c r="G27" s="177"/>
    </row>
    <row r="28">
      <c r="G28" s="177"/>
    </row>
    <row r="29">
      <c r="G29" s="177"/>
    </row>
    <row r="30">
      <c r="G30" s="177"/>
    </row>
    <row r="31">
      <c r="G31" s="177"/>
    </row>
    <row r="32">
      <c r="G32" s="177"/>
    </row>
    <row r="33">
      <c r="G33" s="177"/>
    </row>
    <row r="34">
      <c r="G34" s="177"/>
    </row>
    <row r="35">
      <c r="G35" s="177"/>
    </row>
    <row r="36">
      <c r="G36" s="177"/>
    </row>
    <row r="37">
      <c r="G37" s="177"/>
    </row>
    <row r="38">
      <c r="G38" s="177"/>
    </row>
    <row r="39">
      <c r="G39" s="177"/>
    </row>
    <row r="40">
      <c r="G40" s="177"/>
    </row>
    <row r="41">
      <c r="G41" s="177"/>
    </row>
    <row r="42">
      <c r="G42" s="177"/>
    </row>
    <row r="43">
      <c r="G43" s="177"/>
    </row>
    <row r="44">
      <c r="G44" s="177"/>
    </row>
    <row r="45">
      <c r="G45" s="177"/>
    </row>
    <row r="46">
      <c r="G46" s="177"/>
    </row>
    <row r="47">
      <c r="G47" s="177"/>
    </row>
    <row r="48">
      <c r="G48" s="177"/>
    </row>
    <row r="49">
      <c r="G49" s="177"/>
    </row>
    <row r="50">
      <c r="G50" s="177"/>
    </row>
    <row r="51">
      <c r="G51" s="177"/>
    </row>
    <row r="52">
      <c r="G52" s="177"/>
    </row>
    <row r="53">
      <c r="G53" s="177"/>
    </row>
    <row r="54">
      <c r="G54" s="177"/>
    </row>
    <row r="55">
      <c r="G55" s="177"/>
    </row>
    <row r="56">
      <c r="G56" s="177"/>
    </row>
    <row r="57">
      <c r="G57" s="177"/>
    </row>
    <row r="58">
      <c r="G58" s="177"/>
    </row>
    <row r="59">
      <c r="G59" s="177"/>
    </row>
    <row r="60">
      <c r="G60" s="177"/>
    </row>
    <row r="61">
      <c r="G61" s="177"/>
    </row>
    <row r="62">
      <c r="G62" s="177"/>
    </row>
    <row r="63">
      <c r="G63" s="177"/>
    </row>
    <row r="64">
      <c r="G64" s="177"/>
    </row>
    <row r="65">
      <c r="G65" s="177"/>
    </row>
    <row r="66">
      <c r="G66" s="177"/>
    </row>
    <row r="67">
      <c r="G67" s="177"/>
    </row>
    <row r="68">
      <c r="G68" s="177"/>
    </row>
    <row r="69">
      <c r="G69" s="177"/>
    </row>
    <row r="70">
      <c r="G70" s="177"/>
    </row>
    <row r="71">
      <c r="G71" s="177"/>
    </row>
    <row r="72">
      <c r="G72" s="177"/>
    </row>
    <row r="73">
      <c r="G73" s="177"/>
    </row>
    <row r="74">
      <c r="G74" s="177"/>
    </row>
    <row r="75">
      <c r="G75" s="177"/>
    </row>
    <row r="76">
      <c r="G76" s="177"/>
    </row>
    <row r="77">
      <c r="G77" s="177"/>
    </row>
    <row r="78">
      <c r="G78" s="177"/>
    </row>
    <row r="79">
      <c r="G79" s="177"/>
    </row>
    <row r="80">
      <c r="G80" s="177"/>
    </row>
    <row r="81">
      <c r="G81" s="177"/>
    </row>
    <row r="82">
      <c r="G82" s="177"/>
    </row>
    <row r="83">
      <c r="G83" s="177"/>
    </row>
    <row r="84">
      <c r="G84" s="177"/>
    </row>
    <row r="85">
      <c r="G85" s="177"/>
    </row>
    <row r="86">
      <c r="G86" s="177"/>
    </row>
    <row r="87">
      <c r="G87" s="177"/>
    </row>
    <row r="88">
      <c r="G88" s="177"/>
    </row>
    <row r="89">
      <c r="G89" s="177"/>
    </row>
    <row r="90">
      <c r="G90" s="177"/>
    </row>
    <row r="91">
      <c r="G91" s="177"/>
    </row>
    <row r="92">
      <c r="G92" s="177"/>
    </row>
    <row r="93">
      <c r="G93" s="177"/>
    </row>
    <row r="94">
      <c r="G94" s="177"/>
    </row>
    <row r="95">
      <c r="G95" s="177"/>
    </row>
    <row r="96">
      <c r="G96" s="177"/>
    </row>
    <row r="97">
      <c r="G97" s="177"/>
    </row>
    <row r="98">
      <c r="G98" s="177"/>
    </row>
    <row r="99">
      <c r="G99" s="177"/>
    </row>
    <row r="100">
      <c r="G100" s="177"/>
    </row>
    <row r="101">
      <c r="G101" s="177"/>
    </row>
    <row r="102">
      <c r="G102" s="177"/>
    </row>
    <row r="103">
      <c r="G103" s="177"/>
    </row>
    <row r="104">
      <c r="G104" s="177"/>
    </row>
    <row r="105">
      <c r="G105" s="177"/>
    </row>
    <row r="106">
      <c r="G106" s="177"/>
    </row>
    <row r="107">
      <c r="G107" s="177"/>
    </row>
    <row r="108">
      <c r="G108" s="177"/>
    </row>
    <row r="109">
      <c r="G109" s="177"/>
    </row>
    <row r="110">
      <c r="G110" s="177"/>
    </row>
    <row r="111">
      <c r="G111" s="177"/>
    </row>
    <row r="112">
      <c r="G112" s="177"/>
    </row>
    <row r="113">
      <c r="G113" s="177"/>
    </row>
    <row r="114">
      <c r="G114" s="177"/>
    </row>
    <row r="115">
      <c r="G115" s="177"/>
    </row>
    <row r="116">
      <c r="G116" s="177"/>
    </row>
    <row r="117">
      <c r="G117" s="177"/>
    </row>
    <row r="118">
      <c r="G118" s="177"/>
    </row>
    <row r="119">
      <c r="G119" s="177"/>
    </row>
    <row r="120">
      <c r="G120" s="177"/>
    </row>
    <row r="121">
      <c r="G121" s="177"/>
    </row>
    <row r="122">
      <c r="G122" s="177"/>
    </row>
    <row r="123">
      <c r="G123" s="177"/>
    </row>
    <row r="124">
      <c r="G124" s="177"/>
    </row>
    <row r="125">
      <c r="G125" s="177"/>
    </row>
    <row r="126">
      <c r="G126" s="177"/>
    </row>
    <row r="127">
      <c r="G127" s="177"/>
    </row>
    <row r="128">
      <c r="G128" s="177"/>
    </row>
    <row r="129">
      <c r="G129" s="177"/>
    </row>
    <row r="130">
      <c r="G130" s="177"/>
    </row>
    <row r="131">
      <c r="G131" s="177"/>
    </row>
    <row r="132">
      <c r="G132" s="177"/>
    </row>
    <row r="133">
      <c r="G133" s="177"/>
    </row>
    <row r="134">
      <c r="G134" s="177"/>
    </row>
    <row r="135">
      <c r="G135" s="177"/>
    </row>
    <row r="136">
      <c r="G136" s="177"/>
    </row>
    <row r="137">
      <c r="G137" s="177"/>
    </row>
    <row r="138">
      <c r="G138" s="177"/>
    </row>
    <row r="139">
      <c r="G139" s="177"/>
    </row>
    <row r="140">
      <c r="G140" s="177"/>
    </row>
    <row r="141">
      <c r="G141" s="177"/>
    </row>
    <row r="142">
      <c r="G142" s="177"/>
    </row>
    <row r="143">
      <c r="G143" s="177"/>
    </row>
    <row r="144">
      <c r="G144" s="177"/>
    </row>
    <row r="145">
      <c r="G145" s="177"/>
    </row>
    <row r="146">
      <c r="G146" s="177"/>
    </row>
    <row r="147">
      <c r="G147" s="177"/>
    </row>
    <row r="148">
      <c r="G148" s="177"/>
    </row>
    <row r="149">
      <c r="G149" s="177"/>
    </row>
    <row r="150">
      <c r="G150" s="177"/>
    </row>
    <row r="151">
      <c r="G151" s="177"/>
    </row>
    <row r="152">
      <c r="G152" s="177"/>
    </row>
    <row r="153">
      <c r="G153" s="177"/>
    </row>
    <row r="154">
      <c r="G154" s="177"/>
    </row>
    <row r="155">
      <c r="G155" s="177"/>
    </row>
    <row r="156">
      <c r="G156" s="177"/>
    </row>
    <row r="157">
      <c r="G157" s="177"/>
    </row>
    <row r="158">
      <c r="G158" s="177"/>
    </row>
    <row r="159">
      <c r="G159" s="177"/>
    </row>
    <row r="160">
      <c r="G160" s="177"/>
    </row>
    <row r="161">
      <c r="G161" s="177"/>
    </row>
    <row r="162">
      <c r="G162" s="177"/>
    </row>
    <row r="163">
      <c r="G163" s="177"/>
    </row>
    <row r="164">
      <c r="G164" s="177"/>
    </row>
    <row r="165">
      <c r="G165" s="177"/>
    </row>
    <row r="166">
      <c r="G166" s="177"/>
    </row>
    <row r="167">
      <c r="G167" s="177"/>
    </row>
    <row r="168">
      <c r="G168" s="177"/>
    </row>
    <row r="169">
      <c r="G169" s="177"/>
    </row>
    <row r="170">
      <c r="G170" s="177"/>
    </row>
    <row r="171">
      <c r="G171" s="177"/>
    </row>
    <row r="172">
      <c r="G172" s="177"/>
    </row>
    <row r="173">
      <c r="G173" s="177"/>
    </row>
    <row r="174">
      <c r="G174" s="177"/>
    </row>
    <row r="175">
      <c r="G175" s="177"/>
    </row>
    <row r="176">
      <c r="G176" s="177"/>
    </row>
    <row r="177">
      <c r="G177" s="177"/>
    </row>
    <row r="178">
      <c r="G178" s="177"/>
    </row>
    <row r="179">
      <c r="G179" s="177"/>
    </row>
    <row r="180">
      <c r="G180" s="177"/>
    </row>
    <row r="181">
      <c r="G181" s="177"/>
    </row>
    <row r="182">
      <c r="G182" s="177"/>
    </row>
    <row r="183">
      <c r="G183" s="177"/>
    </row>
    <row r="184">
      <c r="G184" s="177"/>
    </row>
    <row r="185">
      <c r="G185" s="177"/>
    </row>
    <row r="186">
      <c r="G186" s="177"/>
    </row>
    <row r="187">
      <c r="G187" s="177"/>
    </row>
    <row r="188">
      <c r="G188" s="177"/>
    </row>
    <row r="189">
      <c r="G189" s="177"/>
    </row>
    <row r="190">
      <c r="G190" s="177"/>
    </row>
    <row r="191">
      <c r="G191" s="177"/>
    </row>
    <row r="192">
      <c r="G192" s="177"/>
    </row>
    <row r="193">
      <c r="G193" s="177"/>
    </row>
    <row r="194">
      <c r="G194" s="177"/>
    </row>
    <row r="195">
      <c r="G195" s="177"/>
    </row>
    <row r="196">
      <c r="G196" s="177"/>
    </row>
    <row r="197">
      <c r="G197" s="177"/>
    </row>
    <row r="198">
      <c r="G198" s="177"/>
    </row>
    <row r="199">
      <c r="G199" s="177"/>
    </row>
    <row r="200">
      <c r="G200" s="177"/>
    </row>
    <row r="201">
      <c r="G201" s="177"/>
    </row>
    <row r="202">
      <c r="G202" s="177"/>
    </row>
    <row r="203">
      <c r="G203" s="177"/>
    </row>
    <row r="204">
      <c r="G204" s="177"/>
    </row>
    <row r="205">
      <c r="G205" s="177"/>
    </row>
    <row r="206">
      <c r="G206" s="177"/>
    </row>
    <row r="207">
      <c r="G207" s="177"/>
    </row>
    <row r="208">
      <c r="G208" s="177"/>
    </row>
    <row r="209">
      <c r="G209" s="177"/>
    </row>
    <row r="210">
      <c r="G210" s="177"/>
    </row>
    <row r="211">
      <c r="G211" s="177"/>
    </row>
    <row r="212">
      <c r="G212" s="177"/>
    </row>
    <row r="213">
      <c r="G213" s="177"/>
    </row>
    <row r="214">
      <c r="G214" s="177"/>
    </row>
    <row r="215">
      <c r="G215" s="177"/>
    </row>
    <row r="216">
      <c r="G216" s="177"/>
    </row>
    <row r="217">
      <c r="G217" s="177"/>
    </row>
    <row r="218">
      <c r="G218" s="177"/>
    </row>
    <row r="219">
      <c r="G219" s="177"/>
    </row>
    <row r="220">
      <c r="G220" s="177"/>
    </row>
    <row r="221">
      <c r="G221" s="177"/>
    </row>
    <row r="222">
      <c r="G222" s="177"/>
    </row>
    <row r="223">
      <c r="G223" s="177"/>
    </row>
    <row r="224">
      <c r="G224" s="177"/>
    </row>
    <row r="225">
      <c r="G225" s="177"/>
    </row>
    <row r="226">
      <c r="G226" s="177"/>
    </row>
    <row r="227">
      <c r="G227" s="177"/>
    </row>
    <row r="228">
      <c r="G228" s="177"/>
    </row>
    <row r="229">
      <c r="G229" s="177"/>
    </row>
    <row r="230">
      <c r="G230" s="177"/>
    </row>
    <row r="231">
      <c r="G231" s="177"/>
    </row>
    <row r="232">
      <c r="G232" s="177"/>
    </row>
    <row r="233">
      <c r="G233" s="177"/>
    </row>
    <row r="234">
      <c r="G234" s="177"/>
    </row>
    <row r="235">
      <c r="G235" s="177"/>
    </row>
    <row r="236">
      <c r="G236" s="177"/>
    </row>
    <row r="237">
      <c r="G237" s="177"/>
    </row>
    <row r="238">
      <c r="G238" s="177"/>
    </row>
    <row r="239">
      <c r="G239" s="177"/>
    </row>
    <row r="240">
      <c r="G240" s="177"/>
    </row>
    <row r="241">
      <c r="G241" s="177"/>
    </row>
    <row r="242">
      <c r="G242" s="177"/>
    </row>
    <row r="243">
      <c r="G243" s="177"/>
    </row>
    <row r="244">
      <c r="G244" s="177"/>
    </row>
    <row r="245">
      <c r="G245" s="177"/>
    </row>
    <row r="246">
      <c r="G246" s="177"/>
    </row>
    <row r="247">
      <c r="G247" s="177"/>
    </row>
    <row r="248">
      <c r="G248" s="177"/>
    </row>
    <row r="249">
      <c r="G249" s="177"/>
    </row>
    <row r="250">
      <c r="G250" s="177"/>
    </row>
    <row r="251">
      <c r="G251" s="177"/>
    </row>
    <row r="252">
      <c r="G252" s="177"/>
    </row>
    <row r="253">
      <c r="G253" s="177"/>
    </row>
    <row r="254">
      <c r="G254" s="177"/>
    </row>
    <row r="255">
      <c r="G255" s="177"/>
    </row>
    <row r="256">
      <c r="G256" s="177"/>
    </row>
    <row r="257">
      <c r="G257" s="177"/>
    </row>
    <row r="258">
      <c r="G258" s="177"/>
    </row>
    <row r="259">
      <c r="G259" s="177"/>
    </row>
    <row r="260">
      <c r="G260" s="177"/>
    </row>
    <row r="261">
      <c r="G261" s="177"/>
    </row>
    <row r="262">
      <c r="G262" s="177"/>
    </row>
    <row r="263">
      <c r="G263" s="177"/>
    </row>
    <row r="264">
      <c r="G264" s="177"/>
    </row>
    <row r="265">
      <c r="G265" s="177"/>
    </row>
    <row r="266">
      <c r="G266" s="177"/>
    </row>
    <row r="267">
      <c r="G267" s="177"/>
    </row>
    <row r="268">
      <c r="G268" s="177"/>
    </row>
    <row r="269">
      <c r="G269" s="177"/>
    </row>
    <row r="270">
      <c r="G270" s="177"/>
    </row>
    <row r="271">
      <c r="G271" s="177"/>
    </row>
    <row r="272">
      <c r="G272" s="177"/>
    </row>
    <row r="273">
      <c r="G273" s="177"/>
    </row>
    <row r="274">
      <c r="G274" s="177"/>
    </row>
    <row r="275">
      <c r="G275" s="177"/>
    </row>
    <row r="276">
      <c r="G276" s="177"/>
    </row>
    <row r="277">
      <c r="G277" s="177"/>
    </row>
    <row r="278">
      <c r="G278" s="177"/>
    </row>
    <row r="279">
      <c r="G279" s="177"/>
    </row>
    <row r="280">
      <c r="G280" s="177"/>
    </row>
    <row r="281">
      <c r="G281" s="177"/>
    </row>
    <row r="282">
      <c r="G282" s="177"/>
    </row>
    <row r="283">
      <c r="G283" s="177"/>
    </row>
    <row r="284">
      <c r="G284" s="177"/>
    </row>
    <row r="285">
      <c r="G285" s="177"/>
    </row>
    <row r="286">
      <c r="G286" s="177"/>
    </row>
    <row r="287">
      <c r="G287" s="177"/>
    </row>
    <row r="288">
      <c r="G288" s="177"/>
    </row>
    <row r="289">
      <c r="G289" s="177"/>
    </row>
    <row r="290">
      <c r="G290" s="177"/>
    </row>
    <row r="291">
      <c r="G291" s="177"/>
    </row>
    <row r="292">
      <c r="G292" s="177"/>
    </row>
    <row r="293">
      <c r="G293" s="177"/>
    </row>
    <row r="294">
      <c r="G294" s="177"/>
    </row>
    <row r="295">
      <c r="G295" s="177"/>
    </row>
    <row r="296">
      <c r="G296" s="177"/>
    </row>
    <row r="297">
      <c r="G297" s="177"/>
    </row>
    <row r="298">
      <c r="G298" s="177"/>
    </row>
    <row r="299">
      <c r="G299" s="177"/>
    </row>
    <row r="300">
      <c r="G300" s="177"/>
    </row>
    <row r="301">
      <c r="G301" s="177"/>
    </row>
    <row r="302">
      <c r="G302" s="177"/>
    </row>
    <row r="303">
      <c r="G303" s="177"/>
    </row>
    <row r="304">
      <c r="G304" s="177"/>
    </row>
    <row r="305">
      <c r="G305" s="177"/>
    </row>
    <row r="306">
      <c r="G306" s="177"/>
    </row>
    <row r="307">
      <c r="G307" s="177"/>
    </row>
    <row r="308">
      <c r="G308" s="177"/>
    </row>
    <row r="309">
      <c r="G309" s="177"/>
    </row>
    <row r="310">
      <c r="G310" s="177"/>
    </row>
    <row r="311">
      <c r="G311" s="177"/>
    </row>
    <row r="312">
      <c r="G312" s="177"/>
    </row>
    <row r="313">
      <c r="G313" s="177"/>
    </row>
    <row r="314">
      <c r="G314" s="177"/>
    </row>
    <row r="315">
      <c r="G315" s="177"/>
    </row>
    <row r="316">
      <c r="G316" s="177"/>
    </row>
    <row r="317">
      <c r="G317" s="177"/>
    </row>
    <row r="318">
      <c r="G318" s="177"/>
    </row>
    <row r="319">
      <c r="G319" s="177"/>
    </row>
    <row r="320">
      <c r="G320" s="177"/>
    </row>
    <row r="321">
      <c r="G321" s="177"/>
    </row>
    <row r="322">
      <c r="G322" s="177"/>
    </row>
    <row r="323">
      <c r="G323" s="177"/>
    </row>
    <row r="324">
      <c r="G324" s="177"/>
    </row>
    <row r="325">
      <c r="G325" s="177"/>
    </row>
    <row r="326">
      <c r="G326" s="177"/>
    </row>
    <row r="327">
      <c r="G327" s="177"/>
    </row>
    <row r="328">
      <c r="G328" s="177"/>
    </row>
    <row r="329">
      <c r="G329" s="177"/>
    </row>
    <row r="330">
      <c r="G330" s="177"/>
    </row>
    <row r="331">
      <c r="G331" s="177"/>
    </row>
    <row r="332">
      <c r="G332" s="177"/>
    </row>
    <row r="333">
      <c r="G333" s="177"/>
    </row>
    <row r="334">
      <c r="G334" s="177"/>
    </row>
    <row r="335">
      <c r="G335" s="177"/>
    </row>
    <row r="336">
      <c r="G336" s="177"/>
    </row>
    <row r="337">
      <c r="G337" s="177"/>
    </row>
    <row r="338">
      <c r="G338" s="177"/>
    </row>
    <row r="339">
      <c r="G339" s="177"/>
    </row>
    <row r="340">
      <c r="G340" s="177"/>
    </row>
    <row r="341">
      <c r="G341" s="177"/>
    </row>
    <row r="342">
      <c r="G342" s="177"/>
    </row>
    <row r="343">
      <c r="G343" s="177"/>
    </row>
    <row r="344">
      <c r="G344" s="177"/>
    </row>
    <row r="345">
      <c r="G345" s="177"/>
    </row>
    <row r="346">
      <c r="G346" s="177"/>
    </row>
    <row r="347">
      <c r="G347" s="177"/>
    </row>
    <row r="348">
      <c r="G348" s="177"/>
    </row>
    <row r="349">
      <c r="G349" s="177"/>
    </row>
    <row r="350">
      <c r="G350" s="177"/>
    </row>
    <row r="351">
      <c r="G351" s="177"/>
    </row>
    <row r="352">
      <c r="G352" s="177"/>
    </row>
    <row r="353">
      <c r="G353" s="177"/>
    </row>
    <row r="354">
      <c r="G354" s="177"/>
    </row>
    <row r="355">
      <c r="G355" s="177"/>
    </row>
    <row r="356">
      <c r="G356" s="177"/>
    </row>
    <row r="357">
      <c r="G357" s="177"/>
    </row>
    <row r="358">
      <c r="G358" s="177"/>
    </row>
    <row r="359">
      <c r="G359" s="177"/>
    </row>
    <row r="360">
      <c r="G360" s="177"/>
    </row>
    <row r="361">
      <c r="G361" s="177"/>
    </row>
    <row r="362">
      <c r="G362" s="177"/>
    </row>
    <row r="363">
      <c r="G363" s="177"/>
    </row>
    <row r="364">
      <c r="G364" s="177"/>
    </row>
    <row r="365">
      <c r="G365" s="177"/>
    </row>
    <row r="366">
      <c r="G366" s="177"/>
    </row>
    <row r="367">
      <c r="G367" s="177"/>
    </row>
    <row r="368">
      <c r="G368" s="177"/>
    </row>
    <row r="369">
      <c r="G369" s="177"/>
    </row>
    <row r="370">
      <c r="G370" s="177"/>
    </row>
    <row r="371">
      <c r="G371" s="177"/>
    </row>
    <row r="372">
      <c r="G372" s="177"/>
    </row>
    <row r="373">
      <c r="G373" s="177"/>
    </row>
    <row r="374">
      <c r="G374" s="177"/>
    </row>
    <row r="375">
      <c r="G375" s="177"/>
    </row>
    <row r="376">
      <c r="G376" s="177"/>
    </row>
    <row r="377">
      <c r="G377" s="177"/>
    </row>
    <row r="378">
      <c r="G378" s="177"/>
    </row>
    <row r="379">
      <c r="G379" s="177"/>
    </row>
    <row r="380">
      <c r="G380" s="177"/>
    </row>
    <row r="381">
      <c r="G381" s="177"/>
    </row>
    <row r="382">
      <c r="G382" s="177"/>
    </row>
    <row r="383">
      <c r="G383" s="177"/>
    </row>
    <row r="384">
      <c r="G384" s="177"/>
    </row>
    <row r="385">
      <c r="G385" s="177"/>
    </row>
    <row r="386">
      <c r="G386" s="177"/>
    </row>
    <row r="387">
      <c r="G387" s="177"/>
    </row>
    <row r="388">
      <c r="G388" s="177"/>
    </row>
    <row r="389">
      <c r="G389" s="177"/>
    </row>
    <row r="390">
      <c r="G390" s="177"/>
    </row>
    <row r="391">
      <c r="G391" s="177"/>
    </row>
    <row r="392">
      <c r="G392" s="177"/>
    </row>
    <row r="393">
      <c r="G393" s="177"/>
    </row>
    <row r="394">
      <c r="G394" s="177"/>
    </row>
    <row r="395">
      <c r="G395" s="177"/>
    </row>
    <row r="396">
      <c r="G396" s="177"/>
    </row>
    <row r="397">
      <c r="G397" s="177"/>
    </row>
    <row r="398">
      <c r="G398" s="177"/>
    </row>
    <row r="399">
      <c r="G399" s="177"/>
    </row>
    <row r="400">
      <c r="G400" s="177"/>
    </row>
    <row r="401">
      <c r="G401" s="177"/>
    </row>
    <row r="402">
      <c r="G402" s="177"/>
    </row>
    <row r="403">
      <c r="G403" s="177"/>
    </row>
    <row r="404">
      <c r="G404" s="177"/>
    </row>
    <row r="405">
      <c r="G405" s="177"/>
    </row>
    <row r="406">
      <c r="G406" s="177"/>
    </row>
    <row r="407">
      <c r="G407" s="177"/>
    </row>
    <row r="408">
      <c r="G408" s="177"/>
    </row>
    <row r="409">
      <c r="G409" s="177"/>
    </row>
    <row r="410">
      <c r="G410" s="177"/>
    </row>
    <row r="411">
      <c r="G411" s="177"/>
    </row>
    <row r="412">
      <c r="G412" s="177"/>
    </row>
    <row r="413">
      <c r="G413" s="177"/>
    </row>
    <row r="414">
      <c r="G414" s="177"/>
    </row>
    <row r="415">
      <c r="G415" s="177"/>
    </row>
    <row r="416">
      <c r="G416" s="177"/>
    </row>
    <row r="417">
      <c r="G417" s="177"/>
    </row>
    <row r="418">
      <c r="G418" s="177"/>
    </row>
    <row r="419">
      <c r="G419" s="177"/>
    </row>
    <row r="420">
      <c r="G420" s="177"/>
    </row>
    <row r="421">
      <c r="G421" s="177"/>
    </row>
    <row r="422">
      <c r="G422" s="177"/>
    </row>
    <row r="423">
      <c r="G423" s="177"/>
    </row>
    <row r="424">
      <c r="G424" s="177"/>
    </row>
    <row r="425">
      <c r="G425" s="177"/>
    </row>
    <row r="426">
      <c r="G426" s="177"/>
    </row>
    <row r="427">
      <c r="G427" s="177"/>
    </row>
    <row r="428">
      <c r="G428" s="177"/>
    </row>
    <row r="429">
      <c r="G429" s="177"/>
    </row>
    <row r="430">
      <c r="G430" s="177"/>
    </row>
    <row r="431">
      <c r="G431" s="177"/>
    </row>
    <row r="432">
      <c r="G432" s="177"/>
    </row>
    <row r="433">
      <c r="G433" s="177"/>
    </row>
    <row r="434">
      <c r="G434" s="177"/>
    </row>
    <row r="435">
      <c r="G435" s="177"/>
    </row>
    <row r="436">
      <c r="G436" s="177"/>
    </row>
    <row r="437">
      <c r="G437" s="177"/>
    </row>
    <row r="438">
      <c r="G438" s="177"/>
    </row>
    <row r="439">
      <c r="G439" s="177"/>
    </row>
    <row r="440">
      <c r="G440" s="177"/>
    </row>
    <row r="441">
      <c r="G441" s="177"/>
    </row>
    <row r="442">
      <c r="G442" s="177"/>
    </row>
    <row r="443">
      <c r="G443" s="177"/>
    </row>
    <row r="444">
      <c r="G444" s="177"/>
    </row>
    <row r="445">
      <c r="G445" s="177"/>
    </row>
    <row r="446">
      <c r="G446" s="177"/>
    </row>
    <row r="447">
      <c r="G447" s="177"/>
    </row>
    <row r="448">
      <c r="G448" s="177"/>
    </row>
    <row r="449">
      <c r="G449" s="177"/>
    </row>
    <row r="450">
      <c r="G450" s="177"/>
    </row>
    <row r="451">
      <c r="G451" s="177"/>
    </row>
    <row r="452">
      <c r="G452" s="177"/>
    </row>
    <row r="453">
      <c r="G453" s="177"/>
    </row>
    <row r="454">
      <c r="G454" s="177"/>
    </row>
    <row r="455">
      <c r="G455" s="177"/>
    </row>
    <row r="456">
      <c r="G456" s="177"/>
    </row>
    <row r="457">
      <c r="G457" s="177"/>
    </row>
    <row r="458">
      <c r="G458" s="177"/>
    </row>
    <row r="459">
      <c r="G459" s="177"/>
    </row>
    <row r="460">
      <c r="G460" s="177"/>
    </row>
    <row r="461">
      <c r="G461" s="177"/>
    </row>
    <row r="462">
      <c r="G462" s="177"/>
    </row>
    <row r="463">
      <c r="G463" s="177"/>
    </row>
    <row r="464">
      <c r="G464" s="177"/>
    </row>
    <row r="465">
      <c r="G465" s="177"/>
    </row>
    <row r="466">
      <c r="G466" s="177"/>
    </row>
    <row r="467">
      <c r="G467" s="177"/>
    </row>
    <row r="468">
      <c r="G468" s="177"/>
    </row>
    <row r="469">
      <c r="G469" s="177"/>
    </row>
    <row r="470">
      <c r="G470" s="177"/>
    </row>
    <row r="471">
      <c r="G471" s="177"/>
    </row>
    <row r="472">
      <c r="G472" s="177"/>
    </row>
    <row r="473">
      <c r="G473" s="177"/>
    </row>
    <row r="474">
      <c r="G474" s="177"/>
    </row>
    <row r="475">
      <c r="G475" s="177"/>
    </row>
    <row r="476">
      <c r="G476" s="177"/>
    </row>
    <row r="477">
      <c r="G477" s="177"/>
    </row>
    <row r="478">
      <c r="G478" s="177"/>
    </row>
    <row r="479">
      <c r="G479" s="177"/>
    </row>
    <row r="480">
      <c r="G480" s="177"/>
    </row>
    <row r="481">
      <c r="G481" s="177"/>
    </row>
    <row r="482">
      <c r="G482" s="177"/>
    </row>
    <row r="483">
      <c r="G483" s="177"/>
    </row>
    <row r="484">
      <c r="G484" s="177"/>
    </row>
    <row r="485">
      <c r="G485" s="177"/>
    </row>
    <row r="486">
      <c r="G486" s="177"/>
    </row>
    <row r="487">
      <c r="G487" s="177"/>
    </row>
    <row r="488">
      <c r="G488" s="177"/>
    </row>
    <row r="489">
      <c r="G489" s="177"/>
    </row>
    <row r="490">
      <c r="G490" s="177"/>
    </row>
    <row r="491">
      <c r="G491" s="177"/>
    </row>
    <row r="492">
      <c r="G492" s="177"/>
    </row>
    <row r="493">
      <c r="G493" s="177"/>
    </row>
    <row r="494">
      <c r="G494" s="177"/>
    </row>
    <row r="495">
      <c r="G495" s="177"/>
    </row>
    <row r="496">
      <c r="G496" s="177"/>
    </row>
    <row r="497">
      <c r="G497" s="177"/>
    </row>
    <row r="498">
      <c r="G498" s="177"/>
    </row>
    <row r="499">
      <c r="G499" s="177"/>
    </row>
    <row r="500">
      <c r="G500" s="177"/>
    </row>
    <row r="501">
      <c r="G501" s="177"/>
    </row>
    <row r="502">
      <c r="G502" s="177"/>
    </row>
    <row r="503">
      <c r="G503" s="177"/>
    </row>
    <row r="504">
      <c r="G504" s="177"/>
    </row>
    <row r="505">
      <c r="G505" s="177"/>
    </row>
    <row r="506">
      <c r="G506" s="177"/>
    </row>
    <row r="507">
      <c r="G507" s="177"/>
    </row>
    <row r="508">
      <c r="G508" s="177"/>
    </row>
    <row r="509">
      <c r="G509" s="177"/>
    </row>
    <row r="510">
      <c r="G510" s="177"/>
    </row>
    <row r="511">
      <c r="G511" s="177"/>
    </row>
    <row r="512">
      <c r="G512" s="177"/>
    </row>
    <row r="513">
      <c r="G513" s="177"/>
    </row>
    <row r="514">
      <c r="G514" s="177"/>
    </row>
    <row r="515">
      <c r="G515" s="177"/>
    </row>
    <row r="516">
      <c r="G516" s="177"/>
    </row>
    <row r="517">
      <c r="G517" s="177"/>
    </row>
    <row r="518">
      <c r="G518" s="177"/>
    </row>
    <row r="519">
      <c r="G519" s="177"/>
    </row>
    <row r="520">
      <c r="G520" s="177"/>
    </row>
    <row r="521">
      <c r="G521" s="177"/>
    </row>
    <row r="522">
      <c r="G522" s="177"/>
    </row>
    <row r="523">
      <c r="G523" s="177"/>
    </row>
    <row r="524">
      <c r="G524" s="177"/>
    </row>
    <row r="525">
      <c r="G525" s="177"/>
    </row>
    <row r="526">
      <c r="G526" s="177"/>
    </row>
    <row r="527">
      <c r="G527" s="177"/>
    </row>
    <row r="528">
      <c r="G528" s="177"/>
    </row>
    <row r="529">
      <c r="G529" s="177"/>
    </row>
    <row r="530">
      <c r="G530" s="177"/>
    </row>
    <row r="531">
      <c r="G531" s="177"/>
    </row>
    <row r="532">
      <c r="G532" s="177"/>
    </row>
    <row r="533">
      <c r="G533" s="177"/>
    </row>
    <row r="534">
      <c r="G534" s="177"/>
    </row>
    <row r="535">
      <c r="G535" s="177"/>
    </row>
    <row r="536">
      <c r="G536" s="177"/>
    </row>
    <row r="537">
      <c r="G537" s="177"/>
    </row>
    <row r="538">
      <c r="G538" s="177"/>
    </row>
    <row r="539">
      <c r="G539" s="177"/>
    </row>
    <row r="540">
      <c r="G540" s="177"/>
    </row>
    <row r="541">
      <c r="G541" s="177"/>
    </row>
    <row r="542">
      <c r="G542" s="177"/>
    </row>
    <row r="543">
      <c r="G543" s="177"/>
    </row>
    <row r="544">
      <c r="G544" s="177"/>
    </row>
    <row r="545">
      <c r="G545" s="177"/>
    </row>
    <row r="546">
      <c r="G546" s="177"/>
    </row>
    <row r="547">
      <c r="G547" s="177"/>
    </row>
    <row r="548">
      <c r="G548" s="177"/>
    </row>
    <row r="549">
      <c r="G549" s="177"/>
    </row>
    <row r="550">
      <c r="G550" s="177"/>
    </row>
    <row r="551">
      <c r="G551" s="177"/>
    </row>
    <row r="552">
      <c r="G552" s="177"/>
    </row>
    <row r="553">
      <c r="G553" s="177"/>
    </row>
    <row r="554">
      <c r="G554" s="177"/>
    </row>
    <row r="555">
      <c r="G555" s="177"/>
    </row>
    <row r="556">
      <c r="G556" s="177"/>
    </row>
    <row r="557">
      <c r="G557" s="177"/>
    </row>
    <row r="558">
      <c r="G558" s="177"/>
    </row>
    <row r="559">
      <c r="G559" s="177"/>
    </row>
    <row r="560">
      <c r="G560" s="177"/>
    </row>
    <row r="561">
      <c r="G561" s="177"/>
    </row>
    <row r="562">
      <c r="G562" s="177"/>
    </row>
    <row r="563">
      <c r="G563" s="177"/>
    </row>
    <row r="564">
      <c r="G564" s="177"/>
    </row>
    <row r="565">
      <c r="G565" s="177"/>
    </row>
    <row r="566">
      <c r="G566" s="177"/>
    </row>
    <row r="567">
      <c r="G567" s="177"/>
    </row>
    <row r="568">
      <c r="G568" s="177"/>
    </row>
    <row r="569">
      <c r="G569" s="177"/>
    </row>
    <row r="570">
      <c r="G570" s="177"/>
    </row>
    <row r="571">
      <c r="G571" s="177"/>
    </row>
    <row r="572">
      <c r="G572" s="177"/>
    </row>
    <row r="573">
      <c r="G573" s="177"/>
    </row>
    <row r="574">
      <c r="G574" s="177"/>
    </row>
    <row r="575">
      <c r="G575" s="177"/>
    </row>
    <row r="576">
      <c r="G576" s="177"/>
    </row>
    <row r="577">
      <c r="G577" s="177"/>
    </row>
    <row r="578">
      <c r="G578" s="177"/>
    </row>
    <row r="579">
      <c r="G579" s="177"/>
    </row>
    <row r="580">
      <c r="G580" s="177"/>
    </row>
    <row r="581">
      <c r="G581" s="177"/>
    </row>
    <row r="582">
      <c r="G582" s="177"/>
    </row>
    <row r="583">
      <c r="G583" s="177"/>
    </row>
    <row r="584">
      <c r="G584" s="177"/>
    </row>
    <row r="585">
      <c r="G585" s="177"/>
    </row>
    <row r="586">
      <c r="G586" s="177"/>
    </row>
    <row r="587">
      <c r="G587" s="177"/>
    </row>
    <row r="588">
      <c r="G588" s="177"/>
    </row>
    <row r="589">
      <c r="G589" s="177"/>
    </row>
    <row r="590">
      <c r="G590" s="177"/>
    </row>
    <row r="591">
      <c r="G591" s="177"/>
    </row>
    <row r="592">
      <c r="G592" s="177"/>
    </row>
    <row r="593">
      <c r="G593" s="177"/>
    </row>
    <row r="594">
      <c r="G594" s="177"/>
    </row>
    <row r="595">
      <c r="G595" s="177"/>
    </row>
    <row r="596">
      <c r="G596" s="177"/>
    </row>
    <row r="597">
      <c r="G597" s="177"/>
    </row>
    <row r="598">
      <c r="G598" s="177"/>
    </row>
    <row r="599">
      <c r="G599" s="177"/>
    </row>
    <row r="600">
      <c r="G600" s="177"/>
    </row>
    <row r="601">
      <c r="G601" s="177"/>
    </row>
    <row r="602">
      <c r="G602" s="177"/>
    </row>
    <row r="603">
      <c r="G603" s="177"/>
    </row>
    <row r="604">
      <c r="G604" s="177"/>
    </row>
    <row r="605">
      <c r="G605" s="177"/>
    </row>
    <row r="606">
      <c r="G606" s="177"/>
    </row>
    <row r="607">
      <c r="G607" s="177"/>
    </row>
    <row r="608">
      <c r="G608" s="177"/>
    </row>
    <row r="609">
      <c r="G609" s="177"/>
    </row>
    <row r="610">
      <c r="G610" s="177"/>
    </row>
    <row r="611">
      <c r="G611" s="177"/>
    </row>
    <row r="612">
      <c r="G612" s="177"/>
    </row>
    <row r="613">
      <c r="G613" s="177"/>
    </row>
    <row r="614">
      <c r="G614" s="177"/>
    </row>
    <row r="615">
      <c r="G615" s="177"/>
    </row>
    <row r="616">
      <c r="G616" s="177"/>
    </row>
    <row r="617">
      <c r="G617" s="177"/>
    </row>
    <row r="618">
      <c r="G618" s="177"/>
    </row>
    <row r="619">
      <c r="G619" s="177"/>
    </row>
    <row r="620">
      <c r="G620" s="177"/>
    </row>
    <row r="621">
      <c r="G621" s="177"/>
    </row>
    <row r="622">
      <c r="G622" s="177"/>
    </row>
    <row r="623">
      <c r="G623" s="177"/>
    </row>
    <row r="624">
      <c r="G624" s="177"/>
    </row>
    <row r="625">
      <c r="G625" s="177"/>
    </row>
    <row r="626">
      <c r="G626" s="177"/>
    </row>
    <row r="627">
      <c r="G627" s="177"/>
    </row>
    <row r="628">
      <c r="G628" s="177"/>
    </row>
    <row r="629">
      <c r="G629" s="177"/>
    </row>
    <row r="630">
      <c r="G630" s="177"/>
    </row>
    <row r="631">
      <c r="G631" s="177"/>
    </row>
    <row r="632">
      <c r="G632" s="177"/>
    </row>
    <row r="633">
      <c r="G633" s="177"/>
    </row>
    <row r="634">
      <c r="G634" s="177"/>
    </row>
    <row r="635">
      <c r="G635" s="177"/>
    </row>
    <row r="636">
      <c r="G636" s="177"/>
    </row>
    <row r="637">
      <c r="G637" s="177"/>
    </row>
    <row r="638">
      <c r="G638" s="177"/>
    </row>
    <row r="639">
      <c r="G639" s="177"/>
    </row>
    <row r="640">
      <c r="G640" s="177"/>
    </row>
    <row r="641">
      <c r="G641" s="177"/>
    </row>
    <row r="642">
      <c r="G642" s="177"/>
    </row>
    <row r="643">
      <c r="G643" s="177"/>
    </row>
    <row r="644">
      <c r="G644" s="177"/>
    </row>
    <row r="645">
      <c r="G645" s="177"/>
    </row>
    <row r="646">
      <c r="G646" s="177"/>
    </row>
    <row r="647">
      <c r="G647" s="177"/>
    </row>
    <row r="648">
      <c r="G648" s="177"/>
    </row>
    <row r="649">
      <c r="G649" s="177"/>
    </row>
    <row r="650">
      <c r="G650" s="177"/>
    </row>
    <row r="651">
      <c r="G651" s="177"/>
    </row>
    <row r="652">
      <c r="G652" s="177"/>
    </row>
    <row r="653">
      <c r="G653" s="177"/>
    </row>
    <row r="654">
      <c r="G654" s="177"/>
    </row>
    <row r="655">
      <c r="G655" s="177"/>
    </row>
    <row r="656">
      <c r="G656" s="177"/>
    </row>
    <row r="657">
      <c r="G657" s="177"/>
    </row>
    <row r="658">
      <c r="G658" s="177"/>
    </row>
    <row r="659">
      <c r="G659" s="177"/>
    </row>
    <row r="660">
      <c r="G660" s="177"/>
    </row>
    <row r="661">
      <c r="G661" s="177"/>
    </row>
    <row r="662">
      <c r="G662" s="177"/>
    </row>
    <row r="663">
      <c r="G663" s="177"/>
    </row>
    <row r="664">
      <c r="G664" s="177"/>
    </row>
    <row r="665">
      <c r="G665" s="177"/>
    </row>
    <row r="666">
      <c r="G666" s="177"/>
    </row>
    <row r="667">
      <c r="G667" s="177"/>
    </row>
    <row r="668">
      <c r="G668" s="177"/>
    </row>
    <row r="669">
      <c r="G669" s="177"/>
    </row>
    <row r="670">
      <c r="G670" s="177"/>
    </row>
    <row r="671">
      <c r="G671" s="177"/>
    </row>
    <row r="672">
      <c r="G672" s="177"/>
    </row>
    <row r="673">
      <c r="G673" s="177"/>
    </row>
    <row r="674">
      <c r="G674" s="177"/>
    </row>
    <row r="675">
      <c r="G675" s="177"/>
    </row>
    <row r="676">
      <c r="G676" s="177"/>
    </row>
    <row r="677">
      <c r="G677" s="177"/>
    </row>
    <row r="678">
      <c r="G678" s="177"/>
    </row>
    <row r="679">
      <c r="G679" s="177"/>
    </row>
    <row r="680">
      <c r="G680" s="177"/>
    </row>
    <row r="681">
      <c r="G681" s="177"/>
    </row>
    <row r="682">
      <c r="G682" s="177"/>
    </row>
    <row r="683">
      <c r="G683" s="177"/>
    </row>
    <row r="684">
      <c r="G684" s="177"/>
    </row>
    <row r="685">
      <c r="G685" s="177"/>
    </row>
    <row r="686">
      <c r="G686" s="177"/>
    </row>
    <row r="687">
      <c r="G687" s="177"/>
    </row>
    <row r="688">
      <c r="G688" s="177"/>
    </row>
    <row r="689">
      <c r="G689" s="177"/>
    </row>
    <row r="690">
      <c r="G690" s="177"/>
    </row>
    <row r="691">
      <c r="G691" s="177"/>
    </row>
    <row r="692">
      <c r="G692" s="177"/>
    </row>
    <row r="693">
      <c r="G693" s="177"/>
    </row>
    <row r="694">
      <c r="G694" s="177"/>
    </row>
    <row r="695">
      <c r="G695" s="177"/>
    </row>
    <row r="696">
      <c r="G696" s="177"/>
    </row>
    <row r="697">
      <c r="G697" s="177"/>
    </row>
    <row r="698">
      <c r="G698" s="177"/>
    </row>
    <row r="699">
      <c r="G699" s="177"/>
    </row>
    <row r="700">
      <c r="G700" s="177"/>
    </row>
    <row r="701">
      <c r="G701" s="177"/>
    </row>
    <row r="702">
      <c r="G702" s="177"/>
    </row>
    <row r="703">
      <c r="G703" s="177"/>
    </row>
    <row r="704">
      <c r="G704" s="177"/>
    </row>
    <row r="705">
      <c r="G705" s="177"/>
    </row>
    <row r="706">
      <c r="G706" s="177"/>
    </row>
    <row r="707">
      <c r="G707" s="177"/>
    </row>
    <row r="708">
      <c r="G708" s="177"/>
    </row>
    <row r="709">
      <c r="G709" s="177"/>
    </row>
    <row r="710">
      <c r="G710" s="177"/>
    </row>
    <row r="711">
      <c r="G711" s="177"/>
    </row>
    <row r="712">
      <c r="G712" s="177"/>
    </row>
    <row r="713">
      <c r="G713" s="177"/>
    </row>
    <row r="714">
      <c r="G714" s="177"/>
    </row>
    <row r="715">
      <c r="G715" s="177"/>
    </row>
    <row r="716">
      <c r="G716" s="177"/>
    </row>
    <row r="717">
      <c r="G717" s="177"/>
    </row>
    <row r="718">
      <c r="G718" s="177"/>
    </row>
    <row r="719">
      <c r="G719" s="177"/>
    </row>
    <row r="720">
      <c r="G720" s="177"/>
    </row>
    <row r="721">
      <c r="G721" s="177"/>
    </row>
    <row r="722">
      <c r="G722" s="177"/>
    </row>
    <row r="723">
      <c r="G723" s="177"/>
    </row>
    <row r="724">
      <c r="G724" s="177"/>
    </row>
    <row r="725">
      <c r="G725" s="177"/>
    </row>
    <row r="726">
      <c r="G726" s="177"/>
    </row>
    <row r="727">
      <c r="G727" s="177"/>
    </row>
    <row r="728">
      <c r="G728" s="177"/>
    </row>
    <row r="729">
      <c r="G729" s="177"/>
    </row>
    <row r="730">
      <c r="G730" s="177"/>
    </row>
    <row r="731">
      <c r="G731" s="177"/>
    </row>
    <row r="732">
      <c r="G732" s="177"/>
    </row>
    <row r="733">
      <c r="G733" s="177"/>
    </row>
    <row r="734">
      <c r="G734" s="177"/>
    </row>
    <row r="735">
      <c r="G735" s="177"/>
    </row>
    <row r="736">
      <c r="G736" s="177"/>
    </row>
    <row r="737">
      <c r="G737" s="177"/>
    </row>
    <row r="738">
      <c r="G738" s="177"/>
    </row>
    <row r="739">
      <c r="G739" s="177"/>
    </row>
    <row r="740">
      <c r="G740" s="177"/>
    </row>
    <row r="741">
      <c r="G741" s="177"/>
    </row>
    <row r="742">
      <c r="G742" s="177"/>
    </row>
    <row r="743">
      <c r="G743" s="177"/>
    </row>
    <row r="744">
      <c r="G744" s="177"/>
    </row>
    <row r="745">
      <c r="G745" s="177"/>
    </row>
    <row r="746">
      <c r="G746" s="177"/>
    </row>
    <row r="747">
      <c r="G747" s="177"/>
    </row>
    <row r="748">
      <c r="G748" s="177"/>
    </row>
    <row r="749">
      <c r="G749" s="177"/>
    </row>
    <row r="750">
      <c r="G750" s="177"/>
    </row>
    <row r="751">
      <c r="G751" s="177"/>
    </row>
    <row r="752">
      <c r="G752" s="177"/>
    </row>
    <row r="753">
      <c r="G753" s="177"/>
    </row>
    <row r="754">
      <c r="G754" s="177"/>
    </row>
    <row r="755">
      <c r="G755" s="177"/>
    </row>
    <row r="756">
      <c r="G756" s="177"/>
    </row>
    <row r="757">
      <c r="G757" s="177"/>
    </row>
    <row r="758">
      <c r="G758" s="177"/>
    </row>
    <row r="759">
      <c r="G759" s="177"/>
    </row>
    <row r="760">
      <c r="G760" s="177"/>
    </row>
    <row r="761">
      <c r="G761" s="177"/>
    </row>
    <row r="762">
      <c r="G762" s="177"/>
    </row>
    <row r="763">
      <c r="G763" s="177"/>
    </row>
    <row r="764">
      <c r="G764" s="177"/>
    </row>
    <row r="765">
      <c r="G765" s="177"/>
    </row>
    <row r="766">
      <c r="G766" s="177"/>
    </row>
    <row r="767">
      <c r="G767" s="177"/>
    </row>
    <row r="768">
      <c r="G768" s="177"/>
    </row>
    <row r="769">
      <c r="G769" s="177"/>
    </row>
    <row r="770">
      <c r="G770" s="177"/>
    </row>
    <row r="771">
      <c r="G771" s="177"/>
    </row>
    <row r="772">
      <c r="G772" s="177"/>
    </row>
    <row r="773">
      <c r="G773" s="177"/>
    </row>
    <row r="774">
      <c r="G774" s="177"/>
    </row>
    <row r="775">
      <c r="G775" s="177"/>
    </row>
    <row r="776">
      <c r="G776" s="177"/>
    </row>
    <row r="777">
      <c r="G777" s="177"/>
    </row>
    <row r="778">
      <c r="G778" s="177"/>
    </row>
    <row r="779">
      <c r="G779" s="177"/>
    </row>
    <row r="780">
      <c r="G780" s="177"/>
    </row>
    <row r="781">
      <c r="G781" s="177"/>
    </row>
    <row r="782">
      <c r="G782" s="177"/>
    </row>
    <row r="783">
      <c r="G783" s="177"/>
    </row>
    <row r="784">
      <c r="G784" s="177"/>
    </row>
    <row r="785">
      <c r="G785" s="177"/>
    </row>
    <row r="786">
      <c r="G786" s="177"/>
    </row>
    <row r="787">
      <c r="G787" s="177"/>
    </row>
    <row r="788">
      <c r="G788" s="177"/>
    </row>
    <row r="789">
      <c r="G789" s="177"/>
    </row>
    <row r="790">
      <c r="G790" s="177"/>
    </row>
    <row r="791">
      <c r="G791" s="177"/>
    </row>
    <row r="792">
      <c r="G792" s="177"/>
    </row>
    <row r="793">
      <c r="G793" s="177"/>
    </row>
    <row r="794">
      <c r="G794" s="177"/>
    </row>
    <row r="795">
      <c r="G795" s="177"/>
    </row>
    <row r="796">
      <c r="G796" s="177"/>
    </row>
    <row r="797">
      <c r="G797" s="177"/>
    </row>
    <row r="798">
      <c r="G798" s="177"/>
    </row>
    <row r="799">
      <c r="G799" s="177"/>
    </row>
    <row r="800">
      <c r="G800" s="177"/>
    </row>
    <row r="801">
      <c r="G801" s="177"/>
    </row>
    <row r="802">
      <c r="G802" s="177"/>
    </row>
    <row r="803">
      <c r="G803" s="177"/>
    </row>
    <row r="804">
      <c r="G804" s="177"/>
    </row>
    <row r="805">
      <c r="G805" s="177"/>
    </row>
    <row r="806">
      <c r="G806" s="177"/>
    </row>
    <row r="807">
      <c r="G807" s="177"/>
    </row>
    <row r="808">
      <c r="G808" s="177"/>
    </row>
    <row r="809">
      <c r="G809" s="177"/>
    </row>
    <row r="810">
      <c r="G810" s="177"/>
    </row>
    <row r="811">
      <c r="G811" s="177"/>
    </row>
    <row r="812">
      <c r="G812" s="177"/>
    </row>
    <row r="813">
      <c r="G813" s="177"/>
    </row>
    <row r="814">
      <c r="G814" s="177"/>
    </row>
    <row r="815">
      <c r="G815" s="177"/>
    </row>
    <row r="816">
      <c r="G816" s="177"/>
    </row>
    <row r="817">
      <c r="G817" s="177"/>
    </row>
    <row r="818">
      <c r="G818" s="177"/>
    </row>
    <row r="819">
      <c r="G819" s="177"/>
    </row>
    <row r="820">
      <c r="G820" s="177"/>
    </row>
    <row r="821">
      <c r="G821" s="177"/>
    </row>
    <row r="822">
      <c r="G822" s="177"/>
    </row>
    <row r="823">
      <c r="G823" s="177"/>
    </row>
    <row r="824">
      <c r="G824" s="177"/>
    </row>
    <row r="825">
      <c r="G825" s="177"/>
    </row>
    <row r="826">
      <c r="G826" s="177"/>
    </row>
    <row r="827">
      <c r="G827" s="177"/>
    </row>
    <row r="828">
      <c r="G828" s="177"/>
    </row>
    <row r="829">
      <c r="G829" s="177"/>
    </row>
    <row r="830">
      <c r="G830" s="177"/>
    </row>
    <row r="831">
      <c r="G831" s="177"/>
    </row>
    <row r="832">
      <c r="G832" s="177"/>
    </row>
    <row r="833">
      <c r="G833" s="177"/>
    </row>
    <row r="834">
      <c r="G834" s="177"/>
    </row>
    <row r="835">
      <c r="G835" s="177"/>
    </row>
    <row r="836">
      <c r="G836" s="177"/>
    </row>
    <row r="837">
      <c r="G837" s="177"/>
    </row>
    <row r="838">
      <c r="G838" s="177"/>
    </row>
    <row r="839">
      <c r="G839" s="177"/>
    </row>
    <row r="840">
      <c r="G840" s="177"/>
    </row>
    <row r="841">
      <c r="G841" s="177"/>
    </row>
    <row r="842">
      <c r="G842" s="177"/>
    </row>
    <row r="843">
      <c r="G843" s="177"/>
    </row>
    <row r="844">
      <c r="G844" s="177"/>
    </row>
    <row r="845">
      <c r="G845" s="177"/>
    </row>
    <row r="846">
      <c r="G846" s="177"/>
    </row>
    <row r="847">
      <c r="G847" s="177"/>
    </row>
    <row r="848">
      <c r="G848" s="177"/>
    </row>
    <row r="849">
      <c r="G849" s="177"/>
    </row>
    <row r="850">
      <c r="G850" s="177"/>
    </row>
    <row r="851">
      <c r="G851" s="177"/>
    </row>
    <row r="852">
      <c r="G852" s="177"/>
    </row>
    <row r="853">
      <c r="G853" s="177"/>
    </row>
    <row r="854">
      <c r="G854" s="177"/>
    </row>
    <row r="855">
      <c r="G855" s="177"/>
    </row>
    <row r="856">
      <c r="G856" s="177"/>
    </row>
    <row r="857">
      <c r="G857" s="177"/>
    </row>
    <row r="858">
      <c r="G858" s="177"/>
    </row>
    <row r="859">
      <c r="G859" s="177"/>
    </row>
    <row r="860">
      <c r="G860" s="177"/>
    </row>
    <row r="861">
      <c r="G861" s="177"/>
    </row>
    <row r="862">
      <c r="G862" s="177"/>
    </row>
    <row r="863">
      <c r="G863" s="177"/>
    </row>
    <row r="864">
      <c r="G864" s="177"/>
    </row>
    <row r="865">
      <c r="G865" s="177"/>
    </row>
    <row r="866">
      <c r="G866" s="177"/>
    </row>
    <row r="867">
      <c r="G867" s="177"/>
    </row>
    <row r="868">
      <c r="G868" s="177"/>
    </row>
    <row r="869">
      <c r="G869" s="177"/>
    </row>
    <row r="870">
      <c r="G870" s="177"/>
    </row>
    <row r="871">
      <c r="G871" s="177"/>
    </row>
    <row r="872">
      <c r="G872" s="177"/>
    </row>
    <row r="873">
      <c r="G873" s="177"/>
    </row>
    <row r="874">
      <c r="G874" s="177"/>
    </row>
    <row r="875">
      <c r="G875" s="177"/>
    </row>
    <row r="876">
      <c r="G876" s="177"/>
    </row>
    <row r="877">
      <c r="G877" s="177"/>
    </row>
    <row r="878">
      <c r="G878" s="177"/>
    </row>
    <row r="879">
      <c r="G879" s="177"/>
    </row>
    <row r="880">
      <c r="G880" s="177"/>
    </row>
    <row r="881">
      <c r="G881" s="177"/>
    </row>
    <row r="882">
      <c r="G882" s="177"/>
    </row>
    <row r="883">
      <c r="G883" s="177"/>
    </row>
    <row r="884">
      <c r="G884" s="177"/>
    </row>
    <row r="885">
      <c r="G885" s="177"/>
    </row>
    <row r="886">
      <c r="G886" s="177"/>
    </row>
    <row r="887">
      <c r="G887" s="177"/>
    </row>
    <row r="888">
      <c r="G888" s="177"/>
    </row>
    <row r="889">
      <c r="G889" s="177"/>
    </row>
    <row r="890">
      <c r="G890" s="177"/>
    </row>
    <row r="891">
      <c r="G891" s="177"/>
    </row>
    <row r="892">
      <c r="G892" s="177"/>
    </row>
    <row r="893">
      <c r="G893" s="177"/>
    </row>
    <row r="894">
      <c r="G894" s="177"/>
    </row>
    <row r="895">
      <c r="G895" s="177"/>
    </row>
    <row r="896">
      <c r="G896" s="177"/>
    </row>
    <row r="897">
      <c r="G897" s="177"/>
    </row>
    <row r="898">
      <c r="G898" s="177"/>
    </row>
    <row r="899">
      <c r="G899" s="177"/>
    </row>
    <row r="900">
      <c r="G900" s="177"/>
    </row>
    <row r="901">
      <c r="G901" s="177"/>
    </row>
    <row r="902">
      <c r="G902" s="177"/>
    </row>
    <row r="903">
      <c r="G903" s="177"/>
    </row>
    <row r="904">
      <c r="G904" s="177"/>
    </row>
    <row r="905">
      <c r="G905" s="177"/>
    </row>
    <row r="906">
      <c r="G906" s="177"/>
    </row>
    <row r="907">
      <c r="G907" s="177"/>
    </row>
    <row r="908">
      <c r="G908" s="177"/>
    </row>
    <row r="909">
      <c r="G909" s="177"/>
    </row>
    <row r="910">
      <c r="G910" s="177"/>
    </row>
    <row r="911">
      <c r="G911" s="177"/>
    </row>
    <row r="912">
      <c r="G912" s="177"/>
    </row>
    <row r="913">
      <c r="G913" s="177"/>
    </row>
    <row r="914">
      <c r="G914" s="177"/>
    </row>
    <row r="915">
      <c r="G915" s="177"/>
    </row>
    <row r="916">
      <c r="G916" s="177"/>
    </row>
    <row r="917">
      <c r="G917" s="177"/>
    </row>
    <row r="918">
      <c r="G918" s="177"/>
    </row>
    <row r="919">
      <c r="G919" s="177"/>
    </row>
    <row r="920">
      <c r="G920" s="177"/>
    </row>
    <row r="921">
      <c r="G921" s="177"/>
    </row>
    <row r="922">
      <c r="G922" s="177"/>
    </row>
    <row r="923">
      <c r="G923" s="177"/>
    </row>
    <row r="924">
      <c r="G924" s="177"/>
    </row>
    <row r="925">
      <c r="G925" s="177"/>
    </row>
    <row r="926">
      <c r="G926" s="177"/>
    </row>
    <row r="927">
      <c r="G927" s="177"/>
    </row>
    <row r="928">
      <c r="G928" s="177"/>
    </row>
    <row r="929">
      <c r="G929" s="177"/>
    </row>
    <row r="930">
      <c r="G930" s="177"/>
    </row>
    <row r="931">
      <c r="G931" s="177"/>
    </row>
    <row r="932">
      <c r="G932" s="177"/>
    </row>
    <row r="933">
      <c r="G933" s="177"/>
    </row>
    <row r="934">
      <c r="G934" s="177"/>
    </row>
    <row r="935">
      <c r="G935" s="177"/>
    </row>
    <row r="936">
      <c r="G936" s="177"/>
    </row>
    <row r="937">
      <c r="G937" s="177"/>
    </row>
    <row r="938">
      <c r="G938" s="177"/>
    </row>
    <row r="939">
      <c r="G939" s="177"/>
    </row>
    <row r="940">
      <c r="G940" s="177"/>
    </row>
    <row r="941">
      <c r="G941" s="177"/>
    </row>
    <row r="942">
      <c r="G942" s="177"/>
    </row>
    <row r="943">
      <c r="G943" s="177"/>
    </row>
    <row r="944">
      <c r="G944" s="177"/>
    </row>
    <row r="945">
      <c r="G945" s="177"/>
    </row>
    <row r="946">
      <c r="G946" s="177"/>
    </row>
    <row r="947">
      <c r="G947" s="177"/>
    </row>
    <row r="948">
      <c r="G948" s="177"/>
    </row>
    <row r="949">
      <c r="G949" s="177"/>
    </row>
    <row r="950">
      <c r="G950" s="177"/>
    </row>
    <row r="951">
      <c r="G951" s="177"/>
    </row>
    <row r="952">
      <c r="G952" s="177"/>
    </row>
    <row r="953">
      <c r="G953" s="177"/>
    </row>
    <row r="954">
      <c r="G954" s="177"/>
    </row>
    <row r="955">
      <c r="G955" s="177"/>
    </row>
    <row r="956">
      <c r="G956" s="177"/>
    </row>
    <row r="957">
      <c r="G957" s="177"/>
    </row>
    <row r="958">
      <c r="G958" s="177"/>
    </row>
    <row r="959">
      <c r="G959" s="177"/>
    </row>
    <row r="960">
      <c r="G960" s="177"/>
    </row>
    <row r="961">
      <c r="G961" s="177"/>
    </row>
    <row r="962">
      <c r="G962" s="177"/>
    </row>
    <row r="963">
      <c r="G963" s="177"/>
    </row>
    <row r="964">
      <c r="G964" s="177"/>
    </row>
    <row r="965">
      <c r="G965" s="177"/>
    </row>
    <row r="966">
      <c r="G966" s="177"/>
    </row>
    <row r="967">
      <c r="G967" s="177"/>
    </row>
    <row r="968">
      <c r="G968" s="177"/>
    </row>
    <row r="969">
      <c r="G969" s="177"/>
    </row>
    <row r="970">
      <c r="G970" s="177"/>
    </row>
    <row r="971">
      <c r="G971" s="177"/>
    </row>
    <row r="972">
      <c r="G972" s="177"/>
    </row>
    <row r="973">
      <c r="G973" s="177"/>
    </row>
    <row r="974">
      <c r="G974" s="177"/>
    </row>
    <row r="975">
      <c r="G975" s="177"/>
    </row>
    <row r="976">
      <c r="G976" s="177"/>
    </row>
    <row r="977">
      <c r="G977" s="177"/>
    </row>
    <row r="978">
      <c r="G978" s="177"/>
    </row>
    <row r="979">
      <c r="G979" s="177"/>
    </row>
    <row r="980">
      <c r="G980" s="177"/>
    </row>
    <row r="981">
      <c r="G981" s="177"/>
    </row>
    <row r="982">
      <c r="G982" s="177"/>
    </row>
    <row r="983">
      <c r="G983" s="177"/>
    </row>
    <row r="984">
      <c r="G984" s="177"/>
    </row>
    <row r="985">
      <c r="G985" s="177"/>
    </row>
    <row r="986">
      <c r="G986" s="177"/>
    </row>
    <row r="987">
      <c r="G987" s="177"/>
    </row>
    <row r="988">
      <c r="G988" s="177"/>
    </row>
    <row r="989">
      <c r="G989" s="177"/>
    </row>
    <row r="990">
      <c r="G990" s="177"/>
    </row>
    <row r="991">
      <c r="G991" s="177"/>
    </row>
    <row r="992">
      <c r="G992" s="177"/>
    </row>
    <row r="993">
      <c r="G993" s="177"/>
    </row>
    <row r="994">
      <c r="G994" s="177"/>
    </row>
    <row r="995">
      <c r="G995" s="177"/>
    </row>
    <row r="996">
      <c r="G996" s="177"/>
    </row>
    <row r="997">
      <c r="G997" s="177"/>
    </row>
    <row r="998">
      <c r="G998" s="177"/>
    </row>
    <row r="999">
      <c r="G999" s="177"/>
    </row>
    <row r="1000">
      <c r="G1000" s="177"/>
    </row>
    <row r="1001">
      <c r="G1001" s="177"/>
    </row>
    <row r="1002">
      <c r="G1002" s="177"/>
    </row>
    <row r="1003">
      <c r="G1003" s="177"/>
    </row>
    <row r="1004">
      <c r="G1004" s="177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9"/>
    <hyperlink r:id="rId7" location="gid=49628835" ref="H10"/>
    <hyperlink r:id="rId8" location="gid=609170198" ref="H11"/>
  </hyperlinks>
  <drawing r:id="rId9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3" max="3" width="8.0"/>
    <col customWidth="1" min="4" max="4" width="7.88"/>
    <col customWidth="1" min="5" max="5" width="11.38"/>
    <col customWidth="1" min="6" max="6" width="19.25"/>
    <col customWidth="1" min="7" max="7" width="27.38"/>
    <col customWidth="1" min="8" max="8" width="89.0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777</v>
      </c>
      <c r="G1" s="135" t="s">
        <v>184</v>
      </c>
      <c r="H1" s="119" t="s">
        <v>185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14" t="s">
        <v>85</v>
      </c>
      <c r="B2" s="71">
        <v>9.0</v>
      </c>
      <c r="C2" s="71">
        <v>11.0</v>
      </c>
      <c r="D2" s="71">
        <v>16.0</v>
      </c>
      <c r="E2" s="136">
        <f t="shared" ref="E2:E7" si="1">C2/D2</f>
        <v>0.6875</v>
      </c>
      <c r="F2" s="33">
        <v>2.0</v>
      </c>
      <c r="G2" s="79">
        <v>45.25</v>
      </c>
      <c r="H2" s="155" t="s">
        <v>778</v>
      </c>
      <c r="I2" s="55" t="s">
        <v>779</v>
      </c>
    </row>
    <row r="3">
      <c r="A3" s="14" t="s">
        <v>86</v>
      </c>
      <c r="B3" s="112">
        <v>11.0</v>
      </c>
      <c r="C3" s="112">
        <v>14.5</v>
      </c>
      <c r="D3" s="112">
        <v>15.0</v>
      </c>
      <c r="E3" s="136">
        <f t="shared" si="1"/>
        <v>0.9666666667</v>
      </c>
      <c r="F3" s="173"/>
      <c r="G3" s="143">
        <v>63.43</v>
      </c>
      <c r="H3" s="155" t="s">
        <v>780</v>
      </c>
      <c r="I3" s="55" t="s">
        <v>779</v>
      </c>
    </row>
    <row r="4">
      <c r="A4" s="14" t="s">
        <v>88</v>
      </c>
      <c r="B4" s="112">
        <v>18.0</v>
      </c>
      <c r="C4" s="112">
        <v>11.0</v>
      </c>
      <c r="D4" s="112">
        <v>20.0</v>
      </c>
      <c r="E4" s="136">
        <f t="shared" si="1"/>
        <v>0.55</v>
      </c>
      <c r="F4" s="138">
        <v>2.0</v>
      </c>
      <c r="G4" s="144">
        <v>71.5</v>
      </c>
      <c r="H4" s="152" t="s">
        <v>781</v>
      </c>
      <c r="I4" s="55" t="s">
        <v>779</v>
      </c>
    </row>
    <row r="5">
      <c r="A5" s="14" t="s">
        <v>90</v>
      </c>
      <c r="B5" s="112">
        <v>6.0</v>
      </c>
      <c r="C5" s="112">
        <v>21.0</v>
      </c>
      <c r="D5" s="112">
        <v>12.0</v>
      </c>
      <c r="E5" s="136">
        <f t="shared" si="1"/>
        <v>1.75</v>
      </c>
      <c r="F5" s="141">
        <v>1.0</v>
      </c>
      <c r="G5" s="144">
        <v>90.7</v>
      </c>
      <c r="H5" s="155" t="s">
        <v>782</v>
      </c>
      <c r="I5" s="55" t="s">
        <v>779</v>
      </c>
    </row>
    <row r="6">
      <c r="A6" s="14" t="s">
        <v>91</v>
      </c>
      <c r="B6" s="112">
        <v>14.0</v>
      </c>
      <c r="C6" s="112">
        <v>13.5</v>
      </c>
      <c r="D6" s="112">
        <v>12.0</v>
      </c>
      <c r="E6" s="136">
        <f t="shared" si="1"/>
        <v>1.125</v>
      </c>
      <c r="F6" s="141">
        <v>3.0</v>
      </c>
      <c r="G6" s="143">
        <v>74.13</v>
      </c>
      <c r="H6" s="155" t="s">
        <v>783</v>
      </c>
      <c r="I6" s="55" t="s">
        <v>779</v>
      </c>
    </row>
    <row r="7">
      <c r="A7" s="14" t="s">
        <v>94</v>
      </c>
      <c r="B7" s="112">
        <v>7.0</v>
      </c>
      <c r="C7" s="112">
        <v>15.0</v>
      </c>
      <c r="D7" s="112">
        <v>15.0</v>
      </c>
      <c r="E7" s="136">
        <f t="shared" si="1"/>
        <v>1</v>
      </c>
      <c r="F7" s="141">
        <v>3.0</v>
      </c>
      <c r="G7" s="143">
        <v>58.35</v>
      </c>
      <c r="H7" s="155" t="s">
        <v>784</v>
      </c>
      <c r="I7" s="55" t="s">
        <v>779</v>
      </c>
    </row>
    <row r="10">
      <c r="A10" s="14" t="s">
        <v>89</v>
      </c>
      <c r="B10" s="112">
        <v>12.0</v>
      </c>
      <c r="C10" s="112">
        <v>10.0</v>
      </c>
      <c r="D10" s="112">
        <v>19.0</v>
      </c>
      <c r="E10" s="136">
        <f t="shared" ref="E10:E11" si="2">C10/D10</f>
        <v>0.5263157895</v>
      </c>
      <c r="F10" s="141">
        <v>2.0</v>
      </c>
      <c r="G10" s="144">
        <v>80.83</v>
      </c>
      <c r="H10" s="155" t="s">
        <v>785</v>
      </c>
      <c r="I10" s="55" t="s">
        <v>779</v>
      </c>
    </row>
    <row r="11">
      <c r="A11" s="14" t="s">
        <v>92</v>
      </c>
      <c r="B11" s="112">
        <v>4.0</v>
      </c>
      <c r="C11" s="112">
        <v>10.5</v>
      </c>
      <c r="D11" s="112">
        <v>10.5</v>
      </c>
      <c r="E11" s="136">
        <f t="shared" si="2"/>
        <v>1</v>
      </c>
      <c r="F11" s="141">
        <v>1.0</v>
      </c>
      <c r="G11" s="143">
        <v>41.23</v>
      </c>
      <c r="H11" s="152" t="s">
        <v>786</v>
      </c>
      <c r="I11" s="55" t="s">
        <v>779</v>
      </c>
    </row>
    <row r="12">
      <c r="G12" s="177"/>
    </row>
    <row r="13">
      <c r="G13" s="177"/>
    </row>
    <row r="14">
      <c r="B14" s="52">
        <f t="shared" ref="B14:D14" si="3">SUM(B2:B11)</f>
        <v>81</v>
      </c>
      <c r="C14" s="52">
        <f t="shared" si="3"/>
        <v>106.5</v>
      </c>
      <c r="D14" s="52">
        <f t="shared" si="3"/>
        <v>119.5</v>
      </c>
      <c r="E14" s="86">
        <f>C14/D14</f>
        <v>0.8912133891</v>
      </c>
      <c r="F14" s="55">
        <v>14.0</v>
      </c>
      <c r="G14" s="66">
        <f>SUM(G2:G11)</f>
        <v>525.42</v>
      </c>
    </row>
    <row r="15">
      <c r="G15" s="177"/>
    </row>
    <row r="16">
      <c r="G16" s="177"/>
    </row>
    <row r="17">
      <c r="G17" s="177"/>
    </row>
    <row r="18">
      <c r="G18" s="177"/>
    </row>
    <row r="19">
      <c r="G19" s="177"/>
    </row>
    <row r="20">
      <c r="G20" s="177"/>
    </row>
    <row r="21">
      <c r="G21" s="177"/>
    </row>
    <row r="22">
      <c r="G22" s="177"/>
    </row>
    <row r="23">
      <c r="G23" s="177"/>
    </row>
    <row r="24">
      <c r="G24" s="177"/>
    </row>
    <row r="25">
      <c r="G25" s="177"/>
    </row>
    <row r="26">
      <c r="G26" s="177"/>
    </row>
    <row r="27">
      <c r="G27" s="177"/>
    </row>
    <row r="28">
      <c r="G28" s="177"/>
    </row>
    <row r="29">
      <c r="G29" s="177"/>
    </row>
    <row r="30">
      <c r="G30" s="177"/>
    </row>
    <row r="31">
      <c r="G31" s="177"/>
    </row>
    <row r="32">
      <c r="G32" s="177"/>
    </row>
    <row r="33">
      <c r="G33" s="177"/>
    </row>
    <row r="34">
      <c r="G34" s="177"/>
    </row>
    <row r="35">
      <c r="G35" s="177"/>
    </row>
    <row r="36">
      <c r="G36" s="177"/>
    </row>
    <row r="37">
      <c r="G37" s="177"/>
    </row>
    <row r="38">
      <c r="G38" s="177"/>
    </row>
    <row r="39">
      <c r="G39" s="177"/>
    </row>
    <row r="40">
      <c r="G40" s="177"/>
    </row>
    <row r="41">
      <c r="G41" s="177"/>
    </row>
    <row r="42">
      <c r="G42" s="177"/>
    </row>
    <row r="43">
      <c r="G43" s="177"/>
    </row>
    <row r="44">
      <c r="G44" s="177"/>
    </row>
    <row r="45">
      <c r="G45" s="177"/>
    </row>
    <row r="46">
      <c r="G46" s="177"/>
    </row>
    <row r="47">
      <c r="G47" s="177"/>
    </row>
    <row r="48">
      <c r="G48" s="177"/>
    </row>
    <row r="49">
      <c r="G49" s="177"/>
    </row>
    <row r="50">
      <c r="G50" s="177"/>
    </row>
    <row r="51">
      <c r="G51" s="177"/>
    </row>
    <row r="52">
      <c r="G52" s="177"/>
    </row>
    <row r="53">
      <c r="G53" s="177"/>
    </row>
    <row r="54">
      <c r="G54" s="177"/>
    </row>
    <row r="55">
      <c r="G55" s="177"/>
    </row>
    <row r="56">
      <c r="G56" s="177"/>
    </row>
    <row r="57">
      <c r="G57" s="177"/>
    </row>
    <row r="58">
      <c r="G58" s="177"/>
    </row>
    <row r="59">
      <c r="G59" s="177"/>
    </row>
    <row r="60">
      <c r="G60" s="177"/>
    </row>
    <row r="61">
      <c r="G61" s="177"/>
    </row>
    <row r="62">
      <c r="G62" s="177"/>
    </row>
    <row r="63">
      <c r="G63" s="177"/>
    </row>
    <row r="64">
      <c r="G64" s="177"/>
    </row>
    <row r="65">
      <c r="G65" s="177"/>
    </row>
    <row r="66">
      <c r="G66" s="177"/>
    </row>
    <row r="67">
      <c r="G67" s="177"/>
    </row>
    <row r="68">
      <c r="G68" s="177"/>
    </row>
    <row r="69">
      <c r="G69" s="177"/>
    </row>
    <row r="70">
      <c r="G70" s="177"/>
    </row>
    <row r="71">
      <c r="G71" s="177"/>
    </row>
    <row r="72">
      <c r="G72" s="177"/>
    </row>
    <row r="73">
      <c r="G73" s="177"/>
    </row>
    <row r="74">
      <c r="G74" s="177"/>
    </row>
    <row r="75">
      <c r="G75" s="177"/>
    </row>
    <row r="76">
      <c r="G76" s="177"/>
    </row>
    <row r="77">
      <c r="G77" s="177"/>
    </row>
    <row r="78">
      <c r="G78" s="177"/>
    </row>
    <row r="79">
      <c r="G79" s="177"/>
    </row>
    <row r="80">
      <c r="G80" s="177"/>
    </row>
    <row r="81">
      <c r="G81" s="177"/>
    </row>
    <row r="82">
      <c r="G82" s="177"/>
    </row>
    <row r="83">
      <c r="G83" s="177"/>
    </row>
    <row r="84">
      <c r="G84" s="177"/>
    </row>
    <row r="85">
      <c r="G85" s="177"/>
    </row>
    <row r="86">
      <c r="G86" s="177"/>
    </row>
    <row r="87">
      <c r="G87" s="177"/>
    </row>
    <row r="88">
      <c r="G88" s="177"/>
    </row>
    <row r="89">
      <c r="G89" s="177"/>
    </row>
    <row r="90">
      <c r="G90" s="177"/>
    </row>
    <row r="91">
      <c r="G91" s="177"/>
    </row>
    <row r="92">
      <c r="G92" s="177"/>
    </row>
    <row r="93">
      <c r="G93" s="177"/>
    </row>
    <row r="94">
      <c r="G94" s="177"/>
    </row>
    <row r="95">
      <c r="G95" s="177"/>
    </row>
    <row r="96">
      <c r="G96" s="177"/>
    </row>
    <row r="97">
      <c r="G97" s="177"/>
    </row>
    <row r="98">
      <c r="G98" s="177"/>
    </row>
    <row r="99">
      <c r="G99" s="177"/>
    </row>
    <row r="100">
      <c r="G100" s="177"/>
    </row>
    <row r="101">
      <c r="G101" s="177"/>
    </row>
    <row r="102">
      <c r="G102" s="177"/>
    </row>
    <row r="103">
      <c r="G103" s="177"/>
    </row>
    <row r="104">
      <c r="G104" s="177"/>
    </row>
    <row r="105">
      <c r="G105" s="177"/>
    </row>
    <row r="106">
      <c r="G106" s="177"/>
    </row>
    <row r="107">
      <c r="G107" s="177"/>
    </row>
    <row r="108">
      <c r="G108" s="177"/>
    </row>
    <row r="109">
      <c r="G109" s="177"/>
    </row>
    <row r="110">
      <c r="G110" s="177"/>
    </row>
    <row r="111">
      <c r="G111" s="177"/>
    </row>
    <row r="112">
      <c r="G112" s="177"/>
    </row>
    <row r="113">
      <c r="G113" s="177"/>
    </row>
    <row r="114">
      <c r="G114" s="177"/>
    </row>
    <row r="115">
      <c r="G115" s="177"/>
    </row>
    <row r="116">
      <c r="G116" s="177"/>
    </row>
    <row r="117">
      <c r="G117" s="177"/>
    </row>
    <row r="118">
      <c r="G118" s="177"/>
    </row>
    <row r="119">
      <c r="G119" s="177"/>
    </row>
    <row r="120">
      <c r="G120" s="177"/>
    </row>
    <row r="121">
      <c r="G121" s="177"/>
    </row>
    <row r="122">
      <c r="G122" s="177"/>
    </row>
    <row r="123">
      <c r="G123" s="177"/>
    </row>
    <row r="124">
      <c r="G124" s="177"/>
    </row>
    <row r="125">
      <c r="G125" s="177"/>
    </row>
    <row r="126">
      <c r="G126" s="177"/>
    </row>
    <row r="127">
      <c r="G127" s="177"/>
    </row>
    <row r="128">
      <c r="G128" s="177"/>
    </row>
    <row r="129">
      <c r="G129" s="177"/>
    </row>
    <row r="130">
      <c r="G130" s="177"/>
    </row>
    <row r="131">
      <c r="G131" s="177"/>
    </row>
    <row r="132">
      <c r="G132" s="177"/>
    </row>
    <row r="133">
      <c r="G133" s="177"/>
    </row>
    <row r="134">
      <c r="G134" s="177"/>
    </row>
    <row r="135">
      <c r="G135" s="177"/>
    </row>
    <row r="136">
      <c r="G136" s="177"/>
    </row>
    <row r="137">
      <c r="G137" s="177"/>
    </row>
    <row r="138">
      <c r="G138" s="177"/>
    </row>
    <row r="139">
      <c r="G139" s="177"/>
    </row>
    <row r="140">
      <c r="G140" s="177"/>
    </row>
    <row r="141">
      <c r="G141" s="177"/>
    </row>
    <row r="142">
      <c r="G142" s="177"/>
    </row>
    <row r="143">
      <c r="G143" s="177"/>
    </row>
    <row r="144">
      <c r="G144" s="177"/>
    </row>
    <row r="145">
      <c r="G145" s="177"/>
    </row>
    <row r="146">
      <c r="G146" s="177"/>
    </row>
    <row r="147">
      <c r="G147" s="177"/>
    </row>
    <row r="148">
      <c r="G148" s="177"/>
    </row>
    <row r="149">
      <c r="G149" s="177"/>
    </row>
    <row r="150">
      <c r="G150" s="177"/>
    </row>
    <row r="151">
      <c r="G151" s="177"/>
    </row>
    <row r="152">
      <c r="G152" s="177"/>
    </row>
    <row r="153">
      <c r="G153" s="177"/>
    </row>
    <row r="154">
      <c r="G154" s="177"/>
    </row>
    <row r="155">
      <c r="G155" s="177"/>
    </row>
    <row r="156">
      <c r="G156" s="177"/>
    </row>
    <row r="157">
      <c r="G157" s="177"/>
    </row>
    <row r="158">
      <c r="G158" s="177"/>
    </row>
    <row r="159">
      <c r="G159" s="177"/>
    </row>
    <row r="160">
      <c r="G160" s="177"/>
    </row>
    <row r="161">
      <c r="G161" s="177"/>
    </row>
    <row r="162">
      <c r="G162" s="177"/>
    </row>
    <row r="163">
      <c r="G163" s="177"/>
    </row>
    <row r="164">
      <c r="G164" s="177"/>
    </row>
    <row r="165">
      <c r="G165" s="177"/>
    </row>
    <row r="166">
      <c r="G166" s="177"/>
    </row>
    <row r="167">
      <c r="G167" s="177"/>
    </row>
    <row r="168">
      <c r="G168" s="177"/>
    </row>
    <row r="169">
      <c r="G169" s="177"/>
    </row>
    <row r="170">
      <c r="G170" s="177"/>
    </row>
    <row r="171">
      <c r="G171" s="177"/>
    </row>
    <row r="172">
      <c r="G172" s="177"/>
    </row>
    <row r="173">
      <c r="G173" s="177"/>
    </row>
    <row r="174">
      <c r="G174" s="177"/>
    </row>
    <row r="175">
      <c r="G175" s="177"/>
    </row>
    <row r="176">
      <c r="G176" s="177"/>
    </row>
    <row r="177">
      <c r="G177" s="177"/>
    </row>
    <row r="178">
      <c r="G178" s="177"/>
    </row>
    <row r="179">
      <c r="G179" s="177"/>
    </row>
    <row r="180">
      <c r="G180" s="177"/>
    </row>
    <row r="181">
      <c r="G181" s="177"/>
    </row>
    <row r="182">
      <c r="G182" s="177"/>
    </row>
    <row r="183">
      <c r="G183" s="177"/>
    </row>
    <row r="184">
      <c r="G184" s="177"/>
    </row>
    <row r="185">
      <c r="G185" s="177"/>
    </row>
    <row r="186">
      <c r="G186" s="177"/>
    </row>
    <row r="187">
      <c r="G187" s="177"/>
    </row>
    <row r="188">
      <c r="G188" s="177"/>
    </row>
    <row r="189">
      <c r="G189" s="177"/>
    </row>
    <row r="190">
      <c r="G190" s="177"/>
    </row>
    <row r="191">
      <c r="G191" s="177"/>
    </row>
    <row r="192">
      <c r="G192" s="177"/>
    </row>
    <row r="193">
      <c r="G193" s="177"/>
    </row>
    <row r="194">
      <c r="G194" s="177"/>
    </row>
    <row r="195">
      <c r="G195" s="177"/>
    </row>
    <row r="196">
      <c r="G196" s="177"/>
    </row>
    <row r="197">
      <c r="G197" s="177"/>
    </row>
    <row r="198">
      <c r="G198" s="177"/>
    </row>
    <row r="199">
      <c r="G199" s="177"/>
    </row>
    <row r="200">
      <c r="G200" s="177"/>
    </row>
    <row r="201">
      <c r="G201" s="177"/>
    </row>
    <row r="202">
      <c r="G202" s="177"/>
    </row>
    <row r="203">
      <c r="G203" s="177"/>
    </row>
    <row r="204">
      <c r="G204" s="177"/>
    </row>
    <row r="205">
      <c r="G205" s="177"/>
    </row>
    <row r="206">
      <c r="G206" s="177"/>
    </row>
    <row r="207">
      <c r="G207" s="177"/>
    </row>
    <row r="208">
      <c r="G208" s="177"/>
    </row>
    <row r="209">
      <c r="G209" s="177"/>
    </row>
    <row r="210">
      <c r="G210" s="177"/>
    </row>
    <row r="211">
      <c r="G211" s="177"/>
    </row>
    <row r="212">
      <c r="G212" s="177"/>
    </row>
    <row r="213">
      <c r="G213" s="177"/>
    </row>
    <row r="214">
      <c r="G214" s="177"/>
    </row>
    <row r="215">
      <c r="G215" s="177"/>
    </row>
    <row r="216">
      <c r="G216" s="177"/>
    </row>
    <row r="217">
      <c r="G217" s="177"/>
    </row>
    <row r="218">
      <c r="G218" s="177"/>
    </row>
    <row r="219">
      <c r="G219" s="177"/>
    </row>
    <row r="220">
      <c r="G220" s="177"/>
    </row>
    <row r="221">
      <c r="G221" s="177"/>
    </row>
    <row r="222">
      <c r="G222" s="177"/>
    </row>
    <row r="223">
      <c r="G223" s="177"/>
    </row>
    <row r="224">
      <c r="G224" s="177"/>
    </row>
    <row r="225">
      <c r="G225" s="177"/>
    </row>
    <row r="226">
      <c r="G226" s="177"/>
    </row>
    <row r="227">
      <c r="G227" s="177"/>
    </row>
    <row r="228">
      <c r="G228" s="177"/>
    </row>
    <row r="229">
      <c r="G229" s="177"/>
    </row>
    <row r="230">
      <c r="G230" s="177"/>
    </row>
    <row r="231">
      <c r="G231" s="177"/>
    </row>
    <row r="232">
      <c r="G232" s="177"/>
    </row>
    <row r="233">
      <c r="G233" s="177"/>
    </row>
    <row r="234">
      <c r="G234" s="177"/>
    </row>
    <row r="235">
      <c r="G235" s="177"/>
    </row>
    <row r="236">
      <c r="G236" s="177"/>
    </row>
    <row r="237">
      <c r="G237" s="177"/>
    </row>
    <row r="238">
      <c r="G238" s="177"/>
    </row>
    <row r="239">
      <c r="G239" s="177"/>
    </row>
    <row r="240">
      <c r="G240" s="177"/>
    </row>
    <row r="241">
      <c r="G241" s="177"/>
    </row>
    <row r="242">
      <c r="G242" s="177"/>
    </row>
    <row r="243">
      <c r="G243" s="177"/>
    </row>
    <row r="244">
      <c r="G244" s="177"/>
    </row>
    <row r="245">
      <c r="G245" s="177"/>
    </row>
    <row r="246">
      <c r="G246" s="177"/>
    </row>
    <row r="247">
      <c r="G247" s="177"/>
    </row>
    <row r="248">
      <c r="G248" s="177"/>
    </row>
    <row r="249">
      <c r="G249" s="177"/>
    </row>
    <row r="250">
      <c r="G250" s="177"/>
    </row>
    <row r="251">
      <c r="G251" s="177"/>
    </row>
    <row r="252">
      <c r="G252" s="177"/>
    </row>
    <row r="253">
      <c r="G253" s="177"/>
    </row>
    <row r="254">
      <c r="G254" s="177"/>
    </row>
    <row r="255">
      <c r="G255" s="177"/>
    </row>
    <row r="256">
      <c r="G256" s="177"/>
    </row>
    <row r="257">
      <c r="G257" s="177"/>
    </row>
    <row r="258">
      <c r="G258" s="177"/>
    </row>
    <row r="259">
      <c r="G259" s="177"/>
    </row>
    <row r="260">
      <c r="G260" s="177"/>
    </row>
    <row r="261">
      <c r="G261" s="177"/>
    </row>
    <row r="262">
      <c r="G262" s="177"/>
    </row>
    <row r="263">
      <c r="G263" s="177"/>
    </row>
    <row r="264">
      <c r="G264" s="177"/>
    </row>
    <row r="265">
      <c r="G265" s="177"/>
    </row>
    <row r="266">
      <c r="G266" s="177"/>
    </row>
    <row r="267">
      <c r="G267" s="177"/>
    </row>
    <row r="268">
      <c r="G268" s="177"/>
    </row>
    <row r="269">
      <c r="G269" s="177"/>
    </row>
    <row r="270">
      <c r="G270" s="177"/>
    </row>
    <row r="271">
      <c r="G271" s="177"/>
    </row>
    <row r="272">
      <c r="G272" s="177"/>
    </row>
    <row r="273">
      <c r="G273" s="177"/>
    </row>
    <row r="274">
      <c r="G274" s="177"/>
    </row>
    <row r="275">
      <c r="G275" s="177"/>
    </row>
    <row r="276">
      <c r="G276" s="177"/>
    </row>
    <row r="277">
      <c r="G277" s="177"/>
    </row>
    <row r="278">
      <c r="G278" s="177"/>
    </row>
    <row r="279">
      <c r="G279" s="177"/>
    </row>
    <row r="280">
      <c r="G280" s="177"/>
    </row>
    <row r="281">
      <c r="G281" s="177"/>
    </row>
    <row r="282">
      <c r="G282" s="177"/>
    </row>
    <row r="283">
      <c r="G283" s="177"/>
    </row>
    <row r="284">
      <c r="G284" s="177"/>
    </row>
    <row r="285">
      <c r="G285" s="177"/>
    </row>
    <row r="286">
      <c r="G286" s="177"/>
    </row>
    <row r="287">
      <c r="G287" s="177"/>
    </row>
    <row r="288">
      <c r="G288" s="177"/>
    </row>
    <row r="289">
      <c r="G289" s="177"/>
    </row>
    <row r="290">
      <c r="G290" s="177"/>
    </row>
    <row r="291">
      <c r="G291" s="177"/>
    </row>
    <row r="292">
      <c r="G292" s="177"/>
    </row>
    <row r="293">
      <c r="G293" s="177"/>
    </row>
    <row r="294">
      <c r="G294" s="177"/>
    </row>
    <row r="295">
      <c r="G295" s="177"/>
    </row>
    <row r="296">
      <c r="G296" s="177"/>
    </row>
    <row r="297">
      <c r="G297" s="177"/>
    </row>
    <row r="298">
      <c r="G298" s="177"/>
    </row>
    <row r="299">
      <c r="G299" s="177"/>
    </row>
    <row r="300">
      <c r="G300" s="177"/>
    </row>
    <row r="301">
      <c r="G301" s="177"/>
    </row>
    <row r="302">
      <c r="G302" s="177"/>
    </row>
    <row r="303">
      <c r="G303" s="177"/>
    </row>
    <row r="304">
      <c r="G304" s="177"/>
    </row>
    <row r="305">
      <c r="G305" s="177"/>
    </row>
    <row r="306">
      <c r="G306" s="177"/>
    </row>
    <row r="307">
      <c r="G307" s="177"/>
    </row>
    <row r="308">
      <c r="G308" s="177"/>
    </row>
    <row r="309">
      <c r="G309" s="177"/>
    </row>
    <row r="310">
      <c r="G310" s="177"/>
    </row>
    <row r="311">
      <c r="G311" s="177"/>
    </row>
    <row r="312">
      <c r="G312" s="177"/>
    </row>
    <row r="313">
      <c r="G313" s="177"/>
    </row>
    <row r="314">
      <c r="G314" s="177"/>
    </row>
    <row r="315">
      <c r="G315" s="177"/>
    </row>
    <row r="316">
      <c r="G316" s="177"/>
    </row>
    <row r="317">
      <c r="G317" s="177"/>
    </row>
    <row r="318">
      <c r="G318" s="177"/>
    </row>
    <row r="319">
      <c r="G319" s="177"/>
    </row>
    <row r="320">
      <c r="G320" s="177"/>
    </row>
    <row r="321">
      <c r="G321" s="177"/>
    </row>
    <row r="322">
      <c r="G322" s="177"/>
    </row>
    <row r="323">
      <c r="G323" s="177"/>
    </row>
    <row r="324">
      <c r="G324" s="177"/>
    </row>
    <row r="325">
      <c r="G325" s="177"/>
    </row>
    <row r="326">
      <c r="G326" s="177"/>
    </row>
    <row r="327">
      <c r="G327" s="177"/>
    </row>
    <row r="328">
      <c r="G328" s="177"/>
    </row>
    <row r="329">
      <c r="G329" s="177"/>
    </row>
    <row r="330">
      <c r="G330" s="177"/>
    </row>
    <row r="331">
      <c r="G331" s="177"/>
    </row>
    <row r="332">
      <c r="G332" s="177"/>
    </row>
    <row r="333">
      <c r="G333" s="177"/>
    </row>
    <row r="334">
      <c r="G334" s="177"/>
    </row>
    <row r="335">
      <c r="G335" s="177"/>
    </row>
    <row r="336">
      <c r="G336" s="177"/>
    </row>
    <row r="337">
      <c r="G337" s="177"/>
    </row>
    <row r="338">
      <c r="G338" s="177"/>
    </row>
    <row r="339">
      <c r="G339" s="177"/>
    </row>
    <row r="340">
      <c r="G340" s="177"/>
    </row>
    <row r="341">
      <c r="G341" s="177"/>
    </row>
    <row r="342">
      <c r="G342" s="177"/>
    </row>
    <row r="343">
      <c r="G343" s="177"/>
    </row>
    <row r="344">
      <c r="G344" s="177"/>
    </row>
    <row r="345">
      <c r="G345" s="177"/>
    </row>
    <row r="346">
      <c r="G346" s="177"/>
    </row>
    <row r="347">
      <c r="G347" s="177"/>
    </row>
    <row r="348">
      <c r="G348" s="177"/>
    </row>
    <row r="349">
      <c r="G349" s="177"/>
    </row>
    <row r="350">
      <c r="G350" s="177"/>
    </row>
    <row r="351">
      <c r="G351" s="177"/>
    </row>
    <row r="352">
      <c r="G352" s="177"/>
    </row>
    <row r="353">
      <c r="G353" s="177"/>
    </row>
    <row r="354">
      <c r="G354" s="177"/>
    </row>
    <row r="355">
      <c r="G355" s="177"/>
    </row>
    <row r="356">
      <c r="G356" s="177"/>
    </row>
    <row r="357">
      <c r="G357" s="177"/>
    </row>
    <row r="358">
      <c r="G358" s="177"/>
    </row>
    <row r="359">
      <c r="G359" s="177"/>
    </row>
    <row r="360">
      <c r="G360" s="177"/>
    </row>
    <row r="361">
      <c r="G361" s="177"/>
    </row>
    <row r="362">
      <c r="G362" s="177"/>
    </row>
    <row r="363">
      <c r="G363" s="177"/>
    </row>
    <row r="364">
      <c r="G364" s="177"/>
    </row>
    <row r="365">
      <c r="G365" s="177"/>
    </row>
    <row r="366">
      <c r="G366" s="177"/>
    </row>
    <row r="367">
      <c r="G367" s="177"/>
    </row>
    <row r="368">
      <c r="G368" s="177"/>
    </row>
    <row r="369">
      <c r="G369" s="177"/>
    </row>
    <row r="370">
      <c r="G370" s="177"/>
    </row>
    <row r="371">
      <c r="G371" s="177"/>
    </row>
    <row r="372">
      <c r="G372" s="177"/>
    </row>
    <row r="373">
      <c r="G373" s="177"/>
    </row>
    <row r="374">
      <c r="G374" s="177"/>
    </row>
    <row r="375">
      <c r="G375" s="177"/>
    </row>
    <row r="376">
      <c r="G376" s="177"/>
    </row>
    <row r="377">
      <c r="G377" s="177"/>
    </row>
    <row r="378">
      <c r="G378" s="177"/>
    </row>
    <row r="379">
      <c r="G379" s="177"/>
    </row>
    <row r="380">
      <c r="G380" s="177"/>
    </row>
    <row r="381">
      <c r="G381" s="177"/>
    </row>
    <row r="382">
      <c r="G382" s="177"/>
    </row>
    <row r="383">
      <c r="G383" s="177"/>
    </row>
    <row r="384">
      <c r="G384" s="177"/>
    </row>
    <row r="385">
      <c r="G385" s="177"/>
    </row>
    <row r="386">
      <c r="G386" s="177"/>
    </row>
    <row r="387">
      <c r="G387" s="177"/>
    </row>
    <row r="388">
      <c r="G388" s="177"/>
    </row>
    <row r="389">
      <c r="G389" s="177"/>
    </row>
    <row r="390">
      <c r="G390" s="177"/>
    </row>
    <row r="391">
      <c r="G391" s="177"/>
    </row>
    <row r="392">
      <c r="G392" s="177"/>
    </row>
    <row r="393">
      <c r="G393" s="177"/>
    </row>
    <row r="394">
      <c r="G394" s="177"/>
    </row>
    <row r="395">
      <c r="G395" s="177"/>
    </row>
    <row r="396">
      <c r="G396" s="177"/>
    </row>
    <row r="397">
      <c r="G397" s="177"/>
    </row>
    <row r="398">
      <c r="G398" s="177"/>
    </row>
    <row r="399">
      <c r="G399" s="177"/>
    </row>
    <row r="400">
      <c r="G400" s="177"/>
    </row>
    <row r="401">
      <c r="G401" s="177"/>
    </row>
    <row r="402">
      <c r="G402" s="177"/>
    </row>
    <row r="403">
      <c r="G403" s="177"/>
    </row>
    <row r="404">
      <c r="G404" s="177"/>
    </row>
    <row r="405">
      <c r="G405" s="177"/>
    </row>
    <row r="406">
      <c r="G406" s="177"/>
    </row>
    <row r="407">
      <c r="G407" s="177"/>
    </row>
    <row r="408">
      <c r="G408" s="177"/>
    </row>
    <row r="409">
      <c r="G409" s="177"/>
    </row>
    <row r="410">
      <c r="G410" s="177"/>
    </row>
    <row r="411">
      <c r="G411" s="177"/>
    </row>
    <row r="412">
      <c r="G412" s="177"/>
    </row>
    <row r="413">
      <c r="G413" s="177"/>
    </row>
    <row r="414">
      <c r="G414" s="177"/>
    </row>
    <row r="415">
      <c r="G415" s="177"/>
    </row>
    <row r="416">
      <c r="G416" s="177"/>
    </row>
    <row r="417">
      <c r="G417" s="177"/>
    </row>
    <row r="418">
      <c r="G418" s="177"/>
    </row>
    <row r="419">
      <c r="G419" s="177"/>
    </row>
    <row r="420">
      <c r="G420" s="177"/>
    </row>
    <row r="421">
      <c r="G421" s="177"/>
    </row>
    <row r="422">
      <c r="G422" s="177"/>
    </row>
    <row r="423">
      <c r="G423" s="177"/>
    </row>
    <row r="424">
      <c r="G424" s="177"/>
    </row>
    <row r="425">
      <c r="G425" s="177"/>
    </row>
    <row r="426">
      <c r="G426" s="177"/>
    </row>
    <row r="427">
      <c r="G427" s="177"/>
    </row>
    <row r="428">
      <c r="G428" s="177"/>
    </row>
    <row r="429">
      <c r="G429" s="177"/>
    </row>
    <row r="430">
      <c r="G430" s="177"/>
    </row>
    <row r="431">
      <c r="G431" s="177"/>
    </row>
    <row r="432">
      <c r="G432" s="177"/>
    </row>
    <row r="433">
      <c r="G433" s="177"/>
    </row>
    <row r="434">
      <c r="G434" s="177"/>
    </row>
    <row r="435">
      <c r="G435" s="177"/>
    </row>
    <row r="436">
      <c r="G436" s="177"/>
    </row>
    <row r="437">
      <c r="G437" s="177"/>
    </row>
    <row r="438">
      <c r="G438" s="177"/>
    </row>
    <row r="439">
      <c r="G439" s="177"/>
    </row>
    <row r="440">
      <c r="G440" s="177"/>
    </row>
    <row r="441">
      <c r="G441" s="177"/>
    </row>
    <row r="442">
      <c r="G442" s="177"/>
    </row>
    <row r="443">
      <c r="G443" s="177"/>
    </row>
    <row r="444">
      <c r="G444" s="177"/>
    </row>
    <row r="445">
      <c r="G445" s="177"/>
    </row>
    <row r="446">
      <c r="G446" s="177"/>
    </row>
    <row r="447">
      <c r="G447" s="177"/>
    </row>
    <row r="448">
      <c r="G448" s="177"/>
    </row>
    <row r="449">
      <c r="G449" s="177"/>
    </row>
    <row r="450">
      <c r="G450" s="177"/>
    </row>
    <row r="451">
      <c r="G451" s="177"/>
    </row>
    <row r="452">
      <c r="G452" s="177"/>
    </row>
    <row r="453">
      <c r="G453" s="177"/>
    </row>
    <row r="454">
      <c r="G454" s="177"/>
    </row>
    <row r="455">
      <c r="G455" s="177"/>
    </row>
    <row r="456">
      <c r="G456" s="177"/>
    </row>
    <row r="457">
      <c r="G457" s="177"/>
    </row>
    <row r="458">
      <c r="G458" s="177"/>
    </row>
    <row r="459">
      <c r="G459" s="177"/>
    </row>
    <row r="460">
      <c r="G460" s="177"/>
    </row>
    <row r="461">
      <c r="G461" s="177"/>
    </row>
    <row r="462">
      <c r="G462" s="177"/>
    </row>
    <row r="463">
      <c r="G463" s="177"/>
    </row>
    <row r="464">
      <c r="G464" s="177"/>
    </row>
    <row r="465">
      <c r="G465" s="177"/>
    </row>
    <row r="466">
      <c r="G466" s="177"/>
    </row>
    <row r="467">
      <c r="G467" s="177"/>
    </row>
    <row r="468">
      <c r="G468" s="177"/>
    </row>
    <row r="469">
      <c r="G469" s="177"/>
    </row>
    <row r="470">
      <c r="G470" s="177"/>
    </row>
    <row r="471">
      <c r="G471" s="177"/>
    </row>
    <row r="472">
      <c r="G472" s="177"/>
    </row>
    <row r="473">
      <c r="G473" s="177"/>
    </row>
    <row r="474">
      <c r="G474" s="177"/>
    </row>
    <row r="475">
      <c r="G475" s="177"/>
    </row>
    <row r="476">
      <c r="G476" s="177"/>
    </row>
    <row r="477">
      <c r="G477" s="177"/>
    </row>
    <row r="478">
      <c r="G478" s="177"/>
    </row>
    <row r="479">
      <c r="G479" s="177"/>
    </row>
    <row r="480">
      <c r="G480" s="177"/>
    </row>
    <row r="481">
      <c r="G481" s="177"/>
    </row>
    <row r="482">
      <c r="G482" s="177"/>
    </row>
    <row r="483">
      <c r="G483" s="177"/>
    </row>
    <row r="484">
      <c r="G484" s="177"/>
    </row>
    <row r="485">
      <c r="G485" s="177"/>
    </row>
    <row r="486">
      <c r="G486" s="177"/>
    </row>
    <row r="487">
      <c r="G487" s="177"/>
    </row>
    <row r="488">
      <c r="G488" s="177"/>
    </row>
    <row r="489">
      <c r="G489" s="177"/>
    </row>
    <row r="490">
      <c r="G490" s="177"/>
    </row>
    <row r="491">
      <c r="G491" s="177"/>
    </row>
    <row r="492">
      <c r="G492" s="177"/>
    </row>
    <row r="493">
      <c r="G493" s="177"/>
    </row>
    <row r="494">
      <c r="G494" s="177"/>
    </row>
    <row r="495">
      <c r="G495" s="177"/>
    </row>
    <row r="496">
      <c r="G496" s="177"/>
    </row>
    <row r="497">
      <c r="G497" s="177"/>
    </row>
    <row r="498">
      <c r="G498" s="177"/>
    </row>
    <row r="499">
      <c r="G499" s="177"/>
    </row>
    <row r="500">
      <c r="G500" s="177"/>
    </row>
    <row r="501">
      <c r="G501" s="177"/>
    </row>
    <row r="502">
      <c r="G502" s="177"/>
    </row>
    <row r="503">
      <c r="G503" s="177"/>
    </row>
    <row r="504">
      <c r="G504" s="177"/>
    </row>
    <row r="505">
      <c r="G505" s="177"/>
    </row>
    <row r="506">
      <c r="G506" s="177"/>
    </row>
    <row r="507">
      <c r="G507" s="177"/>
    </row>
    <row r="508">
      <c r="G508" s="177"/>
    </row>
    <row r="509">
      <c r="G509" s="177"/>
    </row>
    <row r="510">
      <c r="G510" s="177"/>
    </row>
    <row r="511">
      <c r="G511" s="177"/>
    </row>
    <row r="512">
      <c r="G512" s="177"/>
    </row>
    <row r="513">
      <c r="G513" s="177"/>
    </row>
    <row r="514">
      <c r="G514" s="177"/>
    </row>
    <row r="515">
      <c r="G515" s="177"/>
    </row>
    <row r="516">
      <c r="G516" s="177"/>
    </row>
    <row r="517">
      <c r="G517" s="177"/>
    </row>
    <row r="518">
      <c r="G518" s="177"/>
    </row>
    <row r="519">
      <c r="G519" s="177"/>
    </row>
    <row r="520">
      <c r="G520" s="177"/>
    </row>
    <row r="521">
      <c r="G521" s="177"/>
    </row>
    <row r="522">
      <c r="G522" s="177"/>
    </row>
    <row r="523">
      <c r="G523" s="177"/>
    </row>
    <row r="524">
      <c r="G524" s="177"/>
    </row>
    <row r="525">
      <c r="G525" s="177"/>
    </row>
    <row r="526">
      <c r="G526" s="177"/>
    </row>
    <row r="527">
      <c r="G527" s="177"/>
    </row>
    <row r="528">
      <c r="G528" s="177"/>
    </row>
    <row r="529">
      <c r="G529" s="177"/>
    </row>
    <row r="530">
      <c r="G530" s="177"/>
    </row>
    <row r="531">
      <c r="G531" s="177"/>
    </row>
    <row r="532">
      <c r="G532" s="177"/>
    </row>
    <row r="533">
      <c r="G533" s="177"/>
    </row>
    <row r="534">
      <c r="G534" s="177"/>
    </row>
    <row r="535">
      <c r="G535" s="177"/>
    </row>
    <row r="536">
      <c r="G536" s="177"/>
    </row>
    <row r="537">
      <c r="G537" s="177"/>
    </row>
    <row r="538">
      <c r="G538" s="177"/>
    </row>
    <row r="539">
      <c r="G539" s="177"/>
    </row>
    <row r="540">
      <c r="G540" s="177"/>
    </row>
    <row r="541">
      <c r="G541" s="177"/>
    </row>
    <row r="542">
      <c r="G542" s="177"/>
    </row>
    <row r="543">
      <c r="G543" s="177"/>
    </row>
    <row r="544">
      <c r="G544" s="177"/>
    </row>
    <row r="545">
      <c r="G545" s="177"/>
    </row>
    <row r="546">
      <c r="G546" s="177"/>
    </row>
    <row r="547">
      <c r="G547" s="177"/>
    </row>
    <row r="548">
      <c r="G548" s="177"/>
    </row>
    <row r="549">
      <c r="G549" s="177"/>
    </row>
    <row r="550">
      <c r="G550" s="177"/>
    </row>
    <row r="551">
      <c r="G551" s="177"/>
    </row>
    <row r="552">
      <c r="G552" s="177"/>
    </row>
    <row r="553">
      <c r="G553" s="177"/>
    </row>
    <row r="554">
      <c r="G554" s="177"/>
    </row>
    <row r="555">
      <c r="G555" s="177"/>
    </row>
    <row r="556">
      <c r="G556" s="177"/>
    </row>
    <row r="557">
      <c r="G557" s="177"/>
    </row>
    <row r="558">
      <c r="G558" s="177"/>
    </row>
    <row r="559">
      <c r="G559" s="177"/>
    </row>
    <row r="560">
      <c r="G560" s="177"/>
    </row>
    <row r="561">
      <c r="G561" s="177"/>
    </row>
    <row r="562">
      <c r="G562" s="177"/>
    </row>
    <row r="563">
      <c r="G563" s="177"/>
    </row>
    <row r="564">
      <c r="G564" s="177"/>
    </row>
    <row r="565">
      <c r="G565" s="177"/>
    </row>
    <row r="566">
      <c r="G566" s="177"/>
    </row>
    <row r="567">
      <c r="G567" s="177"/>
    </row>
    <row r="568">
      <c r="G568" s="177"/>
    </row>
    <row r="569">
      <c r="G569" s="177"/>
    </row>
    <row r="570">
      <c r="G570" s="177"/>
    </row>
    <row r="571">
      <c r="G571" s="177"/>
    </row>
    <row r="572">
      <c r="G572" s="177"/>
    </row>
    <row r="573">
      <c r="G573" s="177"/>
    </row>
    <row r="574">
      <c r="G574" s="177"/>
    </row>
    <row r="575">
      <c r="G575" s="177"/>
    </row>
    <row r="576">
      <c r="G576" s="177"/>
    </row>
    <row r="577">
      <c r="G577" s="177"/>
    </row>
    <row r="578">
      <c r="G578" s="177"/>
    </row>
    <row r="579">
      <c r="G579" s="177"/>
    </row>
    <row r="580">
      <c r="G580" s="177"/>
    </row>
    <row r="581">
      <c r="G581" s="177"/>
    </row>
    <row r="582">
      <c r="G582" s="177"/>
    </row>
    <row r="583">
      <c r="G583" s="177"/>
    </row>
    <row r="584">
      <c r="G584" s="177"/>
    </row>
    <row r="585">
      <c r="G585" s="177"/>
    </row>
    <row r="586">
      <c r="G586" s="177"/>
    </row>
    <row r="587">
      <c r="G587" s="177"/>
    </row>
    <row r="588">
      <c r="G588" s="177"/>
    </row>
    <row r="589">
      <c r="G589" s="177"/>
    </row>
    <row r="590">
      <c r="G590" s="177"/>
    </row>
    <row r="591">
      <c r="G591" s="177"/>
    </row>
    <row r="592">
      <c r="G592" s="177"/>
    </row>
    <row r="593">
      <c r="G593" s="177"/>
    </row>
    <row r="594">
      <c r="G594" s="177"/>
    </row>
    <row r="595">
      <c r="G595" s="177"/>
    </row>
    <row r="596">
      <c r="G596" s="177"/>
    </row>
    <row r="597">
      <c r="G597" s="177"/>
    </row>
    <row r="598">
      <c r="G598" s="177"/>
    </row>
    <row r="599">
      <c r="G599" s="177"/>
    </row>
    <row r="600">
      <c r="G600" s="177"/>
    </row>
    <row r="601">
      <c r="G601" s="177"/>
    </row>
    <row r="602">
      <c r="G602" s="177"/>
    </row>
    <row r="603">
      <c r="G603" s="177"/>
    </row>
    <row r="604">
      <c r="G604" s="177"/>
    </row>
    <row r="605">
      <c r="G605" s="177"/>
    </row>
    <row r="606">
      <c r="G606" s="177"/>
    </row>
    <row r="607">
      <c r="G607" s="177"/>
    </row>
    <row r="608">
      <c r="G608" s="177"/>
    </row>
    <row r="609">
      <c r="G609" s="177"/>
    </row>
    <row r="610">
      <c r="G610" s="177"/>
    </row>
    <row r="611">
      <c r="G611" s="177"/>
    </row>
    <row r="612">
      <c r="G612" s="177"/>
    </row>
    <row r="613">
      <c r="G613" s="177"/>
    </row>
    <row r="614">
      <c r="G614" s="177"/>
    </row>
    <row r="615">
      <c r="G615" s="177"/>
    </row>
    <row r="616">
      <c r="G616" s="177"/>
    </row>
    <row r="617">
      <c r="G617" s="177"/>
    </row>
    <row r="618">
      <c r="G618" s="177"/>
    </row>
    <row r="619">
      <c r="G619" s="177"/>
    </row>
    <row r="620">
      <c r="G620" s="177"/>
    </row>
    <row r="621">
      <c r="G621" s="177"/>
    </row>
    <row r="622">
      <c r="G622" s="177"/>
    </row>
    <row r="623">
      <c r="G623" s="177"/>
    </row>
    <row r="624">
      <c r="G624" s="177"/>
    </row>
    <row r="625">
      <c r="G625" s="177"/>
    </row>
    <row r="626">
      <c r="G626" s="177"/>
    </row>
    <row r="627">
      <c r="G627" s="177"/>
    </row>
    <row r="628">
      <c r="G628" s="177"/>
    </row>
    <row r="629">
      <c r="G629" s="177"/>
    </row>
    <row r="630">
      <c r="G630" s="177"/>
    </row>
    <row r="631">
      <c r="G631" s="177"/>
    </row>
    <row r="632">
      <c r="G632" s="177"/>
    </row>
    <row r="633">
      <c r="G633" s="177"/>
    </row>
    <row r="634">
      <c r="G634" s="177"/>
    </row>
    <row r="635">
      <c r="G635" s="177"/>
    </row>
    <row r="636">
      <c r="G636" s="177"/>
    </row>
    <row r="637">
      <c r="G637" s="177"/>
    </row>
    <row r="638">
      <c r="G638" s="177"/>
    </row>
    <row r="639">
      <c r="G639" s="177"/>
    </row>
    <row r="640">
      <c r="G640" s="177"/>
    </row>
    <row r="641">
      <c r="G641" s="177"/>
    </row>
    <row r="642">
      <c r="G642" s="177"/>
    </row>
    <row r="643">
      <c r="G643" s="177"/>
    </row>
    <row r="644">
      <c r="G644" s="177"/>
    </row>
    <row r="645">
      <c r="G645" s="177"/>
    </row>
    <row r="646">
      <c r="G646" s="177"/>
    </row>
    <row r="647">
      <c r="G647" s="177"/>
    </row>
    <row r="648">
      <c r="G648" s="177"/>
    </row>
    <row r="649">
      <c r="G649" s="177"/>
    </row>
    <row r="650">
      <c r="G650" s="177"/>
    </row>
    <row r="651">
      <c r="G651" s="177"/>
    </row>
    <row r="652">
      <c r="G652" s="177"/>
    </row>
    <row r="653">
      <c r="G653" s="177"/>
    </row>
    <row r="654">
      <c r="G654" s="177"/>
    </row>
    <row r="655">
      <c r="G655" s="177"/>
    </row>
    <row r="656">
      <c r="G656" s="177"/>
    </row>
    <row r="657">
      <c r="G657" s="177"/>
    </row>
    <row r="658">
      <c r="G658" s="177"/>
    </row>
    <row r="659">
      <c r="G659" s="177"/>
    </row>
    <row r="660">
      <c r="G660" s="177"/>
    </row>
    <row r="661">
      <c r="G661" s="177"/>
    </row>
    <row r="662">
      <c r="G662" s="177"/>
    </row>
    <row r="663">
      <c r="G663" s="177"/>
    </row>
    <row r="664">
      <c r="G664" s="177"/>
    </row>
    <row r="665">
      <c r="G665" s="177"/>
    </row>
    <row r="666">
      <c r="G666" s="177"/>
    </row>
    <row r="667">
      <c r="G667" s="177"/>
    </row>
    <row r="668">
      <c r="G668" s="177"/>
    </row>
    <row r="669">
      <c r="G669" s="177"/>
    </row>
    <row r="670">
      <c r="G670" s="177"/>
    </row>
    <row r="671">
      <c r="G671" s="177"/>
    </row>
    <row r="672">
      <c r="G672" s="177"/>
    </row>
    <row r="673">
      <c r="G673" s="177"/>
    </row>
    <row r="674">
      <c r="G674" s="177"/>
    </row>
    <row r="675">
      <c r="G675" s="177"/>
    </row>
    <row r="676">
      <c r="G676" s="177"/>
    </row>
    <row r="677">
      <c r="G677" s="177"/>
    </row>
    <row r="678">
      <c r="G678" s="177"/>
    </row>
    <row r="679">
      <c r="G679" s="177"/>
    </row>
    <row r="680">
      <c r="G680" s="177"/>
    </row>
    <row r="681">
      <c r="G681" s="177"/>
    </row>
    <row r="682">
      <c r="G682" s="177"/>
    </row>
    <row r="683">
      <c r="G683" s="177"/>
    </row>
    <row r="684">
      <c r="G684" s="177"/>
    </row>
    <row r="685">
      <c r="G685" s="177"/>
    </row>
    <row r="686">
      <c r="G686" s="177"/>
    </row>
    <row r="687">
      <c r="G687" s="177"/>
    </row>
    <row r="688">
      <c r="G688" s="177"/>
    </row>
    <row r="689">
      <c r="G689" s="177"/>
    </row>
    <row r="690">
      <c r="G690" s="177"/>
    </row>
    <row r="691">
      <c r="G691" s="177"/>
    </row>
    <row r="692">
      <c r="G692" s="177"/>
    </row>
    <row r="693">
      <c r="G693" s="177"/>
    </row>
    <row r="694">
      <c r="G694" s="177"/>
    </row>
    <row r="695">
      <c r="G695" s="177"/>
    </row>
    <row r="696">
      <c r="G696" s="177"/>
    </row>
    <row r="697">
      <c r="G697" s="177"/>
    </row>
    <row r="698">
      <c r="G698" s="177"/>
    </row>
    <row r="699">
      <c r="G699" s="177"/>
    </row>
    <row r="700">
      <c r="G700" s="177"/>
    </row>
    <row r="701">
      <c r="G701" s="177"/>
    </row>
    <row r="702">
      <c r="G702" s="177"/>
    </row>
    <row r="703">
      <c r="G703" s="177"/>
    </row>
    <row r="704">
      <c r="G704" s="177"/>
    </row>
    <row r="705">
      <c r="G705" s="177"/>
    </row>
    <row r="706">
      <c r="G706" s="177"/>
    </row>
    <row r="707">
      <c r="G707" s="177"/>
    </row>
    <row r="708">
      <c r="G708" s="177"/>
    </row>
    <row r="709">
      <c r="G709" s="177"/>
    </row>
    <row r="710">
      <c r="G710" s="177"/>
    </row>
    <row r="711">
      <c r="G711" s="177"/>
    </row>
    <row r="712">
      <c r="G712" s="177"/>
    </row>
    <row r="713">
      <c r="G713" s="177"/>
    </row>
    <row r="714">
      <c r="G714" s="177"/>
    </row>
    <row r="715">
      <c r="G715" s="177"/>
    </row>
    <row r="716">
      <c r="G716" s="177"/>
    </row>
    <row r="717">
      <c r="G717" s="177"/>
    </row>
    <row r="718">
      <c r="G718" s="177"/>
    </row>
    <row r="719">
      <c r="G719" s="177"/>
    </row>
    <row r="720">
      <c r="G720" s="177"/>
    </row>
    <row r="721">
      <c r="G721" s="177"/>
    </row>
    <row r="722">
      <c r="G722" s="177"/>
    </row>
    <row r="723">
      <c r="G723" s="177"/>
    </row>
    <row r="724">
      <c r="G724" s="177"/>
    </row>
    <row r="725">
      <c r="G725" s="177"/>
    </row>
    <row r="726">
      <c r="G726" s="177"/>
    </row>
    <row r="727">
      <c r="G727" s="177"/>
    </row>
    <row r="728">
      <c r="G728" s="177"/>
    </row>
    <row r="729">
      <c r="G729" s="177"/>
    </row>
    <row r="730">
      <c r="G730" s="177"/>
    </row>
    <row r="731">
      <c r="G731" s="177"/>
    </row>
    <row r="732">
      <c r="G732" s="177"/>
    </row>
    <row r="733">
      <c r="G733" s="177"/>
    </row>
    <row r="734">
      <c r="G734" s="177"/>
    </row>
    <row r="735">
      <c r="G735" s="177"/>
    </row>
    <row r="736">
      <c r="G736" s="177"/>
    </row>
    <row r="737">
      <c r="G737" s="177"/>
    </row>
    <row r="738">
      <c r="G738" s="177"/>
    </row>
    <row r="739">
      <c r="G739" s="177"/>
    </row>
    <row r="740">
      <c r="G740" s="177"/>
    </row>
    <row r="741">
      <c r="G741" s="177"/>
    </row>
    <row r="742">
      <c r="G742" s="177"/>
    </row>
    <row r="743">
      <c r="G743" s="177"/>
    </row>
    <row r="744">
      <c r="G744" s="177"/>
    </row>
    <row r="745">
      <c r="G745" s="177"/>
    </row>
    <row r="746">
      <c r="G746" s="177"/>
    </row>
    <row r="747">
      <c r="G747" s="177"/>
    </row>
    <row r="748">
      <c r="G748" s="177"/>
    </row>
    <row r="749">
      <c r="G749" s="177"/>
    </row>
    <row r="750">
      <c r="G750" s="177"/>
    </row>
    <row r="751">
      <c r="G751" s="177"/>
    </row>
    <row r="752">
      <c r="G752" s="177"/>
    </row>
    <row r="753">
      <c r="G753" s="177"/>
    </row>
    <row r="754">
      <c r="G754" s="177"/>
    </row>
    <row r="755">
      <c r="G755" s="177"/>
    </row>
    <row r="756">
      <c r="G756" s="177"/>
    </row>
    <row r="757">
      <c r="G757" s="177"/>
    </row>
    <row r="758">
      <c r="G758" s="177"/>
    </row>
    <row r="759">
      <c r="G759" s="177"/>
    </row>
    <row r="760">
      <c r="G760" s="177"/>
    </row>
    <row r="761">
      <c r="G761" s="177"/>
    </row>
    <row r="762">
      <c r="G762" s="177"/>
    </row>
    <row r="763">
      <c r="G763" s="177"/>
    </row>
    <row r="764">
      <c r="G764" s="177"/>
    </row>
    <row r="765">
      <c r="G765" s="177"/>
    </row>
    <row r="766">
      <c r="G766" s="177"/>
    </row>
    <row r="767">
      <c r="G767" s="177"/>
    </row>
    <row r="768">
      <c r="G768" s="177"/>
    </row>
    <row r="769">
      <c r="G769" s="177"/>
    </row>
    <row r="770">
      <c r="G770" s="177"/>
    </row>
    <row r="771">
      <c r="G771" s="177"/>
    </row>
    <row r="772">
      <c r="G772" s="177"/>
    </row>
    <row r="773">
      <c r="G773" s="177"/>
    </row>
    <row r="774">
      <c r="G774" s="177"/>
    </row>
    <row r="775">
      <c r="G775" s="177"/>
    </row>
    <row r="776">
      <c r="G776" s="177"/>
    </row>
    <row r="777">
      <c r="G777" s="177"/>
    </row>
    <row r="778">
      <c r="G778" s="177"/>
    </row>
    <row r="779">
      <c r="G779" s="177"/>
    </row>
    <row r="780">
      <c r="G780" s="177"/>
    </row>
    <row r="781">
      <c r="G781" s="177"/>
    </row>
    <row r="782">
      <c r="G782" s="177"/>
    </row>
    <row r="783">
      <c r="G783" s="177"/>
    </row>
    <row r="784">
      <c r="G784" s="177"/>
    </row>
    <row r="785">
      <c r="G785" s="177"/>
    </row>
    <row r="786">
      <c r="G786" s="177"/>
    </row>
    <row r="787">
      <c r="G787" s="177"/>
    </row>
    <row r="788">
      <c r="G788" s="177"/>
    </row>
    <row r="789">
      <c r="G789" s="177"/>
    </row>
    <row r="790">
      <c r="G790" s="177"/>
    </row>
    <row r="791">
      <c r="G791" s="177"/>
    </row>
    <row r="792">
      <c r="G792" s="177"/>
    </row>
    <row r="793">
      <c r="G793" s="177"/>
    </row>
    <row r="794">
      <c r="G794" s="177"/>
    </row>
    <row r="795">
      <c r="G795" s="177"/>
    </row>
    <row r="796">
      <c r="G796" s="177"/>
    </row>
    <row r="797">
      <c r="G797" s="177"/>
    </row>
    <row r="798">
      <c r="G798" s="177"/>
    </row>
    <row r="799">
      <c r="G799" s="177"/>
    </row>
    <row r="800">
      <c r="G800" s="177"/>
    </row>
    <row r="801">
      <c r="G801" s="177"/>
    </row>
    <row r="802">
      <c r="G802" s="177"/>
    </row>
    <row r="803">
      <c r="G803" s="177"/>
    </row>
    <row r="804">
      <c r="G804" s="177"/>
    </row>
    <row r="805">
      <c r="G805" s="177"/>
    </row>
    <row r="806">
      <c r="G806" s="177"/>
    </row>
    <row r="807">
      <c r="G807" s="177"/>
    </row>
    <row r="808">
      <c r="G808" s="177"/>
    </row>
    <row r="809">
      <c r="G809" s="177"/>
    </row>
    <row r="810">
      <c r="G810" s="177"/>
    </row>
    <row r="811">
      <c r="G811" s="177"/>
    </row>
    <row r="812">
      <c r="G812" s="177"/>
    </row>
    <row r="813">
      <c r="G813" s="177"/>
    </row>
    <row r="814">
      <c r="G814" s="177"/>
    </row>
    <row r="815">
      <c r="G815" s="177"/>
    </row>
    <row r="816">
      <c r="G816" s="177"/>
    </row>
    <row r="817">
      <c r="G817" s="177"/>
    </row>
    <row r="818">
      <c r="G818" s="177"/>
    </row>
    <row r="819">
      <c r="G819" s="177"/>
    </row>
    <row r="820">
      <c r="G820" s="177"/>
    </row>
    <row r="821">
      <c r="G821" s="177"/>
    </row>
    <row r="822">
      <c r="G822" s="177"/>
    </row>
    <row r="823">
      <c r="G823" s="177"/>
    </row>
    <row r="824">
      <c r="G824" s="177"/>
    </row>
    <row r="825">
      <c r="G825" s="177"/>
    </row>
    <row r="826">
      <c r="G826" s="177"/>
    </row>
    <row r="827">
      <c r="G827" s="177"/>
    </row>
    <row r="828">
      <c r="G828" s="177"/>
    </row>
    <row r="829">
      <c r="G829" s="177"/>
    </row>
    <row r="830">
      <c r="G830" s="177"/>
    </row>
    <row r="831">
      <c r="G831" s="177"/>
    </row>
    <row r="832">
      <c r="G832" s="177"/>
    </row>
    <row r="833">
      <c r="G833" s="177"/>
    </row>
    <row r="834">
      <c r="G834" s="177"/>
    </row>
    <row r="835">
      <c r="G835" s="177"/>
    </row>
    <row r="836">
      <c r="G836" s="177"/>
    </row>
    <row r="837">
      <c r="G837" s="177"/>
    </row>
    <row r="838">
      <c r="G838" s="177"/>
    </row>
    <row r="839">
      <c r="G839" s="177"/>
    </row>
    <row r="840">
      <c r="G840" s="177"/>
    </row>
    <row r="841">
      <c r="G841" s="177"/>
    </row>
    <row r="842">
      <c r="G842" s="177"/>
    </row>
    <row r="843">
      <c r="G843" s="177"/>
    </row>
    <row r="844">
      <c r="G844" s="177"/>
    </row>
    <row r="845">
      <c r="G845" s="177"/>
    </row>
    <row r="846">
      <c r="G846" s="177"/>
    </row>
    <row r="847">
      <c r="G847" s="177"/>
    </row>
    <row r="848">
      <c r="G848" s="177"/>
    </row>
    <row r="849">
      <c r="G849" s="177"/>
    </row>
    <row r="850">
      <c r="G850" s="177"/>
    </row>
    <row r="851">
      <c r="G851" s="177"/>
    </row>
    <row r="852">
      <c r="G852" s="177"/>
    </row>
    <row r="853">
      <c r="G853" s="177"/>
    </row>
    <row r="854">
      <c r="G854" s="177"/>
    </row>
    <row r="855">
      <c r="G855" s="177"/>
    </row>
    <row r="856">
      <c r="G856" s="177"/>
    </row>
    <row r="857">
      <c r="G857" s="177"/>
    </row>
    <row r="858">
      <c r="G858" s="177"/>
    </row>
    <row r="859">
      <c r="G859" s="177"/>
    </row>
    <row r="860">
      <c r="G860" s="177"/>
    </row>
    <row r="861">
      <c r="G861" s="177"/>
    </row>
    <row r="862">
      <c r="G862" s="177"/>
    </row>
    <row r="863">
      <c r="G863" s="177"/>
    </row>
    <row r="864">
      <c r="G864" s="177"/>
    </row>
    <row r="865">
      <c r="G865" s="177"/>
    </row>
    <row r="866">
      <c r="G866" s="177"/>
    </row>
    <row r="867">
      <c r="G867" s="177"/>
    </row>
    <row r="868">
      <c r="G868" s="177"/>
    </row>
    <row r="869">
      <c r="G869" s="177"/>
    </row>
    <row r="870">
      <c r="G870" s="177"/>
    </row>
    <row r="871">
      <c r="G871" s="177"/>
    </row>
    <row r="872">
      <c r="G872" s="177"/>
    </row>
    <row r="873">
      <c r="G873" s="177"/>
    </row>
    <row r="874">
      <c r="G874" s="177"/>
    </row>
    <row r="875">
      <c r="G875" s="177"/>
    </row>
    <row r="876">
      <c r="G876" s="177"/>
    </row>
    <row r="877">
      <c r="G877" s="177"/>
    </row>
    <row r="878">
      <c r="G878" s="177"/>
    </row>
    <row r="879">
      <c r="G879" s="177"/>
    </row>
    <row r="880">
      <c r="G880" s="177"/>
    </row>
    <row r="881">
      <c r="G881" s="177"/>
    </row>
    <row r="882">
      <c r="G882" s="177"/>
    </row>
    <row r="883">
      <c r="G883" s="177"/>
    </row>
    <row r="884">
      <c r="G884" s="177"/>
    </row>
    <row r="885">
      <c r="G885" s="177"/>
    </row>
    <row r="886">
      <c r="G886" s="177"/>
    </row>
    <row r="887">
      <c r="G887" s="177"/>
    </row>
    <row r="888">
      <c r="G888" s="177"/>
    </row>
    <row r="889">
      <c r="G889" s="177"/>
    </row>
    <row r="890">
      <c r="G890" s="177"/>
    </row>
    <row r="891">
      <c r="G891" s="177"/>
    </row>
    <row r="892">
      <c r="G892" s="177"/>
    </row>
    <row r="893">
      <c r="G893" s="177"/>
    </row>
    <row r="894">
      <c r="G894" s="177"/>
    </row>
    <row r="895">
      <c r="G895" s="177"/>
    </row>
    <row r="896">
      <c r="G896" s="177"/>
    </row>
    <row r="897">
      <c r="G897" s="177"/>
    </row>
    <row r="898">
      <c r="G898" s="177"/>
    </row>
    <row r="899">
      <c r="G899" s="177"/>
    </row>
    <row r="900">
      <c r="G900" s="177"/>
    </row>
    <row r="901">
      <c r="G901" s="177"/>
    </row>
    <row r="902">
      <c r="G902" s="177"/>
    </row>
    <row r="903">
      <c r="G903" s="177"/>
    </row>
    <row r="904">
      <c r="G904" s="177"/>
    </row>
    <row r="905">
      <c r="G905" s="177"/>
    </row>
    <row r="906">
      <c r="G906" s="177"/>
    </row>
    <row r="907">
      <c r="G907" s="177"/>
    </row>
    <row r="908">
      <c r="G908" s="177"/>
    </row>
    <row r="909">
      <c r="G909" s="177"/>
    </row>
    <row r="910">
      <c r="G910" s="177"/>
    </row>
    <row r="911">
      <c r="G911" s="177"/>
    </row>
    <row r="912">
      <c r="G912" s="177"/>
    </row>
    <row r="913">
      <c r="G913" s="177"/>
    </row>
    <row r="914">
      <c r="G914" s="177"/>
    </row>
    <row r="915">
      <c r="G915" s="177"/>
    </row>
    <row r="916">
      <c r="G916" s="177"/>
    </row>
    <row r="917">
      <c r="G917" s="177"/>
    </row>
    <row r="918">
      <c r="G918" s="177"/>
    </row>
    <row r="919">
      <c r="G919" s="177"/>
    </row>
    <row r="920">
      <c r="G920" s="177"/>
    </row>
    <row r="921">
      <c r="G921" s="177"/>
    </row>
    <row r="922">
      <c r="G922" s="177"/>
    </row>
    <row r="923">
      <c r="G923" s="177"/>
    </row>
    <row r="924">
      <c r="G924" s="177"/>
    </row>
    <row r="925">
      <c r="G925" s="177"/>
    </row>
    <row r="926">
      <c r="G926" s="177"/>
    </row>
    <row r="927">
      <c r="G927" s="177"/>
    </row>
    <row r="928">
      <c r="G928" s="177"/>
    </row>
    <row r="929">
      <c r="G929" s="177"/>
    </row>
    <row r="930">
      <c r="G930" s="177"/>
    </row>
    <row r="931">
      <c r="G931" s="177"/>
    </row>
    <row r="932">
      <c r="G932" s="177"/>
    </row>
    <row r="933">
      <c r="G933" s="177"/>
    </row>
    <row r="934">
      <c r="G934" s="177"/>
    </row>
    <row r="935">
      <c r="G935" s="177"/>
    </row>
    <row r="936">
      <c r="G936" s="177"/>
    </row>
    <row r="937">
      <c r="G937" s="177"/>
    </row>
    <row r="938">
      <c r="G938" s="177"/>
    </row>
    <row r="939">
      <c r="G939" s="177"/>
    </row>
    <row r="940">
      <c r="G940" s="177"/>
    </row>
    <row r="941">
      <c r="G941" s="177"/>
    </row>
    <row r="942">
      <c r="G942" s="177"/>
    </row>
    <row r="943">
      <c r="G943" s="177"/>
    </row>
    <row r="944">
      <c r="G944" s="177"/>
    </row>
    <row r="945">
      <c r="G945" s="177"/>
    </row>
    <row r="946">
      <c r="G946" s="177"/>
    </row>
    <row r="947">
      <c r="G947" s="177"/>
    </row>
    <row r="948">
      <c r="G948" s="177"/>
    </row>
    <row r="949">
      <c r="G949" s="177"/>
    </row>
    <row r="950">
      <c r="G950" s="177"/>
    </row>
    <row r="951">
      <c r="G951" s="177"/>
    </row>
    <row r="952">
      <c r="G952" s="177"/>
    </row>
    <row r="953">
      <c r="G953" s="177"/>
    </row>
    <row r="954">
      <c r="G954" s="177"/>
    </row>
    <row r="955">
      <c r="G955" s="177"/>
    </row>
    <row r="956">
      <c r="G956" s="177"/>
    </row>
    <row r="957">
      <c r="G957" s="177"/>
    </row>
    <row r="958">
      <c r="G958" s="177"/>
    </row>
    <row r="959">
      <c r="G959" s="177"/>
    </row>
    <row r="960">
      <c r="G960" s="177"/>
    </row>
    <row r="961">
      <c r="G961" s="177"/>
    </row>
    <row r="962">
      <c r="G962" s="177"/>
    </row>
    <row r="963">
      <c r="G963" s="177"/>
    </row>
    <row r="964">
      <c r="G964" s="177"/>
    </row>
    <row r="965">
      <c r="G965" s="177"/>
    </row>
    <row r="966">
      <c r="G966" s="177"/>
    </row>
    <row r="967">
      <c r="G967" s="177"/>
    </row>
    <row r="968">
      <c r="G968" s="177"/>
    </row>
    <row r="969">
      <c r="G969" s="177"/>
    </row>
    <row r="970">
      <c r="G970" s="177"/>
    </row>
    <row r="971">
      <c r="G971" s="177"/>
    </row>
    <row r="972">
      <c r="G972" s="177"/>
    </row>
    <row r="973">
      <c r="G973" s="177"/>
    </row>
    <row r="974">
      <c r="G974" s="177"/>
    </row>
    <row r="975">
      <c r="G975" s="177"/>
    </row>
    <row r="976">
      <c r="G976" s="177"/>
    </row>
    <row r="977">
      <c r="G977" s="177"/>
    </row>
    <row r="978">
      <c r="G978" s="177"/>
    </row>
    <row r="979">
      <c r="G979" s="177"/>
    </row>
    <row r="980">
      <c r="G980" s="177"/>
    </row>
    <row r="981">
      <c r="G981" s="177"/>
    </row>
    <row r="982">
      <c r="G982" s="177"/>
    </row>
    <row r="983">
      <c r="G983" s="177"/>
    </row>
    <row r="984">
      <c r="G984" s="177"/>
    </row>
    <row r="985">
      <c r="G985" s="177"/>
    </row>
    <row r="986">
      <c r="G986" s="177"/>
    </row>
    <row r="987">
      <c r="G987" s="177"/>
    </row>
    <row r="988">
      <c r="G988" s="177"/>
    </row>
    <row r="989">
      <c r="G989" s="177"/>
    </row>
    <row r="990">
      <c r="G990" s="177"/>
    </row>
    <row r="991">
      <c r="G991" s="177"/>
    </row>
    <row r="992">
      <c r="G992" s="177"/>
    </row>
    <row r="993">
      <c r="G993" s="177"/>
    </row>
    <row r="994">
      <c r="G994" s="177"/>
    </row>
    <row r="995">
      <c r="G995" s="177"/>
    </row>
    <row r="996">
      <c r="G996" s="177"/>
    </row>
    <row r="997">
      <c r="G997" s="177"/>
    </row>
    <row r="998">
      <c r="G998" s="177"/>
    </row>
    <row r="999">
      <c r="G999" s="177"/>
    </row>
    <row r="1000">
      <c r="G1000" s="177"/>
    </row>
    <row r="1001">
      <c r="G1001" s="177"/>
    </row>
    <row r="1002">
      <c r="G1002" s="177"/>
    </row>
    <row r="1003">
      <c r="G1003" s="177"/>
    </row>
  </sheetData>
  <hyperlinks>
    <hyperlink r:id="rId1" location="gid=1795121416" ref="H2"/>
    <hyperlink r:id="rId2" location="gid=639565466" ref="H3"/>
    <hyperlink r:id="rId3" location="gid=98133673" ref="H4"/>
    <hyperlink r:id="rId4" location="gid=1272994502" ref="H5"/>
    <hyperlink r:id="rId5" location="gid=416664440" ref="H6"/>
    <hyperlink r:id="rId6" location="gid=1355829565" ref="H7"/>
    <hyperlink r:id="rId7" location="gid=49628835" ref="H10"/>
    <hyperlink r:id="rId8" location="gid=609170198" ref="H11"/>
  </hyperlinks>
  <drawing r:id="rId9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5" max="5" width="14.25"/>
    <col customWidth="1" min="6" max="6" width="19.25"/>
    <col customWidth="1" min="7" max="7" width="27.38"/>
    <col customWidth="1" min="8" max="8" width="36.75"/>
  </cols>
  <sheetData>
    <row r="1">
      <c r="A1" s="56"/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777</v>
      </c>
      <c r="G1" s="135" t="s">
        <v>184</v>
      </c>
      <c r="H1" s="119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14" t="s">
        <v>85</v>
      </c>
      <c r="B2" s="92">
        <v>16.0</v>
      </c>
      <c r="C2" s="92">
        <v>45.5</v>
      </c>
      <c r="D2" s="92">
        <v>36.0</v>
      </c>
      <c r="E2" s="136">
        <f t="shared" ref="E2:E7" si="1">C2/D2</f>
        <v>1.263888889</v>
      </c>
      <c r="F2" s="92">
        <v>1.0</v>
      </c>
      <c r="G2" s="135">
        <v>91.08</v>
      </c>
    </row>
    <row r="3">
      <c r="A3" s="14" t="s">
        <v>86</v>
      </c>
      <c r="B3" s="92">
        <v>24.0</v>
      </c>
      <c r="C3" s="92">
        <v>26.5</v>
      </c>
      <c r="D3" s="92">
        <v>30.0</v>
      </c>
      <c r="E3" s="136">
        <f t="shared" si="1"/>
        <v>0.8833333333</v>
      </c>
      <c r="F3" s="92">
        <v>1.0</v>
      </c>
      <c r="G3" s="135">
        <v>132.7</v>
      </c>
      <c r="H3" s="121"/>
    </row>
    <row r="4">
      <c r="A4" s="14" t="s">
        <v>88</v>
      </c>
      <c r="B4" s="92">
        <v>24.0</v>
      </c>
      <c r="C4" s="92">
        <v>24.5</v>
      </c>
      <c r="D4" s="92">
        <v>40.0</v>
      </c>
      <c r="E4" s="136">
        <f t="shared" si="1"/>
        <v>0.6125</v>
      </c>
      <c r="F4" s="179">
        <v>2.0</v>
      </c>
      <c r="G4" s="135">
        <v>122.37</v>
      </c>
    </row>
    <row r="5">
      <c r="A5" s="14" t="s">
        <v>90</v>
      </c>
      <c r="B5" s="92">
        <v>16.0</v>
      </c>
      <c r="C5" s="92">
        <v>16.0</v>
      </c>
      <c r="D5" s="92">
        <v>30.0</v>
      </c>
      <c r="E5" s="136">
        <f t="shared" si="1"/>
        <v>0.5333333333</v>
      </c>
      <c r="F5" s="92"/>
      <c r="G5" s="135">
        <v>73.97</v>
      </c>
      <c r="H5" s="121"/>
    </row>
    <row r="6">
      <c r="A6" s="14" t="s">
        <v>91</v>
      </c>
      <c r="B6" s="92">
        <v>18.0</v>
      </c>
      <c r="C6" s="92">
        <v>16.5</v>
      </c>
      <c r="D6" s="92">
        <v>24.0</v>
      </c>
      <c r="E6" s="136">
        <f t="shared" si="1"/>
        <v>0.6875</v>
      </c>
      <c r="F6" s="92"/>
      <c r="G6" s="135">
        <v>87.57</v>
      </c>
      <c r="H6" s="121"/>
    </row>
    <row r="7">
      <c r="A7" s="14" t="s">
        <v>94</v>
      </c>
      <c r="B7" s="92">
        <v>5.0</v>
      </c>
      <c r="C7" s="92">
        <v>20.0</v>
      </c>
      <c r="D7" s="92">
        <v>26.2</v>
      </c>
      <c r="E7" s="136">
        <f t="shared" si="1"/>
        <v>0.7633587786</v>
      </c>
      <c r="F7" s="92"/>
      <c r="G7" s="135">
        <v>108.42</v>
      </c>
      <c r="H7" s="121"/>
    </row>
    <row r="10">
      <c r="A10" s="14" t="s">
        <v>89</v>
      </c>
      <c r="B10" s="92">
        <v>16.0</v>
      </c>
      <c r="C10" s="92">
        <v>18.5</v>
      </c>
      <c r="D10" s="92">
        <v>40.0</v>
      </c>
      <c r="E10" s="136">
        <f t="shared" ref="E10:E11" si="2">C10/D10</f>
        <v>0.4625</v>
      </c>
      <c r="F10" s="180">
        <v>2.0</v>
      </c>
      <c r="G10" s="135">
        <v>127.5</v>
      </c>
      <c r="H10" s="121"/>
    </row>
    <row r="11">
      <c r="A11" s="14" t="s">
        <v>92</v>
      </c>
      <c r="B11" s="92">
        <v>9.0</v>
      </c>
      <c r="C11" s="92">
        <v>10.0</v>
      </c>
      <c r="D11" s="92">
        <v>27.8</v>
      </c>
      <c r="E11" s="136">
        <f t="shared" si="2"/>
        <v>0.3597122302</v>
      </c>
      <c r="F11" s="99"/>
      <c r="G11" s="135">
        <v>66.72</v>
      </c>
    </row>
    <row r="12">
      <c r="G12" s="177"/>
    </row>
    <row r="13">
      <c r="G13" s="177"/>
    </row>
    <row r="14">
      <c r="B14" s="66">
        <f t="shared" ref="B14:D14" si="3">SUM(B2:B11)</f>
        <v>128</v>
      </c>
      <c r="C14" s="66">
        <f t="shared" si="3"/>
        <v>177.5</v>
      </c>
      <c r="D14" s="66">
        <f t="shared" si="3"/>
        <v>254</v>
      </c>
      <c r="E14" s="86">
        <f>C14/D14</f>
        <v>0.6988188976</v>
      </c>
      <c r="F14" s="55">
        <v>6.0</v>
      </c>
      <c r="G14" s="66">
        <f>SUM(G2:G11)</f>
        <v>810.33</v>
      </c>
    </row>
    <row r="15">
      <c r="G15" s="177"/>
    </row>
    <row r="16">
      <c r="G16" s="177"/>
    </row>
    <row r="17">
      <c r="G17" s="177"/>
    </row>
    <row r="18">
      <c r="G18" s="177"/>
    </row>
    <row r="19">
      <c r="G19" s="177"/>
    </row>
    <row r="20">
      <c r="G20" s="177"/>
    </row>
    <row r="21">
      <c r="G21" s="177"/>
    </row>
    <row r="22">
      <c r="G22" s="177"/>
    </row>
    <row r="23">
      <c r="G23" s="177"/>
    </row>
    <row r="24">
      <c r="G24" s="177"/>
    </row>
    <row r="25">
      <c r="G25" s="177"/>
    </row>
    <row r="26">
      <c r="G26" s="177"/>
    </row>
    <row r="27">
      <c r="G27" s="177"/>
    </row>
    <row r="28">
      <c r="G28" s="177"/>
    </row>
    <row r="29">
      <c r="G29" s="177"/>
    </row>
    <row r="30">
      <c r="G30" s="177"/>
    </row>
    <row r="31">
      <c r="G31" s="177"/>
    </row>
    <row r="32">
      <c r="G32" s="177"/>
    </row>
    <row r="33">
      <c r="G33" s="177"/>
    </row>
    <row r="34">
      <c r="G34" s="177"/>
    </row>
    <row r="35">
      <c r="G35" s="177"/>
    </row>
    <row r="36">
      <c r="G36" s="177"/>
    </row>
    <row r="37">
      <c r="G37" s="177"/>
    </row>
    <row r="38">
      <c r="G38" s="177"/>
    </row>
    <row r="39">
      <c r="G39" s="177"/>
    </row>
    <row r="40">
      <c r="G40" s="177"/>
    </row>
    <row r="41">
      <c r="G41" s="177"/>
    </row>
    <row r="42">
      <c r="G42" s="177"/>
    </row>
    <row r="43">
      <c r="G43" s="177"/>
    </row>
    <row r="44">
      <c r="G44" s="177"/>
    </row>
    <row r="45">
      <c r="G45" s="177"/>
    </row>
    <row r="46">
      <c r="G46" s="177"/>
    </row>
    <row r="47">
      <c r="G47" s="177"/>
    </row>
    <row r="48">
      <c r="G48" s="177"/>
    </row>
    <row r="49">
      <c r="G49" s="177"/>
    </row>
    <row r="50">
      <c r="G50" s="177"/>
    </row>
    <row r="51">
      <c r="G51" s="177"/>
    </row>
    <row r="52">
      <c r="G52" s="177"/>
    </row>
    <row r="53">
      <c r="G53" s="177"/>
    </row>
    <row r="54">
      <c r="G54" s="177"/>
    </row>
    <row r="55">
      <c r="G55" s="177"/>
    </row>
    <row r="56">
      <c r="G56" s="177"/>
    </row>
    <row r="57">
      <c r="G57" s="177"/>
    </row>
    <row r="58">
      <c r="G58" s="177"/>
    </row>
    <row r="59">
      <c r="G59" s="177"/>
    </row>
    <row r="60">
      <c r="G60" s="177"/>
    </row>
    <row r="61">
      <c r="G61" s="177"/>
    </row>
    <row r="62">
      <c r="G62" s="177"/>
    </row>
    <row r="63">
      <c r="G63" s="177"/>
    </row>
    <row r="64">
      <c r="G64" s="177"/>
    </row>
    <row r="65">
      <c r="G65" s="177"/>
    </row>
    <row r="66">
      <c r="G66" s="177"/>
    </row>
    <row r="67">
      <c r="G67" s="177"/>
    </row>
    <row r="68">
      <c r="G68" s="177"/>
    </row>
    <row r="69">
      <c r="G69" s="177"/>
    </row>
    <row r="70">
      <c r="G70" s="177"/>
    </row>
    <row r="71">
      <c r="G71" s="177"/>
    </row>
    <row r="72">
      <c r="G72" s="177"/>
    </row>
    <row r="73">
      <c r="G73" s="177"/>
    </row>
    <row r="74">
      <c r="G74" s="177"/>
    </row>
    <row r="75">
      <c r="G75" s="177"/>
    </row>
    <row r="76">
      <c r="G76" s="177"/>
    </row>
    <row r="77">
      <c r="G77" s="177"/>
    </row>
    <row r="78">
      <c r="G78" s="177"/>
    </row>
    <row r="79">
      <c r="G79" s="177"/>
    </row>
    <row r="80">
      <c r="G80" s="177"/>
    </row>
    <row r="81">
      <c r="G81" s="177"/>
    </row>
    <row r="82">
      <c r="G82" s="177"/>
    </row>
    <row r="83">
      <c r="G83" s="177"/>
    </row>
    <row r="84">
      <c r="G84" s="177"/>
    </row>
    <row r="85">
      <c r="G85" s="177"/>
    </row>
    <row r="86">
      <c r="G86" s="177"/>
    </row>
    <row r="87">
      <c r="G87" s="177"/>
    </row>
    <row r="88">
      <c r="G88" s="177"/>
    </row>
    <row r="89">
      <c r="G89" s="177"/>
    </row>
    <row r="90">
      <c r="G90" s="177"/>
    </row>
    <row r="91">
      <c r="G91" s="177"/>
    </row>
    <row r="92">
      <c r="G92" s="177"/>
    </row>
    <row r="93">
      <c r="G93" s="177"/>
    </row>
    <row r="94">
      <c r="G94" s="177"/>
    </row>
    <row r="95">
      <c r="G95" s="177"/>
    </row>
    <row r="96">
      <c r="G96" s="177"/>
    </row>
    <row r="97">
      <c r="G97" s="177"/>
    </row>
    <row r="98">
      <c r="G98" s="177"/>
    </row>
    <row r="99">
      <c r="G99" s="177"/>
    </row>
    <row r="100">
      <c r="G100" s="177"/>
    </row>
    <row r="101">
      <c r="G101" s="177"/>
    </row>
    <row r="102">
      <c r="G102" s="177"/>
    </row>
    <row r="103">
      <c r="G103" s="177"/>
    </row>
    <row r="104">
      <c r="G104" s="177"/>
    </row>
    <row r="105">
      <c r="G105" s="177"/>
    </row>
    <row r="106">
      <c r="G106" s="177"/>
    </row>
    <row r="107">
      <c r="G107" s="177"/>
    </row>
    <row r="108">
      <c r="G108" s="177"/>
    </row>
    <row r="109">
      <c r="G109" s="177"/>
    </row>
    <row r="110">
      <c r="G110" s="177"/>
    </row>
    <row r="111">
      <c r="G111" s="177"/>
    </row>
    <row r="112">
      <c r="G112" s="177"/>
    </row>
    <row r="113">
      <c r="G113" s="177"/>
    </row>
    <row r="114">
      <c r="G114" s="177"/>
    </row>
    <row r="115">
      <c r="G115" s="177"/>
    </row>
    <row r="116">
      <c r="G116" s="177"/>
    </row>
    <row r="117">
      <c r="G117" s="177"/>
    </row>
    <row r="118">
      <c r="G118" s="177"/>
    </row>
    <row r="119">
      <c r="G119" s="177"/>
    </row>
    <row r="120">
      <c r="G120" s="177"/>
    </row>
    <row r="121">
      <c r="G121" s="177"/>
    </row>
    <row r="122">
      <c r="G122" s="177"/>
    </row>
    <row r="123">
      <c r="G123" s="177"/>
    </row>
    <row r="124">
      <c r="G124" s="177"/>
    </row>
    <row r="125">
      <c r="G125" s="177"/>
    </row>
    <row r="126">
      <c r="G126" s="177"/>
    </row>
    <row r="127">
      <c r="G127" s="177"/>
    </row>
    <row r="128">
      <c r="G128" s="177"/>
    </row>
    <row r="129">
      <c r="G129" s="177"/>
    </row>
    <row r="130">
      <c r="G130" s="177"/>
    </row>
    <row r="131">
      <c r="G131" s="177"/>
    </row>
    <row r="132">
      <c r="G132" s="177"/>
    </row>
    <row r="133">
      <c r="G133" s="177"/>
    </row>
    <row r="134">
      <c r="G134" s="177"/>
    </row>
    <row r="135">
      <c r="G135" s="177"/>
    </row>
    <row r="136">
      <c r="G136" s="177"/>
    </row>
    <row r="137">
      <c r="G137" s="177"/>
    </row>
    <row r="138">
      <c r="G138" s="177"/>
    </row>
    <row r="139">
      <c r="G139" s="177"/>
    </row>
    <row r="140">
      <c r="G140" s="177"/>
    </row>
    <row r="141">
      <c r="G141" s="177"/>
    </row>
    <row r="142">
      <c r="G142" s="177"/>
    </row>
    <row r="143">
      <c r="G143" s="177"/>
    </row>
    <row r="144">
      <c r="G144" s="177"/>
    </row>
    <row r="145">
      <c r="G145" s="177"/>
    </row>
    <row r="146">
      <c r="G146" s="177"/>
    </row>
    <row r="147">
      <c r="G147" s="177"/>
    </row>
    <row r="148">
      <c r="G148" s="177"/>
    </row>
    <row r="149">
      <c r="G149" s="177"/>
    </row>
    <row r="150">
      <c r="G150" s="177"/>
    </row>
    <row r="151">
      <c r="G151" s="177"/>
    </row>
    <row r="152">
      <c r="G152" s="177"/>
    </row>
    <row r="153">
      <c r="G153" s="177"/>
    </row>
    <row r="154">
      <c r="G154" s="177"/>
    </row>
    <row r="155">
      <c r="G155" s="177"/>
    </row>
    <row r="156">
      <c r="G156" s="177"/>
    </row>
    <row r="157">
      <c r="G157" s="177"/>
    </row>
    <row r="158">
      <c r="G158" s="177"/>
    </row>
    <row r="159">
      <c r="G159" s="177"/>
    </row>
    <row r="160">
      <c r="G160" s="177"/>
    </row>
    <row r="161">
      <c r="G161" s="177"/>
    </row>
    <row r="162">
      <c r="G162" s="177"/>
    </row>
    <row r="163">
      <c r="G163" s="177"/>
    </row>
    <row r="164">
      <c r="G164" s="177"/>
    </row>
    <row r="165">
      <c r="G165" s="177"/>
    </row>
    <row r="166">
      <c r="G166" s="177"/>
    </row>
    <row r="167">
      <c r="G167" s="177"/>
    </row>
    <row r="168">
      <c r="G168" s="177"/>
    </row>
    <row r="169">
      <c r="G169" s="177"/>
    </row>
    <row r="170">
      <c r="G170" s="177"/>
    </row>
    <row r="171">
      <c r="G171" s="177"/>
    </row>
    <row r="172">
      <c r="G172" s="177"/>
    </row>
    <row r="173">
      <c r="G173" s="177"/>
    </row>
    <row r="174">
      <c r="G174" s="177"/>
    </row>
    <row r="175">
      <c r="G175" s="177"/>
    </row>
    <row r="176">
      <c r="G176" s="177"/>
    </row>
    <row r="177">
      <c r="G177" s="177"/>
    </row>
    <row r="178">
      <c r="G178" s="177"/>
    </row>
    <row r="179">
      <c r="G179" s="177"/>
    </row>
    <row r="180">
      <c r="G180" s="177"/>
    </row>
    <row r="181">
      <c r="G181" s="177"/>
    </row>
    <row r="182">
      <c r="G182" s="177"/>
    </row>
    <row r="183">
      <c r="G183" s="177"/>
    </row>
    <row r="184">
      <c r="G184" s="177"/>
    </row>
    <row r="185">
      <c r="G185" s="177"/>
    </row>
    <row r="186">
      <c r="G186" s="177"/>
    </row>
    <row r="187">
      <c r="G187" s="177"/>
    </row>
    <row r="188">
      <c r="G188" s="177"/>
    </row>
    <row r="189">
      <c r="G189" s="177"/>
    </row>
    <row r="190">
      <c r="G190" s="177"/>
    </row>
    <row r="191">
      <c r="G191" s="177"/>
    </row>
    <row r="192">
      <c r="G192" s="177"/>
    </row>
    <row r="193">
      <c r="G193" s="177"/>
    </row>
    <row r="194">
      <c r="G194" s="177"/>
    </row>
    <row r="195">
      <c r="G195" s="177"/>
    </row>
    <row r="196">
      <c r="G196" s="177"/>
    </row>
    <row r="197">
      <c r="G197" s="177"/>
    </row>
    <row r="198">
      <c r="G198" s="177"/>
    </row>
    <row r="199">
      <c r="G199" s="177"/>
    </row>
    <row r="200">
      <c r="G200" s="177"/>
    </row>
    <row r="201">
      <c r="G201" s="177"/>
    </row>
    <row r="202">
      <c r="G202" s="177"/>
    </row>
    <row r="203">
      <c r="G203" s="177"/>
    </row>
    <row r="204">
      <c r="G204" s="177"/>
    </row>
    <row r="205">
      <c r="G205" s="177"/>
    </row>
    <row r="206">
      <c r="G206" s="177"/>
    </row>
    <row r="207">
      <c r="G207" s="177"/>
    </row>
    <row r="208">
      <c r="G208" s="177"/>
    </row>
    <row r="209">
      <c r="G209" s="177"/>
    </row>
    <row r="210">
      <c r="G210" s="177"/>
    </row>
    <row r="211">
      <c r="G211" s="177"/>
    </row>
    <row r="212">
      <c r="G212" s="177"/>
    </row>
    <row r="213">
      <c r="G213" s="177"/>
    </row>
    <row r="214">
      <c r="G214" s="177"/>
    </row>
    <row r="215">
      <c r="G215" s="177"/>
    </row>
    <row r="216">
      <c r="G216" s="177"/>
    </row>
    <row r="217">
      <c r="G217" s="177"/>
    </row>
    <row r="218">
      <c r="G218" s="177"/>
    </row>
    <row r="219">
      <c r="G219" s="177"/>
    </row>
    <row r="220">
      <c r="G220" s="177"/>
    </row>
    <row r="221">
      <c r="G221" s="177"/>
    </row>
    <row r="222">
      <c r="G222" s="177"/>
    </row>
    <row r="223">
      <c r="G223" s="177"/>
    </row>
    <row r="224">
      <c r="G224" s="177"/>
    </row>
    <row r="225">
      <c r="G225" s="177"/>
    </row>
    <row r="226">
      <c r="G226" s="177"/>
    </row>
    <row r="227">
      <c r="G227" s="177"/>
    </row>
    <row r="228">
      <c r="G228" s="177"/>
    </row>
    <row r="229">
      <c r="G229" s="177"/>
    </row>
    <row r="230">
      <c r="G230" s="177"/>
    </row>
    <row r="231">
      <c r="G231" s="177"/>
    </row>
    <row r="232">
      <c r="G232" s="177"/>
    </row>
    <row r="233">
      <c r="G233" s="177"/>
    </row>
    <row r="234">
      <c r="G234" s="177"/>
    </row>
    <row r="235">
      <c r="G235" s="177"/>
    </row>
    <row r="236">
      <c r="G236" s="177"/>
    </row>
    <row r="237">
      <c r="G237" s="177"/>
    </row>
    <row r="238">
      <c r="G238" s="177"/>
    </row>
    <row r="239">
      <c r="G239" s="177"/>
    </row>
    <row r="240">
      <c r="G240" s="177"/>
    </row>
    <row r="241">
      <c r="G241" s="177"/>
    </row>
    <row r="242">
      <c r="G242" s="177"/>
    </row>
    <row r="243">
      <c r="G243" s="177"/>
    </row>
    <row r="244">
      <c r="G244" s="177"/>
    </row>
    <row r="245">
      <c r="G245" s="177"/>
    </row>
    <row r="246">
      <c r="G246" s="177"/>
    </row>
    <row r="247">
      <c r="G247" s="177"/>
    </row>
    <row r="248">
      <c r="G248" s="177"/>
    </row>
    <row r="249">
      <c r="G249" s="177"/>
    </row>
    <row r="250">
      <c r="G250" s="177"/>
    </row>
    <row r="251">
      <c r="G251" s="177"/>
    </row>
    <row r="252">
      <c r="G252" s="177"/>
    </row>
    <row r="253">
      <c r="G253" s="177"/>
    </row>
    <row r="254">
      <c r="G254" s="177"/>
    </row>
    <row r="255">
      <c r="G255" s="177"/>
    </row>
    <row r="256">
      <c r="G256" s="177"/>
    </row>
    <row r="257">
      <c r="G257" s="177"/>
    </row>
    <row r="258">
      <c r="G258" s="177"/>
    </row>
    <row r="259">
      <c r="G259" s="177"/>
    </row>
    <row r="260">
      <c r="G260" s="177"/>
    </row>
    <row r="261">
      <c r="G261" s="177"/>
    </row>
    <row r="262">
      <c r="G262" s="177"/>
    </row>
    <row r="263">
      <c r="G263" s="177"/>
    </row>
    <row r="264">
      <c r="G264" s="177"/>
    </row>
    <row r="265">
      <c r="G265" s="177"/>
    </row>
    <row r="266">
      <c r="G266" s="177"/>
    </row>
    <row r="267">
      <c r="G267" s="177"/>
    </row>
    <row r="268">
      <c r="G268" s="177"/>
    </row>
    <row r="269">
      <c r="G269" s="177"/>
    </row>
    <row r="270">
      <c r="G270" s="177"/>
    </row>
    <row r="271">
      <c r="G271" s="177"/>
    </row>
    <row r="272">
      <c r="G272" s="177"/>
    </row>
    <row r="273">
      <c r="G273" s="177"/>
    </row>
    <row r="274">
      <c r="G274" s="177"/>
    </row>
    <row r="275">
      <c r="G275" s="177"/>
    </row>
    <row r="276">
      <c r="G276" s="177"/>
    </row>
    <row r="277">
      <c r="G277" s="177"/>
    </row>
    <row r="278">
      <c r="G278" s="177"/>
    </row>
    <row r="279">
      <c r="G279" s="177"/>
    </row>
    <row r="280">
      <c r="G280" s="177"/>
    </row>
    <row r="281">
      <c r="G281" s="177"/>
    </row>
    <row r="282">
      <c r="G282" s="177"/>
    </row>
    <row r="283">
      <c r="G283" s="177"/>
    </row>
    <row r="284">
      <c r="G284" s="177"/>
    </row>
    <row r="285">
      <c r="G285" s="177"/>
    </row>
    <row r="286">
      <c r="G286" s="177"/>
    </row>
    <row r="287">
      <c r="G287" s="177"/>
    </row>
    <row r="288">
      <c r="G288" s="177"/>
    </row>
    <row r="289">
      <c r="G289" s="177"/>
    </row>
    <row r="290">
      <c r="G290" s="177"/>
    </row>
    <row r="291">
      <c r="G291" s="177"/>
    </row>
    <row r="292">
      <c r="G292" s="177"/>
    </row>
    <row r="293">
      <c r="G293" s="177"/>
    </row>
    <row r="294">
      <c r="G294" s="177"/>
    </row>
    <row r="295">
      <c r="G295" s="177"/>
    </row>
    <row r="296">
      <c r="G296" s="177"/>
    </row>
    <row r="297">
      <c r="G297" s="177"/>
    </row>
    <row r="298">
      <c r="G298" s="177"/>
    </row>
    <row r="299">
      <c r="G299" s="177"/>
    </row>
    <row r="300">
      <c r="G300" s="177"/>
    </row>
    <row r="301">
      <c r="G301" s="177"/>
    </row>
    <row r="302">
      <c r="G302" s="177"/>
    </row>
    <row r="303">
      <c r="G303" s="177"/>
    </row>
    <row r="304">
      <c r="G304" s="177"/>
    </row>
    <row r="305">
      <c r="G305" s="177"/>
    </row>
    <row r="306">
      <c r="G306" s="177"/>
    </row>
    <row r="307">
      <c r="G307" s="177"/>
    </row>
    <row r="308">
      <c r="G308" s="177"/>
    </row>
    <row r="309">
      <c r="G309" s="177"/>
    </row>
    <row r="310">
      <c r="G310" s="177"/>
    </row>
    <row r="311">
      <c r="G311" s="177"/>
    </row>
    <row r="312">
      <c r="G312" s="177"/>
    </row>
    <row r="313">
      <c r="G313" s="177"/>
    </row>
    <row r="314">
      <c r="G314" s="177"/>
    </row>
    <row r="315">
      <c r="G315" s="177"/>
    </row>
    <row r="316">
      <c r="G316" s="177"/>
    </row>
    <row r="317">
      <c r="G317" s="177"/>
    </row>
    <row r="318">
      <c r="G318" s="177"/>
    </row>
    <row r="319">
      <c r="G319" s="177"/>
    </row>
    <row r="320">
      <c r="G320" s="177"/>
    </row>
    <row r="321">
      <c r="G321" s="177"/>
    </row>
    <row r="322">
      <c r="G322" s="177"/>
    </row>
    <row r="323">
      <c r="G323" s="177"/>
    </row>
    <row r="324">
      <c r="G324" s="177"/>
    </row>
    <row r="325">
      <c r="G325" s="177"/>
    </row>
    <row r="326">
      <c r="G326" s="177"/>
    </row>
    <row r="327">
      <c r="G327" s="177"/>
    </row>
    <row r="328">
      <c r="G328" s="177"/>
    </row>
    <row r="329">
      <c r="G329" s="177"/>
    </row>
    <row r="330">
      <c r="G330" s="177"/>
    </row>
    <row r="331">
      <c r="G331" s="177"/>
    </row>
    <row r="332">
      <c r="G332" s="177"/>
    </row>
    <row r="333">
      <c r="G333" s="177"/>
    </row>
    <row r="334">
      <c r="G334" s="177"/>
    </row>
    <row r="335">
      <c r="G335" s="177"/>
    </row>
    <row r="336">
      <c r="G336" s="177"/>
    </row>
    <row r="337">
      <c r="G337" s="177"/>
    </row>
    <row r="338">
      <c r="G338" s="177"/>
    </row>
    <row r="339">
      <c r="G339" s="177"/>
    </row>
    <row r="340">
      <c r="G340" s="177"/>
    </row>
    <row r="341">
      <c r="G341" s="177"/>
    </row>
    <row r="342">
      <c r="G342" s="177"/>
    </row>
    <row r="343">
      <c r="G343" s="177"/>
    </row>
    <row r="344">
      <c r="G344" s="177"/>
    </row>
    <row r="345">
      <c r="G345" s="177"/>
    </row>
    <row r="346">
      <c r="G346" s="177"/>
    </row>
    <row r="347">
      <c r="G347" s="177"/>
    </row>
    <row r="348">
      <c r="G348" s="177"/>
    </row>
    <row r="349">
      <c r="G349" s="177"/>
    </row>
    <row r="350">
      <c r="G350" s="177"/>
    </row>
    <row r="351">
      <c r="G351" s="177"/>
    </row>
    <row r="352">
      <c r="G352" s="177"/>
    </row>
    <row r="353">
      <c r="G353" s="177"/>
    </row>
    <row r="354">
      <c r="G354" s="177"/>
    </row>
    <row r="355">
      <c r="G355" s="177"/>
    </row>
    <row r="356">
      <c r="G356" s="177"/>
    </row>
    <row r="357">
      <c r="G357" s="177"/>
    </row>
    <row r="358">
      <c r="G358" s="177"/>
    </row>
    <row r="359">
      <c r="G359" s="177"/>
    </row>
    <row r="360">
      <c r="G360" s="177"/>
    </row>
    <row r="361">
      <c r="G361" s="177"/>
    </row>
    <row r="362">
      <c r="G362" s="177"/>
    </row>
    <row r="363">
      <c r="G363" s="177"/>
    </row>
    <row r="364">
      <c r="G364" s="177"/>
    </row>
    <row r="365">
      <c r="G365" s="177"/>
    </row>
    <row r="366">
      <c r="G366" s="177"/>
    </row>
    <row r="367">
      <c r="G367" s="177"/>
    </row>
    <row r="368">
      <c r="G368" s="177"/>
    </row>
    <row r="369">
      <c r="G369" s="177"/>
    </row>
    <row r="370">
      <c r="G370" s="177"/>
    </row>
    <row r="371">
      <c r="G371" s="177"/>
    </row>
    <row r="372">
      <c r="G372" s="177"/>
    </row>
    <row r="373">
      <c r="G373" s="177"/>
    </row>
    <row r="374">
      <c r="G374" s="177"/>
    </row>
    <row r="375">
      <c r="G375" s="177"/>
    </row>
    <row r="376">
      <c r="G376" s="177"/>
    </row>
    <row r="377">
      <c r="G377" s="177"/>
    </row>
    <row r="378">
      <c r="G378" s="177"/>
    </row>
    <row r="379">
      <c r="G379" s="177"/>
    </row>
    <row r="380">
      <c r="G380" s="177"/>
    </row>
    <row r="381">
      <c r="G381" s="177"/>
    </row>
    <row r="382">
      <c r="G382" s="177"/>
    </row>
    <row r="383">
      <c r="G383" s="177"/>
    </row>
    <row r="384">
      <c r="G384" s="177"/>
    </row>
    <row r="385">
      <c r="G385" s="177"/>
    </row>
    <row r="386">
      <c r="G386" s="177"/>
    </row>
    <row r="387">
      <c r="G387" s="177"/>
    </row>
    <row r="388">
      <c r="G388" s="177"/>
    </row>
    <row r="389">
      <c r="G389" s="177"/>
    </row>
    <row r="390">
      <c r="G390" s="177"/>
    </row>
    <row r="391">
      <c r="G391" s="177"/>
    </row>
    <row r="392">
      <c r="G392" s="177"/>
    </row>
    <row r="393">
      <c r="G393" s="177"/>
    </row>
    <row r="394">
      <c r="G394" s="177"/>
    </row>
    <row r="395">
      <c r="G395" s="177"/>
    </row>
    <row r="396">
      <c r="G396" s="177"/>
    </row>
    <row r="397">
      <c r="G397" s="177"/>
    </row>
    <row r="398">
      <c r="G398" s="177"/>
    </row>
    <row r="399">
      <c r="G399" s="177"/>
    </row>
    <row r="400">
      <c r="G400" s="177"/>
    </row>
    <row r="401">
      <c r="G401" s="177"/>
    </row>
    <row r="402">
      <c r="G402" s="177"/>
    </row>
    <row r="403">
      <c r="G403" s="177"/>
    </row>
    <row r="404">
      <c r="G404" s="177"/>
    </row>
    <row r="405">
      <c r="G405" s="177"/>
    </row>
    <row r="406">
      <c r="G406" s="177"/>
    </row>
    <row r="407">
      <c r="G407" s="177"/>
    </row>
    <row r="408">
      <c r="G408" s="177"/>
    </row>
    <row r="409">
      <c r="G409" s="177"/>
    </row>
    <row r="410">
      <c r="G410" s="177"/>
    </row>
    <row r="411">
      <c r="G411" s="177"/>
    </row>
    <row r="412">
      <c r="G412" s="177"/>
    </row>
    <row r="413">
      <c r="G413" s="177"/>
    </row>
    <row r="414">
      <c r="G414" s="177"/>
    </row>
    <row r="415">
      <c r="G415" s="177"/>
    </row>
    <row r="416">
      <c r="G416" s="177"/>
    </row>
    <row r="417">
      <c r="G417" s="177"/>
    </row>
    <row r="418">
      <c r="G418" s="177"/>
    </row>
    <row r="419">
      <c r="G419" s="177"/>
    </row>
    <row r="420">
      <c r="G420" s="177"/>
    </row>
    <row r="421">
      <c r="G421" s="177"/>
    </row>
    <row r="422">
      <c r="G422" s="177"/>
    </row>
    <row r="423">
      <c r="G423" s="177"/>
    </row>
    <row r="424">
      <c r="G424" s="177"/>
    </row>
    <row r="425">
      <c r="G425" s="177"/>
    </row>
    <row r="426">
      <c r="G426" s="177"/>
    </row>
    <row r="427">
      <c r="G427" s="177"/>
    </row>
    <row r="428">
      <c r="G428" s="177"/>
    </row>
    <row r="429">
      <c r="G429" s="177"/>
    </row>
    <row r="430">
      <c r="G430" s="177"/>
    </row>
    <row r="431">
      <c r="G431" s="177"/>
    </row>
    <row r="432">
      <c r="G432" s="177"/>
    </row>
    <row r="433">
      <c r="G433" s="177"/>
    </row>
    <row r="434">
      <c r="G434" s="177"/>
    </row>
    <row r="435">
      <c r="G435" s="177"/>
    </row>
    <row r="436">
      <c r="G436" s="177"/>
    </row>
    <row r="437">
      <c r="G437" s="177"/>
    </row>
    <row r="438">
      <c r="G438" s="177"/>
    </row>
    <row r="439">
      <c r="G439" s="177"/>
    </row>
    <row r="440">
      <c r="G440" s="177"/>
    </row>
    <row r="441">
      <c r="G441" s="177"/>
    </row>
    <row r="442">
      <c r="G442" s="177"/>
    </row>
    <row r="443">
      <c r="G443" s="177"/>
    </row>
    <row r="444">
      <c r="G444" s="177"/>
    </row>
    <row r="445">
      <c r="G445" s="177"/>
    </row>
    <row r="446">
      <c r="G446" s="177"/>
    </row>
    <row r="447">
      <c r="G447" s="177"/>
    </row>
    <row r="448">
      <c r="G448" s="177"/>
    </row>
    <row r="449">
      <c r="G449" s="177"/>
    </row>
    <row r="450">
      <c r="G450" s="177"/>
    </row>
    <row r="451">
      <c r="G451" s="177"/>
    </row>
    <row r="452">
      <c r="G452" s="177"/>
    </row>
    <row r="453">
      <c r="G453" s="177"/>
    </row>
    <row r="454">
      <c r="G454" s="177"/>
    </row>
    <row r="455">
      <c r="G455" s="177"/>
    </row>
    <row r="456">
      <c r="G456" s="177"/>
    </row>
    <row r="457">
      <c r="G457" s="177"/>
    </row>
    <row r="458">
      <c r="G458" s="177"/>
    </row>
    <row r="459">
      <c r="G459" s="177"/>
    </row>
    <row r="460">
      <c r="G460" s="177"/>
    </row>
    <row r="461">
      <c r="G461" s="177"/>
    </row>
    <row r="462">
      <c r="G462" s="177"/>
    </row>
    <row r="463">
      <c r="G463" s="177"/>
    </row>
    <row r="464">
      <c r="G464" s="177"/>
    </row>
    <row r="465">
      <c r="G465" s="177"/>
    </row>
    <row r="466">
      <c r="G466" s="177"/>
    </row>
    <row r="467">
      <c r="G467" s="177"/>
    </row>
    <row r="468">
      <c r="G468" s="177"/>
    </row>
    <row r="469">
      <c r="G469" s="177"/>
    </row>
    <row r="470">
      <c r="G470" s="177"/>
    </row>
    <row r="471">
      <c r="G471" s="177"/>
    </row>
    <row r="472">
      <c r="G472" s="177"/>
    </row>
    <row r="473">
      <c r="G473" s="177"/>
    </row>
    <row r="474">
      <c r="G474" s="177"/>
    </row>
    <row r="475">
      <c r="G475" s="177"/>
    </row>
    <row r="476">
      <c r="G476" s="177"/>
    </row>
    <row r="477">
      <c r="G477" s="177"/>
    </row>
    <row r="478">
      <c r="G478" s="177"/>
    </row>
    <row r="479">
      <c r="G479" s="177"/>
    </row>
    <row r="480">
      <c r="G480" s="177"/>
    </row>
    <row r="481">
      <c r="G481" s="177"/>
    </row>
    <row r="482">
      <c r="G482" s="177"/>
    </row>
    <row r="483">
      <c r="G483" s="177"/>
    </row>
    <row r="484">
      <c r="G484" s="177"/>
    </row>
    <row r="485">
      <c r="G485" s="177"/>
    </row>
    <row r="486">
      <c r="G486" s="177"/>
    </row>
    <row r="487">
      <c r="G487" s="177"/>
    </row>
    <row r="488">
      <c r="G488" s="177"/>
    </row>
    <row r="489">
      <c r="G489" s="177"/>
    </row>
    <row r="490">
      <c r="G490" s="177"/>
    </row>
    <row r="491">
      <c r="G491" s="177"/>
    </row>
    <row r="492">
      <c r="G492" s="177"/>
    </row>
    <row r="493">
      <c r="G493" s="177"/>
    </row>
    <row r="494">
      <c r="G494" s="177"/>
    </row>
    <row r="495">
      <c r="G495" s="177"/>
    </row>
    <row r="496">
      <c r="G496" s="177"/>
    </row>
    <row r="497">
      <c r="G497" s="177"/>
    </row>
    <row r="498">
      <c r="G498" s="177"/>
    </row>
    <row r="499">
      <c r="G499" s="177"/>
    </row>
    <row r="500">
      <c r="G500" s="177"/>
    </row>
    <row r="501">
      <c r="G501" s="177"/>
    </row>
    <row r="502">
      <c r="G502" s="177"/>
    </row>
    <row r="503">
      <c r="G503" s="177"/>
    </row>
    <row r="504">
      <c r="G504" s="177"/>
    </row>
    <row r="505">
      <c r="G505" s="177"/>
    </row>
    <row r="506">
      <c r="G506" s="177"/>
    </row>
    <row r="507">
      <c r="G507" s="177"/>
    </row>
    <row r="508">
      <c r="G508" s="177"/>
    </row>
    <row r="509">
      <c r="G509" s="177"/>
    </row>
    <row r="510">
      <c r="G510" s="177"/>
    </row>
    <row r="511">
      <c r="G511" s="177"/>
    </row>
    <row r="512">
      <c r="G512" s="177"/>
    </row>
    <row r="513">
      <c r="G513" s="177"/>
    </row>
    <row r="514">
      <c r="G514" s="177"/>
    </row>
    <row r="515">
      <c r="G515" s="177"/>
    </row>
    <row r="516">
      <c r="G516" s="177"/>
    </row>
    <row r="517">
      <c r="G517" s="177"/>
    </row>
    <row r="518">
      <c r="G518" s="177"/>
    </row>
    <row r="519">
      <c r="G519" s="177"/>
    </row>
    <row r="520">
      <c r="G520" s="177"/>
    </row>
    <row r="521">
      <c r="G521" s="177"/>
    </row>
    <row r="522">
      <c r="G522" s="177"/>
    </row>
    <row r="523">
      <c r="G523" s="177"/>
    </row>
    <row r="524">
      <c r="G524" s="177"/>
    </row>
    <row r="525">
      <c r="G525" s="177"/>
    </row>
    <row r="526">
      <c r="G526" s="177"/>
    </row>
    <row r="527">
      <c r="G527" s="177"/>
    </row>
    <row r="528">
      <c r="G528" s="177"/>
    </row>
    <row r="529">
      <c r="G529" s="177"/>
    </row>
    <row r="530">
      <c r="G530" s="177"/>
    </row>
    <row r="531">
      <c r="G531" s="177"/>
    </row>
    <row r="532">
      <c r="G532" s="177"/>
    </row>
    <row r="533">
      <c r="G533" s="177"/>
    </row>
    <row r="534">
      <c r="G534" s="177"/>
    </row>
    <row r="535">
      <c r="G535" s="177"/>
    </row>
    <row r="536">
      <c r="G536" s="177"/>
    </row>
    <row r="537">
      <c r="G537" s="177"/>
    </row>
    <row r="538">
      <c r="G538" s="177"/>
    </row>
    <row r="539">
      <c r="G539" s="177"/>
    </row>
    <row r="540">
      <c r="G540" s="177"/>
    </row>
    <row r="541">
      <c r="G541" s="177"/>
    </row>
    <row r="542">
      <c r="G542" s="177"/>
    </row>
    <row r="543">
      <c r="G543" s="177"/>
    </row>
    <row r="544">
      <c r="G544" s="177"/>
    </row>
    <row r="545">
      <c r="G545" s="177"/>
    </row>
    <row r="546">
      <c r="G546" s="177"/>
    </row>
    <row r="547">
      <c r="G547" s="177"/>
    </row>
    <row r="548">
      <c r="G548" s="177"/>
    </row>
    <row r="549">
      <c r="G549" s="177"/>
    </row>
    <row r="550">
      <c r="G550" s="177"/>
    </row>
    <row r="551">
      <c r="G551" s="177"/>
    </row>
    <row r="552">
      <c r="G552" s="177"/>
    </row>
    <row r="553">
      <c r="G553" s="177"/>
    </row>
    <row r="554">
      <c r="G554" s="177"/>
    </row>
    <row r="555">
      <c r="G555" s="177"/>
    </row>
    <row r="556">
      <c r="G556" s="177"/>
    </row>
    <row r="557">
      <c r="G557" s="177"/>
    </row>
    <row r="558">
      <c r="G558" s="177"/>
    </row>
    <row r="559">
      <c r="G559" s="177"/>
    </row>
    <row r="560">
      <c r="G560" s="177"/>
    </row>
    <row r="561">
      <c r="G561" s="177"/>
    </row>
    <row r="562">
      <c r="G562" s="177"/>
    </row>
    <row r="563">
      <c r="G563" s="177"/>
    </row>
    <row r="564">
      <c r="G564" s="177"/>
    </row>
    <row r="565">
      <c r="G565" s="177"/>
    </row>
    <row r="566">
      <c r="G566" s="177"/>
    </row>
    <row r="567">
      <c r="G567" s="177"/>
    </row>
    <row r="568">
      <c r="G568" s="177"/>
    </row>
    <row r="569">
      <c r="G569" s="177"/>
    </row>
    <row r="570">
      <c r="G570" s="177"/>
    </row>
    <row r="571">
      <c r="G571" s="177"/>
    </row>
    <row r="572">
      <c r="G572" s="177"/>
    </row>
    <row r="573">
      <c r="G573" s="177"/>
    </row>
    <row r="574">
      <c r="G574" s="177"/>
    </row>
    <row r="575">
      <c r="G575" s="177"/>
    </row>
    <row r="576">
      <c r="G576" s="177"/>
    </row>
    <row r="577">
      <c r="G577" s="177"/>
    </row>
    <row r="578">
      <c r="G578" s="177"/>
    </row>
    <row r="579">
      <c r="G579" s="177"/>
    </row>
    <row r="580">
      <c r="G580" s="177"/>
    </row>
    <row r="581">
      <c r="G581" s="177"/>
    </row>
    <row r="582">
      <c r="G582" s="177"/>
    </row>
    <row r="583">
      <c r="G583" s="177"/>
    </row>
    <row r="584">
      <c r="G584" s="177"/>
    </row>
    <row r="585">
      <c r="G585" s="177"/>
    </row>
    <row r="586">
      <c r="G586" s="177"/>
    </row>
    <row r="587">
      <c r="G587" s="177"/>
    </row>
    <row r="588">
      <c r="G588" s="177"/>
    </row>
    <row r="589">
      <c r="G589" s="177"/>
    </row>
    <row r="590">
      <c r="G590" s="177"/>
    </row>
    <row r="591">
      <c r="G591" s="177"/>
    </row>
    <row r="592">
      <c r="G592" s="177"/>
    </row>
    <row r="593">
      <c r="G593" s="177"/>
    </row>
    <row r="594">
      <c r="G594" s="177"/>
    </row>
    <row r="595">
      <c r="G595" s="177"/>
    </row>
    <row r="596">
      <c r="G596" s="177"/>
    </row>
    <row r="597">
      <c r="G597" s="177"/>
    </row>
    <row r="598">
      <c r="G598" s="177"/>
    </row>
    <row r="599">
      <c r="G599" s="177"/>
    </row>
    <row r="600">
      <c r="G600" s="177"/>
    </row>
    <row r="601">
      <c r="G601" s="177"/>
    </row>
    <row r="602">
      <c r="G602" s="177"/>
    </row>
    <row r="603">
      <c r="G603" s="177"/>
    </row>
    <row r="604">
      <c r="G604" s="177"/>
    </row>
    <row r="605">
      <c r="G605" s="177"/>
    </row>
    <row r="606">
      <c r="G606" s="177"/>
    </row>
    <row r="607">
      <c r="G607" s="177"/>
    </row>
    <row r="608">
      <c r="G608" s="177"/>
    </row>
    <row r="609">
      <c r="G609" s="177"/>
    </row>
    <row r="610">
      <c r="G610" s="177"/>
    </row>
    <row r="611">
      <c r="G611" s="177"/>
    </row>
    <row r="612">
      <c r="G612" s="177"/>
    </row>
    <row r="613">
      <c r="G613" s="177"/>
    </row>
    <row r="614">
      <c r="G614" s="177"/>
    </row>
    <row r="615">
      <c r="G615" s="177"/>
    </row>
    <row r="616">
      <c r="G616" s="177"/>
    </row>
    <row r="617">
      <c r="G617" s="177"/>
    </row>
    <row r="618">
      <c r="G618" s="177"/>
    </row>
    <row r="619">
      <c r="G619" s="177"/>
    </row>
    <row r="620">
      <c r="G620" s="177"/>
    </row>
    <row r="621">
      <c r="G621" s="177"/>
    </row>
    <row r="622">
      <c r="G622" s="177"/>
    </row>
    <row r="623">
      <c r="G623" s="177"/>
    </row>
    <row r="624">
      <c r="G624" s="177"/>
    </row>
    <row r="625">
      <c r="G625" s="177"/>
    </row>
    <row r="626">
      <c r="G626" s="177"/>
    </row>
    <row r="627">
      <c r="G627" s="177"/>
    </row>
    <row r="628">
      <c r="G628" s="177"/>
    </row>
    <row r="629">
      <c r="G629" s="177"/>
    </row>
    <row r="630">
      <c r="G630" s="177"/>
    </row>
    <row r="631">
      <c r="G631" s="177"/>
    </row>
    <row r="632">
      <c r="G632" s="177"/>
    </row>
    <row r="633">
      <c r="G633" s="177"/>
    </row>
    <row r="634">
      <c r="G634" s="177"/>
    </row>
    <row r="635">
      <c r="G635" s="177"/>
    </row>
    <row r="636">
      <c r="G636" s="177"/>
    </row>
    <row r="637">
      <c r="G637" s="177"/>
    </row>
    <row r="638">
      <c r="G638" s="177"/>
    </row>
    <row r="639">
      <c r="G639" s="177"/>
    </row>
    <row r="640">
      <c r="G640" s="177"/>
    </row>
    <row r="641">
      <c r="G641" s="177"/>
    </row>
    <row r="642">
      <c r="G642" s="177"/>
    </row>
    <row r="643">
      <c r="G643" s="177"/>
    </row>
    <row r="644">
      <c r="G644" s="177"/>
    </row>
    <row r="645">
      <c r="G645" s="177"/>
    </row>
    <row r="646">
      <c r="G646" s="177"/>
    </row>
    <row r="647">
      <c r="G647" s="177"/>
    </row>
    <row r="648">
      <c r="G648" s="177"/>
    </row>
    <row r="649">
      <c r="G649" s="177"/>
    </row>
    <row r="650">
      <c r="G650" s="177"/>
    </row>
    <row r="651">
      <c r="G651" s="177"/>
    </row>
    <row r="652">
      <c r="G652" s="177"/>
    </row>
    <row r="653">
      <c r="G653" s="177"/>
    </row>
    <row r="654">
      <c r="G654" s="177"/>
    </row>
    <row r="655">
      <c r="G655" s="177"/>
    </row>
    <row r="656">
      <c r="G656" s="177"/>
    </row>
    <row r="657">
      <c r="G657" s="177"/>
    </row>
    <row r="658">
      <c r="G658" s="177"/>
    </row>
    <row r="659">
      <c r="G659" s="177"/>
    </row>
    <row r="660">
      <c r="G660" s="177"/>
    </row>
    <row r="661">
      <c r="G661" s="177"/>
    </row>
    <row r="662">
      <c r="G662" s="177"/>
    </row>
    <row r="663">
      <c r="G663" s="177"/>
    </row>
    <row r="664">
      <c r="G664" s="177"/>
    </row>
    <row r="665">
      <c r="G665" s="177"/>
    </row>
    <row r="666">
      <c r="G666" s="177"/>
    </row>
    <row r="667">
      <c r="G667" s="177"/>
    </row>
    <row r="668">
      <c r="G668" s="177"/>
    </row>
    <row r="669">
      <c r="G669" s="177"/>
    </row>
    <row r="670">
      <c r="G670" s="177"/>
    </row>
    <row r="671">
      <c r="G671" s="177"/>
    </row>
    <row r="672">
      <c r="G672" s="177"/>
    </row>
    <row r="673">
      <c r="G673" s="177"/>
    </row>
    <row r="674">
      <c r="G674" s="177"/>
    </row>
    <row r="675">
      <c r="G675" s="177"/>
    </row>
    <row r="676">
      <c r="G676" s="177"/>
    </row>
    <row r="677">
      <c r="G677" s="177"/>
    </row>
    <row r="678">
      <c r="G678" s="177"/>
    </row>
    <row r="679">
      <c r="G679" s="177"/>
    </row>
    <row r="680">
      <c r="G680" s="177"/>
    </row>
    <row r="681">
      <c r="G681" s="177"/>
    </row>
    <row r="682">
      <c r="G682" s="177"/>
    </row>
    <row r="683">
      <c r="G683" s="177"/>
    </row>
    <row r="684">
      <c r="G684" s="177"/>
    </row>
    <row r="685">
      <c r="G685" s="177"/>
    </row>
    <row r="686">
      <c r="G686" s="177"/>
    </row>
    <row r="687">
      <c r="G687" s="177"/>
    </row>
    <row r="688">
      <c r="G688" s="177"/>
    </row>
    <row r="689">
      <c r="G689" s="177"/>
    </row>
    <row r="690">
      <c r="G690" s="177"/>
    </row>
    <row r="691">
      <c r="G691" s="177"/>
    </row>
    <row r="692">
      <c r="G692" s="177"/>
    </row>
    <row r="693">
      <c r="G693" s="177"/>
    </row>
    <row r="694">
      <c r="G694" s="177"/>
    </row>
    <row r="695">
      <c r="G695" s="177"/>
    </row>
    <row r="696">
      <c r="G696" s="177"/>
    </row>
    <row r="697">
      <c r="G697" s="177"/>
    </row>
    <row r="698">
      <c r="G698" s="177"/>
    </row>
    <row r="699">
      <c r="G699" s="177"/>
    </row>
    <row r="700">
      <c r="G700" s="177"/>
    </row>
    <row r="701">
      <c r="G701" s="177"/>
    </row>
    <row r="702">
      <c r="G702" s="177"/>
    </row>
    <row r="703">
      <c r="G703" s="177"/>
    </row>
    <row r="704">
      <c r="G704" s="177"/>
    </row>
    <row r="705">
      <c r="G705" s="177"/>
    </row>
    <row r="706">
      <c r="G706" s="177"/>
    </row>
    <row r="707">
      <c r="G707" s="177"/>
    </row>
    <row r="708">
      <c r="G708" s="177"/>
    </row>
    <row r="709">
      <c r="G709" s="177"/>
    </row>
    <row r="710">
      <c r="G710" s="177"/>
    </row>
    <row r="711">
      <c r="G711" s="177"/>
    </row>
    <row r="712">
      <c r="G712" s="177"/>
    </row>
    <row r="713">
      <c r="G713" s="177"/>
    </row>
    <row r="714">
      <c r="G714" s="177"/>
    </row>
    <row r="715">
      <c r="G715" s="177"/>
    </row>
    <row r="716">
      <c r="G716" s="177"/>
    </row>
    <row r="717">
      <c r="G717" s="177"/>
    </row>
    <row r="718">
      <c r="G718" s="177"/>
    </row>
    <row r="719">
      <c r="G719" s="177"/>
    </row>
    <row r="720">
      <c r="G720" s="177"/>
    </row>
    <row r="721">
      <c r="G721" s="177"/>
    </row>
    <row r="722">
      <c r="G722" s="177"/>
    </row>
    <row r="723">
      <c r="G723" s="177"/>
    </row>
    <row r="724">
      <c r="G724" s="177"/>
    </row>
    <row r="725">
      <c r="G725" s="177"/>
    </row>
    <row r="726">
      <c r="G726" s="177"/>
    </row>
    <row r="727">
      <c r="G727" s="177"/>
    </row>
    <row r="728">
      <c r="G728" s="177"/>
    </row>
    <row r="729">
      <c r="G729" s="177"/>
    </row>
    <row r="730">
      <c r="G730" s="177"/>
    </row>
    <row r="731">
      <c r="G731" s="177"/>
    </row>
    <row r="732">
      <c r="G732" s="177"/>
    </row>
    <row r="733">
      <c r="G733" s="177"/>
    </row>
    <row r="734">
      <c r="G734" s="177"/>
    </row>
    <row r="735">
      <c r="G735" s="177"/>
    </row>
    <row r="736">
      <c r="G736" s="177"/>
    </row>
    <row r="737">
      <c r="G737" s="177"/>
    </row>
    <row r="738">
      <c r="G738" s="177"/>
    </row>
    <row r="739">
      <c r="G739" s="177"/>
    </row>
    <row r="740">
      <c r="G740" s="177"/>
    </row>
    <row r="741">
      <c r="G741" s="177"/>
    </row>
    <row r="742">
      <c r="G742" s="177"/>
    </row>
    <row r="743">
      <c r="G743" s="177"/>
    </row>
    <row r="744">
      <c r="G744" s="177"/>
    </row>
    <row r="745">
      <c r="G745" s="177"/>
    </row>
    <row r="746">
      <c r="G746" s="177"/>
    </row>
    <row r="747">
      <c r="G747" s="177"/>
    </row>
    <row r="748">
      <c r="G748" s="177"/>
    </row>
    <row r="749">
      <c r="G749" s="177"/>
    </row>
    <row r="750">
      <c r="G750" s="177"/>
    </row>
    <row r="751">
      <c r="G751" s="177"/>
    </row>
    <row r="752">
      <c r="G752" s="177"/>
    </row>
    <row r="753">
      <c r="G753" s="177"/>
    </row>
    <row r="754">
      <c r="G754" s="177"/>
    </row>
    <row r="755">
      <c r="G755" s="177"/>
    </row>
    <row r="756">
      <c r="G756" s="177"/>
    </row>
    <row r="757">
      <c r="G757" s="177"/>
    </row>
    <row r="758">
      <c r="G758" s="177"/>
    </row>
    <row r="759">
      <c r="G759" s="177"/>
    </row>
    <row r="760">
      <c r="G760" s="177"/>
    </row>
    <row r="761">
      <c r="G761" s="177"/>
    </row>
    <row r="762">
      <c r="G762" s="177"/>
    </row>
    <row r="763">
      <c r="G763" s="177"/>
    </row>
    <row r="764">
      <c r="G764" s="177"/>
    </row>
    <row r="765">
      <c r="G765" s="177"/>
    </row>
    <row r="766">
      <c r="G766" s="177"/>
    </row>
    <row r="767">
      <c r="G767" s="177"/>
    </row>
    <row r="768">
      <c r="G768" s="177"/>
    </row>
    <row r="769">
      <c r="G769" s="177"/>
    </row>
    <row r="770">
      <c r="G770" s="177"/>
    </row>
    <row r="771">
      <c r="G771" s="177"/>
    </row>
    <row r="772">
      <c r="G772" s="177"/>
    </row>
    <row r="773">
      <c r="G773" s="177"/>
    </row>
    <row r="774">
      <c r="G774" s="177"/>
    </row>
    <row r="775">
      <c r="G775" s="177"/>
    </row>
    <row r="776">
      <c r="G776" s="177"/>
    </row>
    <row r="777">
      <c r="G777" s="177"/>
    </row>
    <row r="778">
      <c r="G778" s="177"/>
    </row>
    <row r="779">
      <c r="G779" s="177"/>
    </row>
    <row r="780">
      <c r="G780" s="177"/>
    </row>
    <row r="781">
      <c r="G781" s="177"/>
    </row>
    <row r="782">
      <c r="G782" s="177"/>
    </row>
    <row r="783">
      <c r="G783" s="177"/>
    </row>
    <row r="784">
      <c r="G784" s="177"/>
    </row>
    <row r="785">
      <c r="G785" s="177"/>
    </row>
    <row r="786">
      <c r="G786" s="177"/>
    </row>
    <row r="787">
      <c r="G787" s="177"/>
    </row>
    <row r="788">
      <c r="G788" s="177"/>
    </row>
    <row r="789">
      <c r="G789" s="177"/>
    </row>
    <row r="790">
      <c r="G790" s="177"/>
    </row>
    <row r="791">
      <c r="G791" s="177"/>
    </row>
    <row r="792">
      <c r="G792" s="177"/>
    </row>
    <row r="793">
      <c r="G793" s="177"/>
    </row>
    <row r="794">
      <c r="G794" s="177"/>
    </row>
    <row r="795">
      <c r="G795" s="177"/>
    </row>
    <row r="796">
      <c r="G796" s="177"/>
    </row>
    <row r="797">
      <c r="G797" s="177"/>
    </row>
    <row r="798">
      <c r="G798" s="177"/>
    </row>
    <row r="799">
      <c r="G799" s="177"/>
    </row>
    <row r="800">
      <c r="G800" s="177"/>
    </row>
    <row r="801">
      <c r="G801" s="177"/>
    </row>
    <row r="802">
      <c r="G802" s="177"/>
    </row>
    <row r="803">
      <c r="G803" s="177"/>
    </row>
    <row r="804">
      <c r="G804" s="177"/>
    </row>
    <row r="805">
      <c r="G805" s="177"/>
    </row>
    <row r="806">
      <c r="G806" s="177"/>
    </row>
    <row r="807">
      <c r="G807" s="177"/>
    </row>
    <row r="808">
      <c r="G808" s="177"/>
    </row>
    <row r="809">
      <c r="G809" s="177"/>
    </row>
    <row r="810">
      <c r="G810" s="177"/>
    </row>
    <row r="811">
      <c r="G811" s="177"/>
    </row>
    <row r="812">
      <c r="G812" s="177"/>
    </row>
    <row r="813">
      <c r="G813" s="177"/>
    </row>
    <row r="814">
      <c r="G814" s="177"/>
    </row>
    <row r="815">
      <c r="G815" s="177"/>
    </row>
    <row r="816">
      <c r="G816" s="177"/>
    </row>
    <row r="817">
      <c r="G817" s="177"/>
    </row>
    <row r="818">
      <c r="G818" s="177"/>
    </row>
    <row r="819">
      <c r="G819" s="177"/>
    </row>
    <row r="820">
      <c r="G820" s="177"/>
    </row>
    <row r="821">
      <c r="G821" s="177"/>
    </row>
    <row r="822">
      <c r="G822" s="177"/>
    </row>
    <row r="823">
      <c r="G823" s="177"/>
    </row>
    <row r="824">
      <c r="G824" s="177"/>
    </row>
    <row r="825">
      <c r="G825" s="177"/>
    </row>
    <row r="826">
      <c r="G826" s="177"/>
    </row>
    <row r="827">
      <c r="G827" s="177"/>
    </row>
    <row r="828">
      <c r="G828" s="177"/>
    </row>
    <row r="829">
      <c r="G829" s="177"/>
    </row>
    <row r="830">
      <c r="G830" s="177"/>
    </row>
    <row r="831">
      <c r="G831" s="177"/>
    </row>
    <row r="832">
      <c r="G832" s="177"/>
    </row>
    <row r="833">
      <c r="G833" s="177"/>
    </row>
    <row r="834">
      <c r="G834" s="177"/>
    </row>
    <row r="835">
      <c r="G835" s="177"/>
    </row>
    <row r="836">
      <c r="G836" s="177"/>
    </row>
    <row r="837">
      <c r="G837" s="177"/>
    </row>
    <row r="838">
      <c r="G838" s="177"/>
    </row>
    <row r="839">
      <c r="G839" s="177"/>
    </row>
    <row r="840">
      <c r="G840" s="177"/>
    </row>
    <row r="841">
      <c r="G841" s="177"/>
    </row>
    <row r="842">
      <c r="G842" s="177"/>
    </row>
    <row r="843">
      <c r="G843" s="177"/>
    </row>
    <row r="844">
      <c r="G844" s="177"/>
    </row>
    <row r="845">
      <c r="G845" s="177"/>
    </row>
    <row r="846">
      <c r="G846" s="177"/>
    </row>
    <row r="847">
      <c r="G847" s="177"/>
    </row>
    <row r="848">
      <c r="G848" s="177"/>
    </row>
    <row r="849">
      <c r="G849" s="177"/>
    </row>
    <row r="850">
      <c r="G850" s="177"/>
    </row>
    <row r="851">
      <c r="G851" s="177"/>
    </row>
    <row r="852">
      <c r="G852" s="177"/>
    </row>
    <row r="853">
      <c r="G853" s="177"/>
    </row>
    <row r="854">
      <c r="G854" s="177"/>
    </row>
    <row r="855">
      <c r="G855" s="177"/>
    </row>
    <row r="856">
      <c r="G856" s="177"/>
    </row>
    <row r="857">
      <c r="G857" s="177"/>
    </row>
    <row r="858">
      <c r="G858" s="177"/>
    </row>
    <row r="859">
      <c r="G859" s="177"/>
    </row>
    <row r="860">
      <c r="G860" s="177"/>
    </row>
    <row r="861">
      <c r="G861" s="177"/>
    </row>
    <row r="862">
      <c r="G862" s="177"/>
    </row>
    <row r="863">
      <c r="G863" s="177"/>
    </row>
    <row r="864">
      <c r="G864" s="177"/>
    </row>
    <row r="865">
      <c r="G865" s="177"/>
    </row>
    <row r="866">
      <c r="G866" s="177"/>
    </row>
    <row r="867">
      <c r="G867" s="177"/>
    </row>
    <row r="868">
      <c r="G868" s="177"/>
    </row>
    <row r="869">
      <c r="G869" s="177"/>
    </row>
    <row r="870">
      <c r="G870" s="177"/>
    </row>
    <row r="871">
      <c r="G871" s="177"/>
    </row>
    <row r="872">
      <c r="G872" s="177"/>
    </row>
    <row r="873">
      <c r="G873" s="177"/>
    </row>
    <row r="874">
      <c r="G874" s="177"/>
    </row>
    <row r="875">
      <c r="G875" s="177"/>
    </row>
    <row r="876">
      <c r="G876" s="177"/>
    </row>
    <row r="877">
      <c r="G877" s="177"/>
    </row>
    <row r="878">
      <c r="G878" s="177"/>
    </row>
    <row r="879">
      <c r="G879" s="177"/>
    </row>
    <row r="880">
      <c r="G880" s="177"/>
    </row>
    <row r="881">
      <c r="G881" s="177"/>
    </row>
    <row r="882">
      <c r="G882" s="177"/>
    </row>
    <row r="883">
      <c r="G883" s="177"/>
    </row>
    <row r="884">
      <c r="G884" s="177"/>
    </row>
    <row r="885">
      <c r="G885" s="177"/>
    </row>
    <row r="886">
      <c r="G886" s="177"/>
    </row>
    <row r="887">
      <c r="G887" s="177"/>
    </row>
    <row r="888">
      <c r="G888" s="177"/>
    </row>
    <row r="889">
      <c r="G889" s="177"/>
    </row>
    <row r="890">
      <c r="G890" s="177"/>
    </row>
    <row r="891">
      <c r="G891" s="177"/>
    </row>
    <row r="892">
      <c r="G892" s="177"/>
    </row>
    <row r="893">
      <c r="G893" s="177"/>
    </row>
    <row r="894">
      <c r="G894" s="177"/>
    </row>
    <row r="895">
      <c r="G895" s="177"/>
    </row>
    <row r="896">
      <c r="G896" s="177"/>
    </row>
    <row r="897">
      <c r="G897" s="177"/>
    </row>
    <row r="898">
      <c r="G898" s="177"/>
    </row>
    <row r="899">
      <c r="G899" s="177"/>
    </row>
    <row r="900">
      <c r="G900" s="177"/>
    </row>
    <row r="901">
      <c r="G901" s="177"/>
    </row>
    <row r="902">
      <c r="G902" s="177"/>
    </row>
    <row r="903">
      <c r="G903" s="177"/>
    </row>
    <row r="904">
      <c r="G904" s="177"/>
    </row>
    <row r="905">
      <c r="G905" s="177"/>
    </row>
    <row r="906">
      <c r="G906" s="177"/>
    </row>
    <row r="907">
      <c r="G907" s="177"/>
    </row>
    <row r="908">
      <c r="G908" s="177"/>
    </row>
    <row r="909">
      <c r="G909" s="177"/>
    </row>
    <row r="910">
      <c r="G910" s="177"/>
    </row>
    <row r="911">
      <c r="G911" s="177"/>
    </row>
    <row r="912">
      <c r="G912" s="177"/>
    </row>
    <row r="913">
      <c r="G913" s="177"/>
    </row>
    <row r="914">
      <c r="G914" s="177"/>
    </row>
    <row r="915">
      <c r="G915" s="177"/>
    </row>
    <row r="916">
      <c r="G916" s="177"/>
    </row>
    <row r="917">
      <c r="G917" s="177"/>
    </row>
    <row r="918">
      <c r="G918" s="177"/>
    </row>
    <row r="919">
      <c r="G919" s="177"/>
    </row>
    <row r="920">
      <c r="G920" s="177"/>
    </row>
    <row r="921">
      <c r="G921" s="177"/>
    </row>
    <row r="922">
      <c r="G922" s="177"/>
    </row>
    <row r="923">
      <c r="G923" s="177"/>
    </row>
    <row r="924">
      <c r="G924" s="177"/>
    </row>
    <row r="925">
      <c r="G925" s="177"/>
    </row>
    <row r="926">
      <c r="G926" s="177"/>
    </row>
    <row r="927">
      <c r="G927" s="177"/>
    </row>
    <row r="928">
      <c r="G928" s="177"/>
    </row>
    <row r="929">
      <c r="G929" s="177"/>
    </row>
    <row r="930">
      <c r="G930" s="177"/>
    </row>
    <row r="931">
      <c r="G931" s="177"/>
    </row>
    <row r="932">
      <c r="G932" s="177"/>
    </row>
    <row r="933">
      <c r="G933" s="177"/>
    </row>
    <row r="934">
      <c r="G934" s="177"/>
    </row>
    <row r="935">
      <c r="G935" s="177"/>
    </row>
    <row r="936">
      <c r="G936" s="177"/>
    </row>
    <row r="937">
      <c r="G937" s="177"/>
    </row>
    <row r="938">
      <c r="G938" s="177"/>
    </row>
    <row r="939">
      <c r="G939" s="177"/>
    </row>
    <row r="940">
      <c r="G940" s="177"/>
    </row>
    <row r="941">
      <c r="G941" s="177"/>
    </row>
    <row r="942">
      <c r="G942" s="177"/>
    </row>
    <row r="943">
      <c r="G943" s="177"/>
    </row>
    <row r="944">
      <c r="G944" s="177"/>
    </row>
    <row r="945">
      <c r="G945" s="177"/>
    </row>
    <row r="946">
      <c r="G946" s="177"/>
    </row>
    <row r="947">
      <c r="G947" s="177"/>
    </row>
    <row r="948">
      <c r="G948" s="177"/>
    </row>
    <row r="949">
      <c r="G949" s="177"/>
    </row>
    <row r="950">
      <c r="G950" s="177"/>
    </row>
    <row r="951">
      <c r="G951" s="177"/>
    </row>
    <row r="952">
      <c r="G952" s="177"/>
    </row>
    <row r="953">
      <c r="G953" s="177"/>
    </row>
    <row r="954">
      <c r="G954" s="177"/>
    </row>
    <row r="955">
      <c r="G955" s="177"/>
    </row>
    <row r="956">
      <c r="G956" s="177"/>
    </row>
    <row r="957">
      <c r="G957" s="177"/>
    </row>
    <row r="958">
      <c r="G958" s="177"/>
    </row>
    <row r="959">
      <c r="G959" s="177"/>
    </row>
    <row r="960">
      <c r="G960" s="177"/>
    </row>
    <row r="961">
      <c r="G961" s="177"/>
    </row>
    <row r="962">
      <c r="G962" s="177"/>
    </row>
    <row r="963">
      <c r="G963" s="177"/>
    </row>
    <row r="964">
      <c r="G964" s="177"/>
    </row>
    <row r="965">
      <c r="G965" s="177"/>
    </row>
    <row r="966">
      <c r="G966" s="177"/>
    </row>
    <row r="967">
      <c r="G967" s="177"/>
    </row>
    <row r="968">
      <c r="G968" s="177"/>
    </row>
    <row r="969">
      <c r="G969" s="177"/>
    </row>
    <row r="970">
      <c r="G970" s="177"/>
    </row>
    <row r="971">
      <c r="G971" s="177"/>
    </row>
    <row r="972">
      <c r="G972" s="177"/>
    </row>
    <row r="973">
      <c r="G973" s="177"/>
    </row>
    <row r="974">
      <c r="G974" s="177"/>
    </row>
    <row r="975">
      <c r="G975" s="177"/>
    </row>
    <row r="976">
      <c r="G976" s="177"/>
    </row>
    <row r="977">
      <c r="G977" s="177"/>
    </row>
    <row r="978">
      <c r="G978" s="177"/>
    </row>
    <row r="979">
      <c r="G979" s="177"/>
    </row>
    <row r="980">
      <c r="G980" s="177"/>
    </row>
    <row r="981">
      <c r="G981" s="177"/>
    </row>
    <row r="982">
      <c r="G982" s="177"/>
    </row>
    <row r="983">
      <c r="G983" s="177"/>
    </row>
    <row r="984">
      <c r="G984" s="177"/>
    </row>
    <row r="985">
      <c r="G985" s="177"/>
    </row>
    <row r="986">
      <c r="G986" s="177"/>
    </row>
    <row r="987">
      <c r="G987" s="177"/>
    </row>
    <row r="988">
      <c r="G988" s="177"/>
    </row>
    <row r="989">
      <c r="G989" s="177"/>
    </row>
    <row r="990">
      <c r="G990" s="177"/>
    </row>
    <row r="991">
      <c r="G991" s="177"/>
    </row>
    <row r="992">
      <c r="G992" s="177"/>
    </row>
    <row r="993">
      <c r="G993" s="177"/>
    </row>
    <row r="994">
      <c r="G994" s="177"/>
    </row>
    <row r="995">
      <c r="G995" s="177"/>
    </row>
    <row r="996">
      <c r="G996" s="177"/>
    </row>
    <row r="997">
      <c r="G997" s="177"/>
    </row>
    <row r="998">
      <c r="G998" s="177"/>
    </row>
    <row r="999">
      <c r="G999" s="177"/>
    </row>
    <row r="1000">
      <c r="G1000" s="177"/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8.75"/>
    <col customWidth="1" min="6" max="6" width="23.38"/>
  </cols>
  <sheetData>
    <row r="1">
      <c r="B1" s="92" t="s">
        <v>180</v>
      </c>
      <c r="C1" s="92" t="s">
        <v>724</v>
      </c>
      <c r="D1" s="92" t="s">
        <v>725</v>
      </c>
      <c r="E1" s="136" t="s">
        <v>787</v>
      </c>
      <c r="F1" s="92" t="s">
        <v>777</v>
      </c>
    </row>
    <row r="2">
      <c r="A2" s="14" t="s">
        <v>85</v>
      </c>
      <c r="B2" s="92">
        <v>11.0</v>
      </c>
      <c r="C2" s="92">
        <v>18.5</v>
      </c>
      <c r="D2" s="92">
        <v>40.0</v>
      </c>
      <c r="E2" s="136">
        <f t="shared" ref="E2:E7" si="1">C2/D2</f>
        <v>0.4625</v>
      </c>
      <c r="F2" s="92"/>
    </row>
    <row r="3">
      <c r="A3" s="14" t="s">
        <v>86</v>
      </c>
      <c r="B3" s="92">
        <v>18.0</v>
      </c>
      <c r="C3" s="92">
        <v>15.0</v>
      </c>
      <c r="D3" s="92">
        <v>30.0</v>
      </c>
      <c r="E3" s="136">
        <f t="shared" si="1"/>
        <v>0.5</v>
      </c>
      <c r="F3" s="92">
        <v>1.0</v>
      </c>
    </row>
    <row r="4">
      <c r="A4" s="14" t="s">
        <v>88</v>
      </c>
      <c r="B4" s="92">
        <v>15.0</v>
      </c>
      <c r="C4" s="92">
        <v>26.0</v>
      </c>
      <c r="D4" s="92">
        <v>30.0</v>
      </c>
      <c r="E4" s="136">
        <f t="shared" si="1"/>
        <v>0.8666666667</v>
      </c>
      <c r="F4" s="92"/>
    </row>
    <row r="5">
      <c r="A5" s="14" t="s">
        <v>90</v>
      </c>
      <c r="B5" s="92">
        <v>19.0</v>
      </c>
      <c r="C5" s="92">
        <v>36.0</v>
      </c>
      <c r="D5" s="92">
        <v>30.0</v>
      </c>
      <c r="E5" s="136">
        <f t="shared" si="1"/>
        <v>1.2</v>
      </c>
      <c r="F5" s="92"/>
    </row>
    <row r="6">
      <c r="A6" s="14" t="s">
        <v>91</v>
      </c>
      <c r="B6" s="92">
        <v>20.0</v>
      </c>
      <c r="C6" s="92">
        <v>21.5</v>
      </c>
      <c r="D6" s="92">
        <v>28.0</v>
      </c>
      <c r="E6" s="136">
        <f t="shared" si="1"/>
        <v>0.7678571429</v>
      </c>
      <c r="F6" s="92"/>
    </row>
    <row r="7">
      <c r="A7" s="14" t="s">
        <v>94</v>
      </c>
      <c r="B7" s="92">
        <v>18.0</v>
      </c>
      <c r="C7" s="92">
        <v>42.0</v>
      </c>
      <c r="D7" s="92">
        <v>32.0</v>
      </c>
      <c r="E7" s="136">
        <f t="shared" si="1"/>
        <v>1.3125</v>
      </c>
      <c r="F7" s="92"/>
    </row>
    <row r="10">
      <c r="A10" s="14" t="s">
        <v>89</v>
      </c>
      <c r="B10" s="92">
        <v>20.0</v>
      </c>
      <c r="C10" s="92">
        <v>18.0</v>
      </c>
      <c r="D10" s="92">
        <v>36.0</v>
      </c>
      <c r="E10" s="136">
        <f t="shared" ref="E10:E11" si="2">C10/D10</f>
        <v>0.5</v>
      </c>
      <c r="F10" s="180">
        <v>2.0</v>
      </c>
    </row>
    <row r="11">
      <c r="A11" s="14" t="s">
        <v>92</v>
      </c>
      <c r="B11" s="92">
        <v>11.0</v>
      </c>
      <c r="C11" s="92">
        <v>19.0</v>
      </c>
      <c r="D11" s="92">
        <v>32.0</v>
      </c>
      <c r="E11" s="136">
        <f t="shared" si="2"/>
        <v>0.59375</v>
      </c>
      <c r="F11" s="99">
        <v>1.0</v>
      </c>
    </row>
    <row r="12">
      <c r="F12" s="98"/>
    </row>
    <row r="13">
      <c r="F13" s="98"/>
    </row>
    <row r="14">
      <c r="F14" s="98"/>
    </row>
    <row r="15">
      <c r="B15" s="66">
        <f t="shared" ref="B15:D15" si="3">SUM(B3:B12)</f>
        <v>121</v>
      </c>
      <c r="C15" s="66">
        <f t="shared" si="3"/>
        <v>177.5</v>
      </c>
      <c r="D15" s="66">
        <f t="shared" si="3"/>
        <v>218</v>
      </c>
      <c r="E15" s="86">
        <f>C15/D15</f>
        <v>0.8142201835</v>
      </c>
      <c r="F15" s="55">
        <v>4.0</v>
      </c>
      <c r="G15" s="66">
        <f>SUM(G3:G12)</f>
        <v>0</v>
      </c>
    </row>
    <row r="16">
      <c r="F16" s="98"/>
    </row>
    <row r="17">
      <c r="F17" s="98"/>
    </row>
    <row r="18">
      <c r="F18" s="98"/>
    </row>
    <row r="19">
      <c r="F19" s="98"/>
    </row>
    <row r="20">
      <c r="F20" s="98"/>
    </row>
    <row r="21">
      <c r="F21" s="98"/>
    </row>
    <row r="22">
      <c r="F22" s="98"/>
    </row>
    <row r="23">
      <c r="F23" s="98"/>
    </row>
    <row r="24">
      <c r="F24" s="98"/>
    </row>
    <row r="25">
      <c r="F25" s="98"/>
    </row>
    <row r="26">
      <c r="F26" s="98"/>
    </row>
    <row r="27">
      <c r="F27" s="98"/>
    </row>
    <row r="28">
      <c r="F28" s="98"/>
    </row>
    <row r="29">
      <c r="F29" s="98"/>
    </row>
    <row r="30">
      <c r="F30" s="98"/>
    </row>
    <row r="31">
      <c r="F31" s="98"/>
    </row>
    <row r="32">
      <c r="F32" s="98"/>
    </row>
    <row r="33">
      <c r="F33" s="98"/>
    </row>
    <row r="34">
      <c r="F34" s="98"/>
    </row>
    <row r="35">
      <c r="F35" s="98"/>
    </row>
    <row r="36">
      <c r="F36" s="98"/>
    </row>
    <row r="37">
      <c r="F37" s="98"/>
    </row>
    <row r="38">
      <c r="F38" s="98"/>
    </row>
    <row r="39">
      <c r="F39" s="98"/>
    </row>
    <row r="40">
      <c r="F40" s="98"/>
    </row>
    <row r="41">
      <c r="F41" s="98"/>
    </row>
    <row r="42">
      <c r="F42" s="98"/>
    </row>
    <row r="43">
      <c r="F43" s="98"/>
    </row>
    <row r="44">
      <c r="F44" s="98"/>
    </row>
    <row r="45">
      <c r="F45" s="98"/>
    </row>
    <row r="46">
      <c r="F46" s="98"/>
    </row>
    <row r="47">
      <c r="F47" s="98"/>
    </row>
    <row r="48">
      <c r="F48" s="98"/>
    </row>
    <row r="49">
      <c r="F49" s="98"/>
    </row>
    <row r="50">
      <c r="F50" s="98"/>
    </row>
    <row r="51">
      <c r="F51" s="98"/>
    </row>
    <row r="52">
      <c r="F52" s="98"/>
    </row>
    <row r="53">
      <c r="F53" s="98"/>
    </row>
    <row r="54">
      <c r="F54" s="98"/>
    </row>
    <row r="55">
      <c r="F55" s="98"/>
    </row>
    <row r="56">
      <c r="F56" s="98"/>
    </row>
    <row r="57">
      <c r="F57" s="98"/>
    </row>
    <row r="58">
      <c r="F58" s="98"/>
    </row>
    <row r="59">
      <c r="F59" s="98"/>
    </row>
    <row r="60">
      <c r="F60" s="98"/>
    </row>
    <row r="61">
      <c r="F61" s="98"/>
    </row>
    <row r="62">
      <c r="F62" s="98"/>
    </row>
    <row r="63">
      <c r="F63" s="98"/>
    </row>
    <row r="64">
      <c r="F64" s="98"/>
    </row>
    <row r="65">
      <c r="F65" s="98"/>
    </row>
    <row r="66">
      <c r="F66" s="98"/>
    </row>
    <row r="67">
      <c r="F67" s="98"/>
    </row>
    <row r="68">
      <c r="F68" s="98"/>
    </row>
    <row r="69">
      <c r="F69" s="98"/>
    </row>
    <row r="70">
      <c r="F70" s="98"/>
    </row>
    <row r="71">
      <c r="F71" s="98"/>
    </row>
    <row r="72">
      <c r="F72" s="98"/>
    </row>
    <row r="73">
      <c r="F73" s="98"/>
    </row>
    <row r="74">
      <c r="F74" s="98"/>
    </row>
    <row r="75">
      <c r="F75" s="98"/>
    </row>
    <row r="76">
      <c r="F76" s="98"/>
    </row>
    <row r="77">
      <c r="F77" s="98"/>
    </row>
    <row r="78">
      <c r="F78" s="98"/>
    </row>
    <row r="79">
      <c r="F79" s="98"/>
    </row>
    <row r="80">
      <c r="F80" s="98"/>
    </row>
    <row r="81">
      <c r="F81" s="98"/>
    </row>
    <row r="82">
      <c r="F82" s="98"/>
    </row>
    <row r="83">
      <c r="F83" s="98"/>
    </row>
    <row r="84">
      <c r="F84" s="98"/>
    </row>
    <row r="85">
      <c r="F85" s="98"/>
    </row>
    <row r="86">
      <c r="F86" s="98"/>
    </row>
    <row r="87">
      <c r="F87" s="98"/>
    </row>
    <row r="88">
      <c r="F88" s="98"/>
    </row>
    <row r="89">
      <c r="F89" s="98"/>
    </row>
    <row r="90">
      <c r="F90" s="98"/>
    </row>
    <row r="91">
      <c r="F91" s="98"/>
    </row>
    <row r="92">
      <c r="F92" s="98"/>
    </row>
    <row r="93">
      <c r="F93" s="98"/>
    </row>
    <row r="94">
      <c r="F94" s="98"/>
    </row>
    <row r="95">
      <c r="F95" s="98"/>
    </row>
    <row r="96">
      <c r="F96" s="98"/>
    </row>
    <row r="97">
      <c r="F97" s="98"/>
    </row>
    <row r="98">
      <c r="F98" s="98"/>
    </row>
    <row r="99">
      <c r="F99" s="98"/>
    </row>
    <row r="100">
      <c r="F100" s="98"/>
    </row>
    <row r="101">
      <c r="F101" s="98"/>
    </row>
    <row r="102">
      <c r="F102" s="98"/>
    </row>
    <row r="103">
      <c r="F103" s="98"/>
    </row>
    <row r="104">
      <c r="F104" s="98"/>
    </row>
    <row r="105">
      <c r="F105" s="98"/>
    </row>
    <row r="106">
      <c r="F106" s="98"/>
    </row>
    <row r="107">
      <c r="F107" s="98"/>
    </row>
    <row r="108">
      <c r="F108" s="98"/>
    </row>
    <row r="109">
      <c r="F109" s="98"/>
    </row>
    <row r="110">
      <c r="F110" s="98"/>
    </row>
    <row r="111">
      <c r="F111" s="98"/>
    </row>
    <row r="112">
      <c r="F112" s="98"/>
    </row>
    <row r="113">
      <c r="F113" s="98"/>
    </row>
    <row r="114">
      <c r="F114" s="98"/>
    </row>
    <row r="115">
      <c r="F115" s="98"/>
    </row>
    <row r="116">
      <c r="F116" s="98"/>
    </row>
    <row r="117">
      <c r="F117" s="98"/>
    </row>
    <row r="118">
      <c r="F118" s="98"/>
    </row>
    <row r="119">
      <c r="F119" s="98"/>
    </row>
    <row r="120">
      <c r="F120" s="98"/>
    </row>
    <row r="121">
      <c r="F121" s="98"/>
    </row>
    <row r="122">
      <c r="F122" s="98"/>
    </row>
    <row r="123">
      <c r="F123" s="98"/>
    </row>
    <row r="124">
      <c r="F124" s="98"/>
    </row>
    <row r="125">
      <c r="F125" s="98"/>
    </row>
    <row r="126">
      <c r="F126" s="98"/>
    </row>
    <row r="127">
      <c r="F127" s="98"/>
    </row>
    <row r="128">
      <c r="F128" s="98"/>
    </row>
    <row r="129">
      <c r="F129" s="98"/>
    </row>
    <row r="130">
      <c r="F130" s="98"/>
    </row>
    <row r="131">
      <c r="F131" s="98"/>
    </row>
    <row r="132">
      <c r="F132" s="98"/>
    </row>
    <row r="133">
      <c r="F133" s="98"/>
    </row>
    <row r="134">
      <c r="F134" s="98"/>
    </row>
    <row r="135">
      <c r="F135" s="98"/>
    </row>
    <row r="136">
      <c r="F136" s="98"/>
    </row>
    <row r="137">
      <c r="F137" s="98"/>
    </row>
    <row r="138">
      <c r="F138" s="98"/>
    </row>
    <row r="139">
      <c r="F139" s="98"/>
    </row>
    <row r="140">
      <c r="F140" s="98"/>
    </row>
    <row r="141">
      <c r="F141" s="98"/>
    </row>
    <row r="142">
      <c r="F142" s="98"/>
    </row>
    <row r="143">
      <c r="F143" s="98"/>
    </row>
    <row r="144">
      <c r="F144" s="98"/>
    </row>
    <row r="145">
      <c r="F145" s="98"/>
    </row>
    <row r="146">
      <c r="F146" s="98"/>
    </row>
    <row r="147">
      <c r="F147" s="98"/>
    </row>
    <row r="148">
      <c r="F148" s="98"/>
    </row>
    <row r="149">
      <c r="F149" s="98"/>
    </row>
    <row r="150">
      <c r="F150" s="98"/>
    </row>
    <row r="151">
      <c r="F151" s="98"/>
    </row>
    <row r="152">
      <c r="F152" s="98"/>
    </row>
    <row r="153">
      <c r="F153" s="98"/>
    </row>
    <row r="154">
      <c r="F154" s="98"/>
    </row>
    <row r="155">
      <c r="F155" s="98"/>
    </row>
    <row r="156">
      <c r="F156" s="98"/>
    </row>
    <row r="157">
      <c r="F157" s="98"/>
    </row>
    <row r="158">
      <c r="F158" s="98"/>
    </row>
    <row r="159">
      <c r="F159" s="98"/>
    </row>
    <row r="160">
      <c r="F160" s="98"/>
    </row>
    <row r="161">
      <c r="F161" s="98"/>
    </row>
    <row r="162">
      <c r="F162" s="98"/>
    </row>
    <row r="163">
      <c r="F163" s="98"/>
    </row>
    <row r="164">
      <c r="F164" s="98"/>
    </row>
    <row r="165">
      <c r="F165" s="98"/>
    </row>
    <row r="166">
      <c r="F166" s="98"/>
    </row>
    <row r="167">
      <c r="F167" s="98"/>
    </row>
    <row r="168">
      <c r="F168" s="98"/>
    </row>
    <row r="169">
      <c r="F169" s="98"/>
    </row>
    <row r="170">
      <c r="F170" s="98"/>
    </row>
    <row r="171">
      <c r="F171" s="98"/>
    </row>
    <row r="172">
      <c r="F172" s="98"/>
    </row>
    <row r="173">
      <c r="F173" s="98"/>
    </row>
    <row r="174">
      <c r="F174" s="98"/>
    </row>
    <row r="175">
      <c r="F175" s="98"/>
    </row>
    <row r="176">
      <c r="F176" s="98"/>
    </row>
    <row r="177">
      <c r="F177" s="98"/>
    </row>
    <row r="178">
      <c r="F178" s="98"/>
    </row>
    <row r="179">
      <c r="F179" s="98"/>
    </row>
    <row r="180">
      <c r="F180" s="98"/>
    </row>
    <row r="181">
      <c r="F181" s="98"/>
    </row>
    <row r="182">
      <c r="F182" s="98"/>
    </row>
    <row r="183">
      <c r="F183" s="98"/>
    </row>
    <row r="184">
      <c r="F184" s="98"/>
    </row>
    <row r="185">
      <c r="F185" s="98"/>
    </row>
    <row r="186">
      <c r="F186" s="98"/>
    </row>
    <row r="187">
      <c r="F187" s="98"/>
    </row>
    <row r="188">
      <c r="F188" s="98"/>
    </row>
    <row r="189">
      <c r="F189" s="98"/>
    </row>
    <row r="190">
      <c r="F190" s="98"/>
    </row>
    <row r="191">
      <c r="F191" s="98"/>
    </row>
    <row r="192">
      <c r="F192" s="98"/>
    </row>
    <row r="193">
      <c r="F193" s="98"/>
    </row>
    <row r="194">
      <c r="F194" s="98"/>
    </row>
    <row r="195">
      <c r="F195" s="98"/>
    </row>
    <row r="196">
      <c r="F196" s="98"/>
    </row>
    <row r="197">
      <c r="F197" s="98"/>
    </row>
    <row r="198">
      <c r="F198" s="98"/>
    </row>
    <row r="199">
      <c r="F199" s="98"/>
    </row>
    <row r="200">
      <c r="F200" s="98"/>
    </row>
    <row r="201">
      <c r="F201" s="98"/>
    </row>
    <row r="202">
      <c r="F202" s="98"/>
    </row>
    <row r="203">
      <c r="F203" s="98"/>
    </row>
    <row r="204">
      <c r="F204" s="98"/>
    </row>
    <row r="205">
      <c r="F205" s="98"/>
    </row>
    <row r="206">
      <c r="F206" s="98"/>
    </row>
    <row r="207">
      <c r="F207" s="98"/>
    </row>
    <row r="208">
      <c r="F208" s="98"/>
    </row>
    <row r="209">
      <c r="F209" s="98"/>
    </row>
    <row r="210">
      <c r="F210" s="98"/>
    </row>
    <row r="211">
      <c r="F211" s="98"/>
    </row>
    <row r="212">
      <c r="F212" s="98"/>
    </row>
    <row r="213">
      <c r="F213" s="98"/>
    </row>
    <row r="214">
      <c r="F214" s="98"/>
    </row>
    <row r="215">
      <c r="F215" s="98"/>
    </row>
    <row r="216">
      <c r="F216" s="98"/>
    </row>
    <row r="217">
      <c r="F217" s="98"/>
    </row>
    <row r="218">
      <c r="F218" s="98"/>
    </row>
    <row r="219">
      <c r="F219" s="98"/>
    </row>
    <row r="220">
      <c r="F220" s="98"/>
    </row>
    <row r="221">
      <c r="F221" s="98"/>
    </row>
    <row r="222">
      <c r="F222" s="98"/>
    </row>
    <row r="223">
      <c r="F223" s="98"/>
    </row>
    <row r="224">
      <c r="F224" s="98"/>
    </row>
    <row r="225">
      <c r="F225" s="98"/>
    </row>
    <row r="226">
      <c r="F226" s="98"/>
    </row>
    <row r="227">
      <c r="F227" s="98"/>
    </row>
    <row r="228">
      <c r="F228" s="98"/>
    </row>
    <row r="229">
      <c r="F229" s="98"/>
    </row>
    <row r="230">
      <c r="F230" s="98"/>
    </row>
    <row r="231">
      <c r="F231" s="98"/>
    </row>
    <row r="232">
      <c r="F232" s="98"/>
    </row>
    <row r="233">
      <c r="F233" s="98"/>
    </row>
    <row r="234">
      <c r="F234" s="98"/>
    </row>
    <row r="235">
      <c r="F235" s="98"/>
    </row>
    <row r="236">
      <c r="F236" s="98"/>
    </row>
    <row r="237">
      <c r="F237" s="98"/>
    </row>
    <row r="238">
      <c r="F238" s="98"/>
    </row>
    <row r="239">
      <c r="F239" s="98"/>
    </row>
    <row r="240">
      <c r="F240" s="98"/>
    </row>
    <row r="241">
      <c r="F241" s="98"/>
    </row>
    <row r="242">
      <c r="F242" s="98"/>
    </row>
    <row r="243">
      <c r="F243" s="98"/>
    </row>
    <row r="244">
      <c r="F244" s="98"/>
    </row>
    <row r="245">
      <c r="F245" s="98"/>
    </row>
    <row r="246">
      <c r="F246" s="98"/>
    </row>
    <row r="247">
      <c r="F247" s="98"/>
    </row>
    <row r="248">
      <c r="F248" s="98"/>
    </row>
    <row r="249">
      <c r="F249" s="98"/>
    </row>
    <row r="250">
      <c r="F250" s="98"/>
    </row>
    <row r="251">
      <c r="F251" s="98"/>
    </row>
    <row r="252">
      <c r="F252" s="98"/>
    </row>
    <row r="253">
      <c r="F253" s="98"/>
    </row>
    <row r="254">
      <c r="F254" s="98"/>
    </row>
    <row r="255">
      <c r="F255" s="98"/>
    </row>
    <row r="256">
      <c r="F256" s="98"/>
    </row>
    <row r="257">
      <c r="F257" s="98"/>
    </row>
    <row r="258">
      <c r="F258" s="98"/>
    </row>
    <row r="259">
      <c r="F259" s="98"/>
    </row>
    <row r="260">
      <c r="F260" s="98"/>
    </row>
    <row r="261">
      <c r="F261" s="98"/>
    </row>
    <row r="262">
      <c r="F262" s="98"/>
    </row>
    <row r="263">
      <c r="F263" s="98"/>
    </row>
    <row r="264">
      <c r="F264" s="98"/>
    </row>
    <row r="265">
      <c r="F265" s="98"/>
    </row>
    <row r="266">
      <c r="F266" s="98"/>
    </row>
    <row r="267">
      <c r="F267" s="98"/>
    </row>
    <row r="268">
      <c r="F268" s="98"/>
    </row>
    <row r="269">
      <c r="F269" s="98"/>
    </row>
    <row r="270">
      <c r="F270" s="98"/>
    </row>
    <row r="271">
      <c r="F271" s="98"/>
    </row>
    <row r="272">
      <c r="F272" s="98"/>
    </row>
    <row r="273">
      <c r="F273" s="98"/>
    </row>
    <row r="274">
      <c r="F274" s="98"/>
    </row>
    <row r="275">
      <c r="F275" s="98"/>
    </row>
    <row r="276">
      <c r="F276" s="98"/>
    </row>
    <row r="277">
      <c r="F277" s="98"/>
    </row>
    <row r="278">
      <c r="F278" s="98"/>
    </row>
    <row r="279">
      <c r="F279" s="98"/>
    </row>
    <row r="280">
      <c r="F280" s="98"/>
    </row>
    <row r="281">
      <c r="F281" s="98"/>
    </row>
    <row r="282">
      <c r="F282" s="98"/>
    </row>
    <row r="283">
      <c r="F283" s="98"/>
    </row>
    <row r="284">
      <c r="F284" s="98"/>
    </row>
    <row r="285">
      <c r="F285" s="98"/>
    </row>
    <row r="286">
      <c r="F286" s="98"/>
    </row>
    <row r="287">
      <c r="F287" s="98"/>
    </row>
    <row r="288">
      <c r="F288" s="98"/>
    </row>
    <row r="289">
      <c r="F289" s="98"/>
    </row>
    <row r="290">
      <c r="F290" s="98"/>
    </row>
    <row r="291">
      <c r="F291" s="98"/>
    </row>
    <row r="292">
      <c r="F292" s="98"/>
    </row>
    <row r="293">
      <c r="F293" s="98"/>
    </row>
    <row r="294">
      <c r="F294" s="98"/>
    </row>
    <row r="295">
      <c r="F295" s="98"/>
    </row>
    <row r="296">
      <c r="F296" s="98"/>
    </row>
    <row r="297">
      <c r="F297" s="98"/>
    </row>
    <row r="298">
      <c r="F298" s="98"/>
    </row>
    <row r="299">
      <c r="F299" s="98"/>
    </row>
    <row r="300">
      <c r="F300" s="98"/>
    </row>
    <row r="301">
      <c r="F301" s="98"/>
    </row>
    <row r="302">
      <c r="F302" s="98"/>
    </row>
    <row r="303">
      <c r="F303" s="98"/>
    </row>
    <row r="304">
      <c r="F304" s="98"/>
    </row>
    <row r="305">
      <c r="F305" s="98"/>
    </row>
    <row r="306">
      <c r="F306" s="98"/>
    </row>
    <row r="307">
      <c r="F307" s="98"/>
    </row>
    <row r="308">
      <c r="F308" s="98"/>
    </row>
    <row r="309">
      <c r="F309" s="98"/>
    </row>
    <row r="310">
      <c r="F310" s="98"/>
    </row>
    <row r="311">
      <c r="F311" s="98"/>
    </row>
    <row r="312">
      <c r="F312" s="98"/>
    </row>
    <row r="313">
      <c r="F313" s="98"/>
    </row>
    <row r="314">
      <c r="F314" s="98"/>
    </row>
    <row r="315">
      <c r="F315" s="98"/>
    </row>
    <row r="316">
      <c r="F316" s="98"/>
    </row>
    <row r="317">
      <c r="F317" s="98"/>
    </row>
    <row r="318">
      <c r="F318" s="98"/>
    </row>
    <row r="319">
      <c r="F319" s="98"/>
    </row>
    <row r="320">
      <c r="F320" s="98"/>
    </row>
    <row r="321">
      <c r="F321" s="98"/>
    </row>
    <row r="322">
      <c r="F322" s="98"/>
    </row>
    <row r="323">
      <c r="F323" s="98"/>
    </row>
    <row r="324">
      <c r="F324" s="98"/>
    </row>
    <row r="325">
      <c r="F325" s="98"/>
    </row>
    <row r="326">
      <c r="F326" s="98"/>
    </row>
    <row r="327">
      <c r="F327" s="98"/>
    </row>
    <row r="328">
      <c r="F328" s="98"/>
    </row>
    <row r="329">
      <c r="F329" s="98"/>
    </row>
    <row r="330">
      <c r="F330" s="98"/>
    </row>
    <row r="331">
      <c r="F331" s="98"/>
    </row>
    <row r="332">
      <c r="F332" s="98"/>
    </row>
    <row r="333">
      <c r="F333" s="98"/>
    </row>
    <row r="334">
      <c r="F334" s="98"/>
    </row>
    <row r="335">
      <c r="F335" s="98"/>
    </row>
    <row r="336">
      <c r="F336" s="98"/>
    </row>
    <row r="337">
      <c r="F337" s="98"/>
    </row>
    <row r="338">
      <c r="F338" s="98"/>
    </row>
    <row r="339">
      <c r="F339" s="98"/>
    </row>
    <row r="340">
      <c r="F340" s="98"/>
    </row>
    <row r="341">
      <c r="F341" s="98"/>
    </row>
    <row r="342">
      <c r="F342" s="98"/>
    </row>
    <row r="343">
      <c r="F343" s="98"/>
    </row>
    <row r="344">
      <c r="F344" s="98"/>
    </row>
    <row r="345">
      <c r="F345" s="98"/>
    </row>
    <row r="346">
      <c r="F346" s="98"/>
    </row>
    <row r="347">
      <c r="F347" s="98"/>
    </row>
    <row r="348">
      <c r="F348" s="98"/>
    </row>
    <row r="349">
      <c r="F349" s="98"/>
    </row>
    <row r="350">
      <c r="F350" s="98"/>
    </row>
    <row r="351">
      <c r="F351" s="98"/>
    </row>
    <row r="352">
      <c r="F352" s="98"/>
    </row>
    <row r="353">
      <c r="F353" s="98"/>
    </row>
    <row r="354">
      <c r="F354" s="98"/>
    </row>
    <row r="355">
      <c r="F355" s="98"/>
    </row>
    <row r="356">
      <c r="F356" s="98"/>
    </row>
    <row r="357">
      <c r="F357" s="98"/>
    </row>
    <row r="358">
      <c r="F358" s="98"/>
    </row>
    <row r="359">
      <c r="F359" s="98"/>
    </row>
    <row r="360">
      <c r="F360" s="98"/>
    </row>
    <row r="361">
      <c r="F361" s="98"/>
    </row>
    <row r="362">
      <c r="F362" s="98"/>
    </row>
    <row r="363">
      <c r="F363" s="98"/>
    </row>
    <row r="364">
      <c r="F364" s="98"/>
    </row>
    <row r="365">
      <c r="F365" s="98"/>
    </row>
    <row r="366">
      <c r="F366" s="98"/>
    </row>
    <row r="367">
      <c r="F367" s="98"/>
    </row>
    <row r="368">
      <c r="F368" s="98"/>
    </row>
    <row r="369">
      <c r="F369" s="98"/>
    </row>
    <row r="370">
      <c r="F370" s="98"/>
    </row>
    <row r="371">
      <c r="F371" s="98"/>
    </row>
    <row r="372">
      <c r="F372" s="98"/>
    </row>
    <row r="373">
      <c r="F373" s="98"/>
    </row>
    <row r="374">
      <c r="F374" s="98"/>
    </row>
    <row r="375">
      <c r="F375" s="98"/>
    </row>
    <row r="376">
      <c r="F376" s="98"/>
    </row>
    <row r="377">
      <c r="F377" s="98"/>
    </row>
    <row r="378">
      <c r="F378" s="98"/>
    </row>
    <row r="379">
      <c r="F379" s="98"/>
    </row>
    <row r="380">
      <c r="F380" s="98"/>
    </row>
    <row r="381">
      <c r="F381" s="98"/>
    </row>
    <row r="382">
      <c r="F382" s="98"/>
    </row>
    <row r="383">
      <c r="F383" s="98"/>
    </row>
    <row r="384">
      <c r="F384" s="98"/>
    </row>
    <row r="385">
      <c r="F385" s="98"/>
    </row>
    <row r="386">
      <c r="F386" s="98"/>
    </row>
    <row r="387">
      <c r="F387" s="98"/>
    </row>
    <row r="388">
      <c r="F388" s="98"/>
    </row>
    <row r="389">
      <c r="F389" s="98"/>
    </row>
    <row r="390">
      <c r="F390" s="98"/>
    </row>
    <row r="391">
      <c r="F391" s="98"/>
    </row>
    <row r="392">
      <c r="F392" s="98"/>
    </row>
    <row r="393">
      <c r="F393" s="98"/>
    </row>
    <row r="394">
      <c r="F394" s="98"/>
    </row>
    <row r="395">
      <c r="F395" s="98"/>
    </row>
    <row r="396">
      <c r="F396" s="98"/>
    </row>
    <row r="397">
      <c r="F397" s="98"/>
    </row>
    <row r="398">
      <c r="F398" s="98"/>
    </row>
    <row r="399">
      <c r="F399" s="98"/>
    </row>
    <row r="400">
      <c r="F400" s="98"/>
    </row>
    <row r="401">
      <c r="F401" s="98"/>
    </row>
    <row r="402">
      <c r="F402" s="98"/>
    </row>
    <row r="403">
      <c r="F403" s="98"/>
    </row>
    <row r="404">
      <c r="F404" s="98"/>
    </row>
    <row r="405">
      <c r="F405" s="98"/>
    </row>
    <row r="406">
      <c r="F406" s="98"/>
    </row>
    <row r="407">
      <c r="F407" s="98"/>
    </row>
    <row r="408">
      <c r="F408" s="98"/>
    </row>
    <row r="409">
      <c r="F409" s="98"/>
    </row>
    <row r="410">
      <c r="F410" s="98"/>
    </row>
    <row r="411">
      <c r="F411" s="98"/>
    </row>
    <row r="412">
      <c r="F412" s="98"/>
    </row>
    <row r="413">
      <c r="F413" s="98"/>
    </row>
    <row r="414">
      <c r="F414" s="98"/>
    </row>
    <row r="415">
      <c r="F415" s="98"/>
    </row>
    <row r="416">
      <c r="F416" s="98"/>
    </row>
    <row r="417">
      <c r="F417" s="98"/>
    </row>
    <row r="418">
      <c r="F418" s="98"/>
    </row>
    <row r="419">
      <c r="F419" s="98"/>
    </row>
    <row r="420">
      <c r="F420" s="98"/>
    </row>
    <row r="421">
      <c r="F421" s="98"/>
    </row>
    <row r="422">
      <c r="F422" s="98"/>
    </row>
    <row r="423">
      <c r="F423" s="98"/>
    </row>
    <row r="424">
      <c r="F424" s="98"/>
    </row>
    <row r="425">
      <c r="F425" s="98"/>
    </row>
    <row r="426">
      <c r="F426" s="98"/>
    </row>
    <row r="427">
      <c r="F427" s="98"/>
    </row>
    <row r="428">
      <c r="F428" s="98"/>
    </row>
    <row r="429">
      <c r="F429" s="98"/>
    </row>
    <row r="430">
      <c r="F430" s="98"/>
    </row>
    <row r="431">
      <c r="F431" s="98"/>
    </row>
    <row r="432">
      <c r="F432" s="98"/>
    </row>
    <row r="433">
      <c r="F433" s="98"/>
    </row>
    <row r="434">
      <c r="F434" s="98"/>
    </row>
    <row r="435">
      <c r="F435" s="98"/>
    </row>
    <row r="436">
      <c r="F436" s="98"/>
    </row>
    <row r="437">
      <c r="F437" s="98"/>
    </row>
    <row r="438">
      <c r="F438" s="98"/>
    </row>
    <row r="439">
      <c r="F439" s="98"/>
    </row>
    <row r="440">
      <c r="F440" s="98"/>
    </row>
    <row r="441">
      <c r="F441" s="98"/>
    </row>
    <row r="442">
      <c r="F442" s="98"/>
    </row>
    <row r="443">
      <c r="F443" s="98"/>
    </row>
    <row r="444">
      <c r="F444" s="98"/>
    </row>
    <row r="445">
      <c r="F445" s="98"/>
    </row>
    <row r="446">
      <c r="F446" s="98"/>
    </row>
    <row r="447">
      <c r="F447" s="98"/>
    </row>
    <row r="448">
      <c r="F448" s="98"/>
    </row>
    <row r="449">
      <c r="F449" s="98"/>
    </row>
    <row r="450">
      <c r="F450" s="98"/>
    </row>
    <row r="451">
      <c r="F451" s="98"/>
    </row>
    <row r="452">
      <c r="F452" s="98"/>
    </row>
    <row r="453">
      <c r="F453" s="98"/>
    </row>
    <row r="454">
      <c r="F454" s="98"/>
    </row>
    <row r="455">
      <c r="F455" s="98"/>
    </row>
    <row r="456">
      <c r="F456" s="98"/>
    </row>
    <row r="457">
      <c r="F457" s="98"/>
    </row>
    <row r="458">
      <c r="F458" s="98"/>
    </row>
    <row r="459">
      <c r="F459" s="98"/>
    </row>
    <row r="460">
      <c r="F460" s="98"/>
    </row>
    <row r="461">
      <c r="F461" s="98"/>
    </row>
    <row r="462">
      <c r="F462" s="98"/>
    </row>
    <row r="463">
      <c r="F463" s="98"/>
    </row>
    <row r="464">
      <c r="F464" s="98"/>
    </row>
    <row r="465">
      <c r="F465" s="98"/>
    </row>
    <row r="466">
      <c r="F466" s="98"/>
    </row>
    <row r="467">
      <c r="F467" s="98"/>
    </row>
    <row r="468">
      <c r="F468" s="98"/>
    </row>
    <row r="469">
      <c r="F469" s="98"/>
    </row>
    <row r="470">
      <c r="F470" s="98"/>
    </row>
    <row r="471">
      <c r="F471" s="98"/>
    </row>
    <row r="472">
      <c r="F472" s="98"/>
    </row>
    <row r="473">
      <c r="F473" s="98"/>
    </row>
    <row r="474">
      <c r="F474" s="98"/>
    </row>
    <row r="475">
      <c r="F475" s="98"/>
    </row>
    <row r="476">
      <c r="F476" s="98"/>
    </row>
    <row r="477">
      <c r="F477" s="98"/>
    </row>
    <row r="478">
      <c r="F478" s="98"/>
    </row>
    <row r="479">
      <c r="F479" s="98"/>
    </row>
    <row r="480">
      <c r="F480" s="98"/>
    </row>
    <row r="481">
      <c r="F481" s="98"/>
    </row>
    <row r="482">
      <c r="F482" s="98"/>
    </row>
    <row r="483">
      <c r="F483" s="98"/>
    </row>
    <row r="484">
      <c r="F484" s="98"/>
    </row>
    <row r="485">
      <c r="F485" s="98"/>
    </row>
    <row r="486">
      <c r="F486" s="98"/>
    </row>
    <row r="487">
      <c r="F487" s="98"/>
    </row>
    <row r="488">
      <c r="F488" s="98"/>
    </row>
    <row r="489">
      <c r="F489" s="98"/>
    </row>
    <row r="490">
      <c r="F490" s="98"/>
    </row>
    <row r="491">
      <c r="F491" s="98"/>
    </row>
    <row r="492">
      <c r="F492" s="98"/>
    </row>
    <row r="493">
      <c r="F493" s="98"/>
    </row>
    <row r="494">
      <c r="F494" s="98"/>
    </row>
    <row r="495">
      <c r="F495" s="98"/>
    </row>
    <row r="496">
      <c r="F496" s="98"/>
    </row>
    <row r="497">
      <c r="F497" s="98"/>
    </row>
    <row r="498">
      <c r="F498" s="98"/>
    </row>
    <row r="499">
      <c r="F499" s="98"/>
    </row>
    <row r="500">
      <c r="F500" s="98"/>
    </row>
    <row r="501">
      <c r="F501" s="98"/>
    </row>
    <row r="502">
      <c r="F502" s="98"/>
    </row>
    <row r="503">
      <c r="F503" s="98"/>
    </row>
    <row r="504">
      <c r="F504" s="98"/>
    </row>
    <row r="505">
      <c r="F505" s="98"/>
    </row>
    <row r="506">
      <c r="F506" s="98"/>
    </row>
    <row r="507">
      <c r="F507" s="98"/>
    </row>
    <row r="508">
      <c r="F508" s="98"/>
    </row>
    <row r="509">
      <c r="F509" s="98"/>
    </row>
    <row r="510">
      <c r="F510" s="98"/>
    </row>
    <row r="511">
      <c r="F511" s="98"/>
    </row>
    <row r="512">
      <c r="F512" s="98"/>
    </row>
    <row r="513">
      <c r="F513" s="98"/>
    </row>
    <row r="514">
      <c r="F514" s="98"/>
    </row>
    <row r="515">
      <c r="F515" s="98"/>
    </row>
    <row r="516">
      <c r="F516" s="98"/>
    </row>
    <row r="517">
      <c r="F517" s="98"/>
    </row>
    <row r="518">
      <c r="F518" s="98"/>
    </row>
    <row r="519">
      <c r="F519" s="98"/>
    </row>
    <row r="520">
      <c r="F520" s="98"/>
    </row>
    <row r="521">
      <c r="F521" s="98"/>
    </row>
    <row r="522">
      <c r="F522" s="98"/>
    </row>
    <row r="523">
      <c r="F523" s="98"/>
    </row>
    <row r="524">
      <c r="F524" s="98"/>
    </row>
    <row r="525">
      <c r="F525" s="98"/>
    </row>
    <row r="526">
      <c r="F526" s="98"/>
    </row>
    <row r="527">
      <c r="F527" s="98"/>
    </row>
    <row r="528">
      <c r="F528" s="98"/>
    </row>
    <row r="529">
      <c r="F529" s="98"/>
    </row>
    <row r="530">
      <c r="F530" s="98"/>
    </row>
    <row r="531">
      <c r="F531" s="98"/>
    </row>
    <row r="532">
      <c r="F532" s="98"/>
    </row>
    <row r="533">
      <c r="F533" s="98"/>
    </row>
    <row r="534">
      <c r="F534" s="98"/>
    </row>
    <row r="535">
      <c r="F535" s="98"/>
    </row>
    <row r="536">
      <c r="F536" s="98"/>
    </row>
    <row r="537">
      <c r="F537" s="98"/>
    </row>
    <row r="538">
      <c r="F538" s="98"/>
    </row>
    <row r="539">
      <c r="F539" s="98"/>
    </row>
    <row r="540">
      <c r="F540" s="98"/>
    </row>
    <row r="541">
      <c r="F541" s="98"/>
    </row>
    <row r="542">
      <c r="F542" s="98"/>
    </row>
    <row r="543">
      <c r="F543" s="98"/>
    </row>
    <row r="544">
      <c r="F544" s="98"/>
    </row>
    <row r="545">
      <c r="F545" s="98"/>
    </row>
    <row r="546">
      <c r="F546" s="98"/>
    </row>
    <row r="547">
      <c r="F547" s="98"/>
    </row>
    <row r="548">
      <c r="F548" s="98"/>
    </row>
    <row r="549">
      <c r="F549" s="98"/>
    </row>
    <row r="550">
      <c r="F550" s="98"/>
    </row>
    <row r="551">
      <c r="F551" s="98"/>
    </row>
    <row r="552">
      <c r="F552" s="98"/>
    </row>
    <row r="553">
      <c r="F553" s="98"/>
    </row>
    <row r="554">
      <c r="F554" s="98"/>
    </row>
    <row r="555">
      <c r="F555" s="98"/>
    </row>
    <row r="556">
      <c r="F556" s="98"/>
    </row>
    <row r="557">
      <c r="F557" s="98"/>
    </row>
    <row r="558">
      <c r="F558" s="98"/>
    </row>
    <row r="559">
      <c r="F559" s="98"/>
    </row>
    <row r="560">
      <c r="F560" s="98"/>
    </row>
    <row r="561">
      <c r="F561" s="98"/>
    </row>
    <row r="562">
      <c r="F562" s="98"/>
    </row>
    <row r="563">
      <c r="F563" s="98"/>
    </row>
    <row r="564">
      <c r="F564" s="98"/>
    </row>
    <row r="565">
      <c r="F565" s="98"/>
    </row>
    <row r="566">
      <c r="F566" s="98"/>
    </row>
    <row r="567">
      <c r="F567" s="98"/>
    </row>
    <row r="568">
      <c r="F568" s="98"/>
    </row>
    <row r="569">
      <c r="F569" s="98"/>
    </row>
    <row r="570">
      <c r="F570" s="98"/>
    </row>
    <row r="571">
      <c r="F571" s="98"/>
    </row>
    <row r="572">
      <c r="F572" s="98"/>
    </row>
    <row r="573">
      <c r="F573" s="98"/>
    </row>
    <row r="574">
      <c r="F574" s="98"/>
    </row>
    <row r="575">
      <c r="F575" s="98"/>
    </row>
    <row r="576">
      <c r="F576" s="98"/>
    </row>
    <row r="577">
      <c r="F577" s="98"/>
    </row>
    <row r="578">
      <c r="F578" s="98"/>
    </row>
    <row r="579">
      <c r="F579" s="98"/>
    </row>
    <row r="580">
      <c r="F580" s="98"/>
    </row>
    <row r="581">
      <c r="F581" s="98"/>
    </row>
    <row r="582">
      <c r="F582" s="98"/>
    </row>
    <row r="583">
      <c r="F583" s="98"/>
    </row>
    <row r="584">
      <c r="F584" s="98"/>
    </row>
    <row r="585">
      <c r="F585" s="98"/>
    </row>
    <row r="586">
      <c r="F586" s="98"/>
    </row>
    <row r="587">
      <c r="F587" s="98"/>
    </row>
    <row r="588">
      <c r="F588" s="98"/>
    </row>
    <row r="589">
      <c r="F589" s="98"/>
    </row>
    <row r="590">
      <c r="F590" s="98"/>
    </row>
    <row r="591">
      <c r="F591" s="98"/>
    </row>
    <row r="592">
      <c r="F592" s="98"/>
    </row>
    <row r="593">
      <c r="F593" s="98"/>
    </row>
    <row r="594">
      <c r="F594" s="98"/>
    </row>
    <row r="595">
      <c r="F595" s="98"/>
    </row>
    <row r="596">
      <c r="F596" s="98"/>
    </row>
    <row r="597">
      <c r="F597" s="98"/>
    </row>
    <row r="598">
      <c r="F598" s="98"/>
    </row>
    <row r="599">
      <c r="F599" s="98"/>
    </row>
    <row r="600">
      <c r="F600" s="98"/>
    </row>
    <row r="601">
      <c r="F601" s="98"/>
    </row>
    <row r="602">
      <c r="F602" s="98"/>
    </row>
    <row r="603">
      <c r="F603" s="98"/>
    </row>
    <row r="604">
      <c r="F604" s="98"/>
    </row>
    <row r="605">
      <c r="F605" s="98"/>
    </row>
    <row r="606">
      <c r="F606" s="98"/>
    </row>
    <row r="607">
      <c r="F607" s="98"/>
    </row>
    <row r="608">
      <c r="F608" s="98"/>
    </row>
    <row r="609">
      <c r="F609" s="98"/>
    </row>
    <row r="610">
      <c r="F610" s="98"/>
    </row>
    <row r="611">
      <c r="F611" s="98"/>
    </row>
    <row r="612">
      <c r="F612" s="98"/>
    </row>
    <row r="613">
      <c r="F613" s="98"/>
    </row>
    <row r="614">
      <c r="F614" s="98"/>
    </row>
    <row r="615">
      <c r="F615" s="98"/>
    </row>
    <row r="616">
      <c r="F616" s="98"/>
    </row>
    <row r="617">
      <c r="F617" s="98"/>
    </row>
    <row r="618">
      <c r="F618" s="98"/>
    </row>
    <row r="619">
      <c r="F619" s="98"/>
    </row>
    <row r="620">
      <c r="F620" s="98"/>
    </row>
    <row r="621">
      <c r="F621" s="98"/>
    </row>
    <row r="622">
      <c r="F622" s="98"/>
    </row>
    <row r="623">
      <c r="F623" s="98"/>
    </row>
    <row r="624">
      <c r="F624" s="98"/>
    </row>
    <row r="625">
      <c r="F625" s="98"/>
    </row>
    <row r="626">
      <c r="F626" s="98"/>
    </row>
    <row r="627">
      <c r="F627" s="98"/>
    </row>
    <row r="628">
      <c r="F628" s="98"/>
    </row>
    <row r="629">
      <c r="F629" s="98"/>
    </row>
    <row r="630">
      <c r="F630" s="98"/>
    </row>
    <row r="631">
      <c r="F631" s="98"/>
    </row>
    <row r="632">
      <c r="F632" s="98"/>
    </row>
    <row r="633">
      <c r="F633" s="98"/>
    </row>
    <row r="634">
      <c r="F634" s="98"/>
    </row>
    <row r="635">
      <c r="F635" s="98"/>
    </row>
    <row r="636">
      <c r="F636" s="98"/>
    </row>
    <row r="637">
      <c r="F637" s="98"/>
    </row>
    <row r="638">
      <c r="F638" s="98"/>
    </row>
    <row r="639">
      <c r="F639" s="98"/>
    </row>
    <row r="640">
      <c r="F640" s="98"/>
    </row>
    <row r="641">
      <c r="F641" s="98"/>
    </row>
    <row r="642">
      <c r="F642" s="98"/>
    </row>
    <row r="643">
      <c r="F643" s="98"/>
    </row>
    <row r="644">
      <c r="F644" s="98"/>
    </row>
    <row r="645">
      <c r="F645" s="98"/>
    </row>
    <row r="646">
      <c r="F646" s="98"/>
    </row>
    <row r="647">
      <c r="F647" s="98"/>
    </row>
    <row r="648">
      <c r="F648" s="98"/>
    </row>
    <row r="649">
      <c r="F649" s="98"/>
    </row>
    <row r="650">
      <c r="F650" s="98"/>
    </row>
    <row r="651">
      <c r="F651" s="98"/>
    </row>
    <row r="652">
      <c r="F652" s="98"/>
    </row>
    <row r="653">
      <c r="F653" s="98"/>
    </row>
    <row r="654">
      <c r="F654" s="98"/>
    </row>
    <row r="655">
      <c r="F655" s="98"/>
    </row>
    <row r="656">
      <c r="F656" s="98"/>
    </row>
    <row r="657">
      <c r="F657" s="98"/>
    </row>
    <row r="658">
      <c r="F658" s="98"/>
    </row>
    <row r="659">
      <c r="F659" s="98"/>
    </row>
    <row r="660">
      <c r="F660" s="98"/>
    </row>
    <row r="661">
      <c r="F661" s="98"/>
    </row>
    <row r="662">
      <c r="F662" s="98"/>
    </row>
    <row r="663">
      <c r="F663" s="98"/>
    </row>
    <row r="664">
      <c r="F664" s="98"/>
    </row>
    <row r="665">
      <c r="F665" s="98"/>
    </row>
    <row r="666">
      <c r="F666" s="98"/>
    </row>
    <row r="667">
      <c r="F667" s="98"/>
    </row>
    <row r="668">
      <c r="F668" s="98"/>
    </row>
    <row r="669">
      <c r="F669" s="98"/>
    </row>
    <row r="670">
      <c r="F670" s="98"/>
    </row>
    <row r="671">
      <c r="F671" s="98"/>
    </row>
    <row r="672">
      <c r="F672" s="98"/>
    </row>
    <row r="673">
      <c r="F673" s="98"/>
    </row>
    <row r="674">
      <c r="F674" s="98"/>
    </row>
    <row r="675">
      <c r="F675" s="98"/>
    </row>
    <row r="676">
      <c r="F676" s="98"/>
    </row>
    <row r="677">
      <c r="F677" s="98"/>
    </row>
    <row r="678">
      <c r="F678" s="98"/>
    </row>
    <row r="679">
      <c r="F679" s="98"/>
    </row>
    <row r="680">
      <c r="F680" s="98"/>
    </row>
    <row r="681">
      <c r="F681" s="98"/>
    </row>
    <row r="682">
      <c r="F682" s="98"/>
    </row>
    <row r="683">
      <c r="F683" s="98"/>
    </row>
    <row r="684">
      <c r="F684" s="98"/>
    </row>
    <row r="685">
      <c r="F685" s="98"/>
    </row>
    <row r="686">
      <c r="F686" s="98"/>
    </row>
    <row r="687">
      <c r="F687" s="98"/>
    </row>
    <row r="688">
      <c r="F688" s="98"/>
    </row>
    <row r="689">
      <c r="F689" s="98"/>
    </row>
    <row r="690">
      <c r="F690" s="98"/>
    </row>
    <row r="691">
      <c r="F691" s="98"/>
    </row>
    <row r="692">
      <c r="F692" s="98"/>
    </row>
    <row r="693">
      <c r="F693" s="98"/>
    </row>
    <row r="694">
      <c r="F694" s="98"/>
    </row>
    <row r="695">
      <c r="F695" s="98"/>
    </row>
    <row r="696">
      <c r="F696" s="98"/>
    </row>
    <row r="697">
      <c r="F697" s="98"/>
    </row>
    <row r="698">
      <c r="F698" s="98"/>
    </row>
    <row r="699">
      <c r="F699" s="98"/>
    </row>
    <row r="700">
      <c r="F700" s="98"/>
    </row>
    <row r="701">
      <c r="F701" s="98"/>
    </row>
    <row r="702">
      <c r="F702" s="98"/>
    </row>
    <row r="703">
      <c r="F703" s="98"/>
    </row>
    <row r="704">
      <c r="F704" s="98"/>
    </row>
    <row r="705">
      <c r="F705" s="98"/>
    </row>
    <row r="706">
      <c r="F706" s="98"/>
    </row>
    <row r="707">
      <c r="F707" s="98"/>
    </row>
    <row r="708">
      <c r="F708" s="98"/>
    </row>
    <row r="709">
      <c r="F709" s="98"/>
    </row>
    <row r="710">
      <c r="F710" s="98"/>
    </row>
    <row r="711">
      <c r="F711" s="98"/>
    </row>
    <row r="712">
      <c r="F712" s="98"/>
    </row>
    <row r="713">
      <c r="F713" s="98"/>
    </row>
    <row r="714">
      <c r="F714" s="98"/>
    </row>
    <row r="715">
      <c r="F715" s="98"/>
    </row>
    <row r="716">
      <c r="F716" s="98"/>
    </row>
    <row r="717">
      <c r="F717" s="98"/>
    </row>
    <row r="718">
      <c r="F718" s="98"/>
    </row>
    <row r="719">
      <c r="F719" s="98"/>
    </row>
    <row r="720">
      <c r="F720" s="98"/>
    </row>
    <row r="721">
      <c r="F721" s="98"/>
    </row>
    <row r="722">
      <c r="F722" s="98"/>
    </row>
    <row r="723">
      <c r="F723" s="98"/>
    </row>
    <row r="724">
      <c r="F724" s="98"/>
    </row>
    <row r="725">
      <c r="F725" s="98"/>
    </row>
    <row r="726">
      <c r="F726" s="98"/>
    </row>
    <row r="727">
      <c r="F727" s="98"/>
    </row>
    <row r="728">
      <c r="F728" s="98"/>
    </row>
    <row r="729">
      <c r="F729" s="98"/>
    </row>
    <row r="730">
      <c r="F730" s="98"/>
    </row>
    <row r="731">
      <c r="F731" s="98"/>
    </row>
    <row r="732">
      <c r="F732" s="98"/>
    </row>
    <row r="733">
      <c r="F733" s="98"/>
    </row>
    <row r="734">
      <c r="F734" s="98"/>
    </row>
    <row r="735">
      <c r="F735" s="98"/>
    </row>
    <row r="736">
      <c r="F736" s="98"/>
    </row>
    <row r="737">
      <c r="F737" s="98"/>
    </row>
    <row r="738">
      <c r="F738" s="98"/>
    </row>
    <row r="739">
      <c r="F739" s="98"/>
    </row>
    <row r="740">
      <c r="F740" s="98"/>
    </row>
    <row r="741">
      <c r="F741" s="98"/>
    </row>
    <row r="742">
      <c r="F742" s="98"/>
    </row>
    <row r="743">
      <c r="F743" s="98"/>
    </row>
    <row r="744">
      <c r="F744" s="98"/>
    </row>
    <row r="745">
      <c r="F745" s="98"/>
    </row>
    <row r="746">
      <c r="F746" s="98"/>
    </row>
    <row r="747">
      <c r="F747" s="98"/>
    </row>
    <row r="748">
      <c r="F748" s="98"/>
    </row>
    <row r="749">
      <c r="F749" s="98"/>
    </row>
    <row r="750">
      <c r="F750" s="98"/>
    </row>
    <row r="751">
      <c r="F751" s="98"/>
    </row>
    <row r="752">
      <c r="F752" s="98"/>
    </row>
    <row r="753">
      <c r="F753" s="98"/>
    </row>
    <row r="754">
      <c r="F754" s="98"/>
    </row>
    <row r="755">
      <c r="F755" s="98"/>
    </row>
    <row r="756">
      <c r="F756" s="98"/>
    </row>
    <row r="757">
      <c r="F757" s="98"/>
    </row>
    <row r="758">
      <c r="F758" s="98"/>
    </row>
    <row r="759">
      <c r="F759" s="98"/>
    </row>
    <row r="760">
      <c r="F760" s="98"/>
    </row>
    <row r="761">
      <c r="F761" s="98"/>
    </row>
    <row r="762">
      <c r="F762" s="98"/>
    </row>
    <row r="763">
      <c r="F763" s="98"/>
    </row>
    <row r="764">
      <c r="F764" s="98"/>
    </row>
    <row r="765">
      <c r="F765" s="98"/>
    </row>
    <row r="766">
      <c r="F766" s="98"/>
    </row>
    <row r="767">
      <c r="F767" s="98"/>
    </row>
    <row r="768">
      <c r="F768" s="98"/>
    </row>
    <row r="769">
      <c r="F769" s="98"/>
    </row>
    <row r="770">
      <c r="F770" s="98"/>
    </row>
    <row r="771">
      <c r="F771" s="98"/>
    </row>
    <row r="772">
      <c r="F772" s="98"/>
    </row>
    <row r="773">
      <c r="F773" s="98"/>
    </row>
    <row r="774">
      <c r="F774" s="98"/>
    </row>
    <row r="775">
      <c r="F775" s="98"/>
    </row>
    <row r="776">
      <c r="F776" s="98"/>
    </row>
    <row r="777">
      <c r="F777" s="98"/>
    </row>
    <row r="778">
      <c r="F778" s="98"/>
    </row>
    <row r="779">
      <c r="F779" s="98"/>
    </row>
    <row r="780">
      <c r="F780" s="98"/>
    </row>
    <row r="781">
      <c r="F781" s="98"/>
    </row>
    <row r="782">
      <c r="F782" s="98"/>
    </row>
    <row r="783">
      <c r="F783" s="98"/>
    </row>
    <row r="784">
      <c r="F784" s="98"/>
    </row>
    <row r="785">
      <c r="F785" s="98"/>
    </row>
    <row r="786">
      <c r="F786" s="98"/>
    </row>
    <row r="787">
      <c r="F787" s="98"/>
    </row>
    <row r="788">
      <c r="F788" s="98"/>
    </row>
    <row r="789">
      <c r="F789" s="98"/>
    </row>
    <row r="790">
      <c r="F790" s="98"/>
    </row>
    <row r="791">
      <c r="F791" s="98"/>
    </row>
    <row r="792">
      <c r="F792" s="98"/>
    </row>
    <row r="793">
      <c r="F793" s="98"/>
    </row>
    <row r="794">
      <c r="F794" s="98"/>
    </row>
    <row r="795">
      <c r="F795" s="98"/>
    </row>
    <row r="796">
      <c r="F796" s="98"/>
    </row>
    <row r="797">
      <c r="F797" s="98"/>
    </row>
    <row r="798">
      <c r="F798" s="98"/>
    </row>
    <row r="799">
      <c r="F799" s="98"/>
    </row>
    <row r="800">
      <c r="F800" s="98"/>
    </row>
    <row r="801">
      <c r="F801" s="98"/>
    </row>
    <row r="802">
      <c r="F802" s="98"/>
    </row>
    <row r="803">
      <c r="F803" s="98"/>
    </row>
    <row r="804">
      <c r="F804" s="98"/>
    </row>
    <row r="805">
      <c r="F805" s="98"/>
    </row>
    <row r="806">
      <c r="F806" s="98"/>
    </row>
    <row r="807">
      <c r="F807" s="98"/>
    </row>
    <row r="808">
      <c r="F808" s="98"/>
    </row>
    <row r="809">
      <c r="F809" s="98"/>
    </row>
    <row r="810">
      <c r="F810" s="98"/>
    </row>
    <row r="811">
      <c r="F811" s="98"/>
    </row>
    <row r="812">
      <c r="F812" s="98"/>
    </row>
    <row r="813">
      <c r="F813" s="98"/>
    </row>
    <row r="814">
      <c r="F814" s="98"/>
    </row>
    <row r="815">
      <c r="F815" s="98"/>
    </row>
    <row r="816">
      <c r="F816" s="98"/>
    </row>
    <row r="817">
      <c r="F817" s="98"/>
    </row>
    <row r="818">
      <c r="F818" s="98"/>
    </row>
    <row r="819">
      <c r="F819" s="98"/>
    </row>
    <row r="820">
      <c r="F820" s="98"/>
    </row>
    <row r="821">
      <c r="F821" s="98"/>
    </row>
    <row r="822">
      <c r="F822" s="98"/>
    </row>
    <row r="823">
      <c r="F823" s="98"/>
    </row>
    <row r="824">
      <c r="F824" s="98"/>
    </row>
    <row r="825">
      <c r="F825" s="98"/>
    </row>
    <row r="826">
      <c r="F826" s="98"/>
    </row>
    <row r="827">
      <c r="F827" s="98"/>
    </row>
    <row r="828">
      <c r="F828" s="98"/>
    </row>
    <row r="829">
      <c r="F829" s="98"/>
    </row>
    <row r="830">
      <c r="F830" s="98"/>
    </row>
    <row r="831">
      <c r="F831" s="98"/>
    </row>
    <row r="832">
      <c r="F832" s="98"/>
    </row>
    <row r="833">
      <c r="F833" s="98"/>
    </row>
    <row r="834">
      <c r="F834" s="98"/>
    </row>
    <row r="835">
      <c r="F835" s="98"/>
    </row>
    <row r="836">
      <c r="F836" s="98"/>
    </row>
    <row r="837">
      <c r="F837" s="98"/>
    </row>
    <row r="838">
      <c r="F838" s="98"/>
    </row>
    <row r="839">
      <c r="F839" s="98"/>
    </row>
    <row r="840">
      <c r="F840" s="98"/>
    </row>
    <row r="841">
      <c r="F841" s="98"/>
    </row>
    <row r="842">
      <c r="F842" s="98"/>
    </row>
    <row r="843">
      <c r="F843" s="98"/>
    </row>
    <row r="844">
      <c r="F844" s="98"/>
    </row>
    <row r="845">
      <c r="F845" s="98"/>
    </row>
    <row r="846">
      <c r="F846" s="98"/>
    </row>
    <row r="847">
      <c r="F847" s="98"/>
    </row>
    <row r="848">
      <c r="F848" s="98"/>
    </row>
    <row r="849">
      <c r="F849" s="98"/>
    </row>
    <row r="850">
      <c r="F850" s="98"/>
    </row>
    <row r="851">
      <c r="F851" s="98"/>
    </row>
    <row r="852">
      <c r="F852" s="98"/>
    </row>
    <row r="853">
      <c r="F853" s="98"/>
    </row>
    <row r="854">
      <c r="F854" s="98"/>
    </row>
    <row r="855">
      <c r="F855" s="98"/>
    </row>
    <row r="856">
      <c r="F856" s="98"/>
    </row>
    <row r="857">
      <c r="F857" s="98"/>
    </row>
    <row r="858">
      <c r="F858" s="98"/>
    </row>
    <row r="859">
      <c r="F859" s="98"/>
    </row>
    <row r="860">
      <c r="F860" s="98"/>
    </row>
    <row r="861">
      <c r="F861" s="98"/>
    </row>
    <row r="862">
      <c r="F862" s="98"/>
    </row>
    <row r="863">
      <c r="F863" s="98"/>
    </row>
    <row r="864">
      <c r="F864" s="98"/>
    </row>
    <row r="865">
      <c r="F865" s="98"/>
    </row>
    <row r="866">
      <c r="F866" s="98"/>
    </row>
    <row r="867">
      <c r="F867" s="98"/>
    </row>
    <row r="868">
      <c r="F868" s="98"/>
    </row>
    <row r="869">
      <c r="F869" s="98"/>
    </row>
    <row r="870">
      <c r="F870" s="98"/>
    </row>
    <row r="871">
      <c r="F871" s="98"/>
    </row>
    <row r="872">
      <c r="F872" s="98"/>
    </row>
    <row r="873">
      <c r="F873" s="98"/>
    </row>
    <row r="874">
      <c r="F874" s="98"/>
    </row>
    <row r="875">
      <c r="F875" s="98"/>
    </row>
    <row r="876">
      <c r="F876" s="98"/>
    </row>
    <row r="877">
      <c r="F877" s="98"/>
    </row>
    <row r="878">
      <c r="F878" s="98"/>
    </row>
    <row r="879">
      <c r="F879" s="98"/>
    </row>
    <row r="880">
      <c r="F880" s="98"/>
    </row>
    <row r="881">
      <c r="F881" s="98"/>
    </row>
    <row r="882">
      <c r="F882" s="98"/>
    </row>
    <row r="883">
      <c r="F883" s="98"/>
    </row>
    <row r="884">
      <c r="F884" s="98"/>
    </row>
    <row r="885">
      <c r="F885" s="98"/>
    </row>
    <row r="886">
      <c r="F886" s="98"/>
    </row>
    <row r="887">
      <c r="F887" s="98"/>
    </row>
    <row r="888">
      <c r="F888" s="98"/>
    </row>
    <row r="889">
      <c r="F889" s="98"/>
    </row>
    <row r="890">
      <c r="F890" s="98"/>
    </row>
    <row r="891">
      <c r="F891" s="98"/>
    </row>
    <row r="892">
      <c r="F892" s="98"/>
    </row>
    <row r="893">
      <c r="F893" s="98"/>
    </row>
    <row r="894">
      <c r="F894" s="98"/>
    </row>
    <row r="895">
      <c r="F895" s="98"/>
    </row>
    <row r="896">
      <c r="F896" s="98"/>
    </row>
    <row r="897">
      <c r="F897" s="98"/>
    </row>
    <row r="898">
      <c r="F898" s="98"/>
    </row>
    <row r="899">
      <c r="F899" s="98"/>
    </row>
    <row r="900">
      <c r="F900" s="98"/>
    </row>
    <row r="901">
      <c r="F901" s="98"/>
    </row>
    <row r="902">
      <c r="F902" s="98"/>
    </row>
    <row r="903">
      <c r="F903" s="98"/>
    </row>
    <row r="904">
      <c r="F904" s="98"/>
    </row>
    <row r="905">
      <c r="F905" s="98"/>
    </row>
    <row r="906">
      <c r="F906" s="98"/>
    </row>
    <row r="907">
      <c r="F907" s="98"/>
    </row>
    <row r="908">
      <c r="F908" s="98"/>
    </row>
    <row r="909">
      <c r="F909" s="98"/>
    </row>
    <row r="910">
      <c r="F910" s="98"/>
    </row>
    <row r="911">
      <c r="F911" s="98"/>
    </row>
    <row r="912">
      <c r="F912" s="98"/>
    </row>
    <row r="913">
      <c r="F913" s="98"/>
    </row>
    <row r="914">
      <c r="F914" s="98"/>
    </row>
    <row r="915">
      <c r="F915" s="98"/>
    </row>
    <row r="916">
      <c r="F916" s="98"/>
    </row>
    <row r="917">
      <c r="F917" s="98"/>
    </row>
    <row r="918">
      <c r="F918" s="98"/>
    </row>
    <row r="919">
      <c r="F919" s="98"/>
    </row>
    <row r="920">
      <c r="F920" s="98"/>
    </row>
    <row r="921">
      <c r="F921" s="98"/>
    </row>
    <row r="922">
      <c r="F922" s="98"/>
    </row>
    <row r="923">
      <c r="F923" s="98"/>
    </row>
    <row r="924">
      <c r="F924" s="98"/>
    </row>
    <row r="925">
      <c r="F925" s="98"/>
    </row>
    <row r="926">
      <c r="F926" s="98"/>
    </row>
    <row r="927">
      <c r="F927" s="98"/>
    </row>
    <row r="928">
      <c r="F928" s="98"/>
    </row>
    <row r="929">
      <c r="F929" s="98"/>
    </row>
    <row r="930">
      <c r="F930" s="98"/>
    </row>
    <row r="931">
      <c r="F931" s="98"/>
    </row>
    <row r="932">
      <c r="F932" s="98"/>
    </row>
    <row r="933">
      <c r="F933" s="98"/>
    </row>
    <row r="934">
      <c r="F934" s="98"/>
    </row>
    <row r="935">
      <c r="F935" s="98"/>
    </row>
    <row r="936">
      <c r="F936" s="98"/>
    </row>
    <row r="937">
      <c r="F937" s="98"/>
    </row>
    <row r="938">
      <c r="F938" s="98"/>
    </row>
    <row r="939">
      <c r="F939" s="98"/>
    </row>
    <row r="940">
      <c r="F940" s="98"/>
    </row>
    <row r="941">
      <c r="F941" s="98"/>
    </row>
    <row r="942">
      <c r="F942" s="98"/>
    </row>
    <row r="943">
      <c r="F943" s="98"/>
    </row>
    <row r="944">
      <c r="F944" s="98"/>
    </row>
    <row r="945">
      <c r="F945" s="98"/>
    </row>
    <row r="946">
      <c r="F946" s="98"/>
    </row>
    <row r="947">
      <c r="F947" s="98"/>
    </row>
    <row r="948">
      <c r="F948" s="98"/>
    </row>
    <row r="949">
      <c r="F949" s="98"/>
    </row>
    <row r="950">
      <c r="F950" s="98"/>
    </row>
    <row r="951">
      <c r="F951" s="98"/>
    </row>
    <row r="952">
      <c r="F952" s="98"/>
    </row>
    <row r="953">
      <c r="F953" s="98"/>
    </row>
    <row r="954">
      <c r="F954" s="98"/>
    </row>
    <row r="955">
      <c r="F955" s="98"/>
    </row>
    <row r="956">
      <c r="F956" s="98"/>
    </row>
    <row r="957">
      <c r="F957" s="98"/>
    </row>
    <row r="958">
      <c r="F958" s="98"/>
    </row>
    <row r="959">
      <c r="F959" s="98"/>
    </row>
    <row r="960">
      <c r="F960" s="98"/>
    </row>
    <row r="961">
      <c r="F961" s="98"/>
    </row>
    <row r="962">
      <c r="F962" s="98"/>
    </row>
    <row r="963">
      <c r="F963" s="98"/>
    </row>
    <row r="964">
      <c r="F964" s="98"/>
    </row>
    <row r="965">
      <c r="F965" s="98"/>
    </row>
    <row r="966">
      <c r="F966" s="98"/>
    </row>
    <row r="967">
      <c r="F967" s="98"/>
    </row>
    <row r="968">
      <c r="F968" s="98"/>
    </row>
    <row r="969">
      <c r="F969" s="98"/>
    </row>
    <row r="970">
      <c r="F970" s="98"/>
    </row>
    <row r="971">
      <c r="F971" s="98"/>
    </row>
    <row r="972">
      <c r="F972" s="98"/>
    </row>
    <row r="973">
      <c r="F973" s="98"/>
    </row>
    <row r="974">
      <c r="F974" s="98"/>
    </row>
    <row r="975">
      <c r="F975" s="98"/>
    </row>
    <row r="976">
      <c r="F976" s="98"/>
    </row>
    <row r="977">
      <c r="F977" s="98"/>
    </row>
    <row r="978">
      <c r="F978" s="98"/>
    </row>
    <row r="979">
      <c r="F979" s="98"/>
    </row>
    <row r="980">
      <c r="F980" s="98"/>
    </row>
    <row r="981">
      <c r="F981" s="98"/>
    </row>
    <row r="982">
      <c r="F982" s="98"/>
    </row>
    <row r="983">
      <c r="F983" s="98"/>
    </row>
    <row r="984">
      <c r="F984" s="98"/>
    </row>
    <row r="985">
      <c r="F985" s="98"/>
    </row>
    <row r="986">
      <c r="F986" s="98"/>
    </row>
    <row r="987">
      <c r="F987" s="98"/>
    </row>
    <row r="988">
      <c r="F988" s="98"/>
    </row>
    <row r="989">
      <c r="F989" s="98"/>
    </row>
    <row r="990">
      <c r="F990" s="98"/>
    </row>
    <row r="991">
      <c r="F991" s="98"/>
    </row>
    <row r="992">
      <c r="F992" s="98"/>
    </row>
    <row r="993">
      <c r="F993" s="98"/>
    </row>
    <row r="994">
      <c r="F994" s="98"/>
    </row>
    <row r="995">
      <c r="F995" s="98"/>
    </row>
    <row r="996">
      <c r="F996" s="98"/>
    </row>
    <row r="997">
      <c r="F997" s="98"/>
    </row>
    <row r="998">
      <c r="F998" s="98"/>
    </row>
    <row r="999">
      <c r="F999" s="98"/>
    </row>
    <row r="1000">
      <c r="F1000" s="98"/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5" t="s">
        <v>180</v>
      </c>
      <c r="C1" s="135" t="s">
        <v>724</v>
      </c>
      <c r="D1" s="135" t="s">
        <v>725</v>
      </c>
      <c r="E1" s="135" t="s">
        <v>163</v>
      </c>
      <c r="F1" s="135" t="s">
        <v>183</v>
      </c>
      <c r="G1" s="135" t="s">
        <v>184</v>
      </c>
    </row>
    <row r="2">
      <c r="A2" s="14" t="s">
        <v>85</v>
      </c>
      <c r="B2" s="3">
        <f>'20 Mart-2 nisan 2023'!B2+'6 mart-19 mart 2023'!B2+'20 şubat-5 mart 2023'!B2+'23 ocak-17 şubat'!B2+'26 aralık-20 ocak'!B2</f>
        <v>53</v>
      </c>
      <c r="C2" s="3">
        <f>'20 Mart-2 nisan 2023'!C2+'6 mart-19 mart 2023'!C2+'20 şubat-5 mart 2023'!C2+'23 ocak-17 şubat'!C2+'26 aralık-20 ocak'!C2</f>
        <v>103</v>
      </c>
      <c r="D2" s="3">
        <f>'20 Mart-2 nisan 2023'!D2+'6 mart-19 mart 2023'!D2+'20 şubat-5 mart 2023'!D2+'23 ocak-17 şubat'!D2+'26 aralık-20 ocak'!D2</f>
        <v>132</v>
      </c>
      <c r="E2" s="86">
        <f t="shared" ref="E2:E9" si="1">C2/D2</f>
        <v>0.7803030303</v>
      </c>
      <c r="G2" s="55">
        <f>'20 Mart-2 nisan 2023'!G2+'6 mart-19 mart 2023'!G2+'20 şubat-5 mart 2023'!G2+'23 ocak-17 şubat'!G2+'26 aralık-20 ocak'!G2</f>
        <v>242</v>
      </c>
    </row>
    <row r="3">
      <c r="A3" s="14" t="s">
        <v>86</v>
      </c>
      <c r="B3" s="3">
        <f>'20 Mart-2 nisan 2023'!B3+'6 mart-19 mart 2023'!B3+'20 şubat-5 mart 2023'!B3+'23 ocak-17 şubat'!B3+'26 aralık-20 ocak'!B3</f>
        <v>67</v>
      </c>
      <c r="C3" s="3">
        <f>'20 Mart-2 nisan 2023'!C3+'6 mart-19 mart 2023'!C3+'20 şubat-5 mart 2023'!C3+'23 ocak-17 şubat'!C3+'26 aralık-20 ocak'!C3</f>
        <v>68.5</v>
      </c>
      <c r="D3" s="3">
        <f>'20 Mart-2 nisan 2023'!D3+'6 mart-19 mart 2023'!D3+'20 şubat-5 mart 2023'!D3+'23 ocak-17 şubat'!D3+'26 aralık-20 ocak'!D3</f>
        <v>105</v>
      </c>
      <c r="E3" s="86">
        <f t="shared" si="1"/>
        <v>0.6523809524</v>
      </c>
      <c r="G3" s="55">
        <f>'20 Mart-2 nisan 2023'!G3+'6 mart-19 mart 2023'!G3+'20 şubat-5 mart 2023'!G3+'23 ocak-17 şubat'!G3+'26 aralık-20 ocak'!G3</f>
        <v>252.13</v>
      </c>
    </row>
    <row r="4">
      <c r="A4" s="14" t="s">
        <v>88</v>
      </c>
      <c r="B4" s="3">
        <f>'20 Mart-2 nisan 2023'!B4+'6 mart-19 mart 2023'!B4+'20 şubat-5 mart 2023'!B4+'23 ocak-17 şubat'!B4+'26 aralık-20 ocak'!B4</f>
        <v>76</v>
      </c>
      <c r="C4" s="3">
        <f>'20 Mart-2 nisan 2023'!C4+'6 mart-19 mart 2023'!C4+'20 şubat-5 mart 2023'!C4+'23 ocak-17 şubat'!C4+'26 aralık-20 ocak'!C4</f>
        <v>83</v>
      </c>
      <c r="D4" s="3">
        <f>'20 Mart-2 nisan 2023'!D4+'6 mart-19 mart 2023'!D4+'20 şubat-5 mart 2023'!D4+'23 ocak-17 şubat'!D4+'26 aralık-20 ocak'!D4</f>
        <v>126</v>
      </c>
      <c r="E4" s="86">
        <f t="shared" si="1"/>
        <v>0.6587301587</v>
      </c>
      <c r="G4" s="55">
        <f>'20 Mart-2 nisan 2023'!G4+'6 mart-19 mart 2023'!G4+'20 şubat-5 mart 2023'!G4+'23 ocak-17 şubat'!G4+'26 aralık-20 ocak'!G4</f>
        <v>310.42</v>
      </c>
    </row>
    <row r="5">
      <c r="A5" s="14" t="s">
        <v>89</v>
      </c>
      <c r="B5" s="3">
        <f>'20 Mart-2 nisan 2023'!B10+'6 mart-19 mart 2023'!B10+'20 şubat-5 mart 2023'!B10+'23 ocak-17 şubat'!B10+'26 aralık-20 ocak'!B10</f>
        <v>73</v>
      </c>
      <c r="C5" s="3">
        <f>'20 Mart-2 nisan 2023'!C10+'6 mart-19 mart 2023'!C10+'20 şubat-5 mart 2023'!C10+'23 ocak-17 şubat'!C10+'26 aralık-20 ocak'!C10</f>
        <v>71.5</v>
      </c>
      <c r="D5" s="3">
        <f>'20 Mart-2 nisan 2023'!D10+'6 mart-19 mart 2023'!D10+'20 şubat-5 mart 2023'!D10+'23 ocak-17 şubat'!D10+'26 aralık-20 ocak'!D10</f>
        <v>135</v>
      </c>
      <c r="E5" s="86">
        <f t="shared" si="1"/>
        <v>0.5296296296</v>
      </c>
      <c r="G5" s="55">
        <f>'20 Mart-2 nisan 2023'!G10+'6 mart-19 mart 2023'!G10+'20 şubat-5 mart 2023'!G10+'23 ocak-17 şubat'!G10+'26 aralık-20 ocak'!G10</f>
        <v>335.5</v>
      </c>
    </row>
    <row r="6">
      <c r="A6" s="14" t="s">
        <v>90</v>
      </c>
      <c r="B6" s="3">
        <f>'20 Mart-2 nisan 2023'!B5+'6 mart-19 mart 2023'!B5+'20 şubat-5 mart 2023'!B5+'23 ocak-17 şubat'!B5+'26 aralık-20 ocak'!B5</f>
        <v>57</v>
      </c>
      <c r="C6" s="3">
        <f>'20 Mart-2 nisan 2023'!C5+'6 mart-19 mart 2023'!C5+'20 şubat-5 mart 2023'!C5+'23 ocak-17 şubat'!C5+'26 aralık-20 ocak'!C5</f>
        <v>97</v>
      </c>
      <c r="D6" s="3">
        <f>'20 Mart-2 nisan 2023'!D5+'6 mart-19 mart 2023'!D5+'20 şubat-5 mart 2023'!D5+'23 ocak-17 şubat'!D5+'26 aralık-20 ocak'!D5</f>
        <v>94.5</v>
      </c>
      <c r="E6" s="86">
        <f t="shared" si="1"/>
        <v>1.026455026</v>
      </c>
      <c r="G6" s="55">
        <f>'20 Mart-2 nisan 2023'!G5+'6 mart-19 mart 2023'!G5+'20 şubat-5 mart 2023'!G5+'23 ocak-17 şubat'!G5+'26 aralık-20 ocak'!G5</f>
        <v>333.24</v>
      </c>
    </row>
    <row r="7">
      <c r="A7" s="14" t="s">
        <v>91</v>
      </c>
      <c r="B7" s="3">
        <f>'20 Mart-2 nisan 2023'!B6+'6 mart-19 mart 2023'!B6+'20 şubat-5 mart 2023'!B6+'23 ocak-17 şubat'!B6+'26 aralık-20 ocak'!B6</f>
        <v>73</v>
      </c>
      <c r="C7" s="3">
        <f>'20 Mart-2 nisan 2023'!C6+'6 mart-19 mart 2023'!C6+'20 şubat-5 mart 2023'!C6+'23 ocak-17 şubat'!C6+'26 aralık-20 ocak'!C6</f>
        <v>80.5</v>
      </c>
      <c r="D7" s="3">
        <f>'20 Mart-2 nisan 2023'!D6+'6 mart-19 mart 2023'!D6+'20 şubat-5 mart 2023'!D6+'23 ocak-17 şubat'!D6+'26 aralık-20 ocak'!D6</f>
        <v>88</v>
      </c>
      <c r="E7" s="86">
        <f t="shared" si="1"/>
        <v>0.9147727273</v>
      </c>
      <c r="G7" s="55">
        <f>'20 Mart-2 nisan 2023'!G6+'6 mart-19 mart 2023'!G6+'20 şubat-5 mart 2023'!G6+'23 ocak-17 şubat'!G6+'26 aralık-20 ocak'!G6</f>
        <v>277.5</v>
      </c>
    </row>
    <row r="8">
      <c r="A8" s="14" t="s">
        <v>92</v>
      </c>
      <c r="B8" s="3">
        <f>'20 Mart-2 nisan 2023'!B11+'6 mart-19 mart 2023'!B11+'20 şubat-5 mart 2023'!B11+'23 ocak-17 şubat'!B11+'26 aralık-20 ocak'!B11</f>
        <v>37</v>
      </c>
      <c r="C8" s="3">
        <f>'20 Mart-2 nisan 2023'!C11+'6 mart-19 mart 2023'!C11+'20 şubat-5 mart 2023'!C11+'23 ocak-17 şubat'!C11+'26 aralık-20 ocak'!C11</f>
        <v>57</v>
      </c>
      <c r="D8" s="3">
        <f>'20 Mart-2 nisan 2023'!D11+'6 mart-19 mart 2023'!D11+'20 şubat-5 mart 2023'!D11+'23 ocak-17 şubat'!D11+'26 aralık-20 ocak'!D11</f>
        <v>102.3</v>
      </c>
      <c r="E8" s="86">
        <f t="shared" si="1"/>
        <v>0.5571847507</v>
      </c>
      <c r="G8" s="55">
        <f>'20 Mart-2 nisan 2023'!G11+'6 mart-19 mart 2023'!G11+'20 şubat-5 mart 2023'!G11+'23 ocak-17 şubat'!G11+'26 aralık-20 ocak'!G11</f>
        <v>214.49</v>
      </c>
    </row>
    <row r="9">
      <c r="A9" s="14" t="s">
        <v>94</v>
      </c>
      <c r="B9" s="3">
        <f>'20 Mart-2 nisan 2023'!B9+'6 mart-19 mart 2023'!B9+'20 şubat-5 mart 2023'!B7+'23 ocak-17 şubat'!B7+'26 aralık-20 ocak'!B7</f>
        <v>49</v>
      </c>
      <c r="C9" s="3">
        <f>'20 Mart-2 nisan 2023'!C9+'6 mart-19 mart 2023'!C9+'20 şubat-5 mart 2023'!C7+'23 ocak-17 şubat'!C7+'26 aralık-20 ocak'!C7</f>
        <v>103</v>
      </c>
      <c r="D9" s="3">
        <f>'20 Mart-2 nisan 2023'!D9+'6 mart-19 mart 2023'!D9+'20 şubat-5 mart 2023'!D7+'23 ocak-17 şubat'!D7+'26 aralık-20 ocak'!D7</f>
        <v>105.2</v>
      </c>
      <c r="E9" s="86">
        <f t="shared" si="1"/>
        <v>0.9790874525</v>
      </c>
      <c r="G9" s="55">
        <f>'20 Mart-2 nisan 2023'!G9+'6 mart-19 mart 2023'!G9+'20 şubat-5 mart 2023'!G7+'23 ocak-17 şubat'!G7+'26 aralık-20 ocak'!G7</f>
        <v>274.85</v>
      </c>
    </row>
    <row r="11">
      <c r="B11" s="52">
        <f t="shared" ref="B11:D11" si="2">SUM(B2:B9)</f>
        <v>485</v>
      </c>
      <c r="C11" s="52">
        <f t="shared" si="2"/>
        <v>663.5</v>
      </c>
      <c r="D11" s="52">
        <f t="shared" si="2"/>
        <v>888</v>
      </c>
      <c r="E11" s="86">
        <f>C11/D11</f>
        <v>0.7471846847</v>
      </c>
      <c r="G11" s="66">
        <f>SUM(G2:G9)</f>
        <v>2240.13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9.0"/>
    <col customWidth="1" min="4" max="4" width="14.63"/>
    <col customWidth="1" min="5" max="5" width="13.88"/>
    <col customWidth="1" min="6" max="6" width="23.38"/>
    <col customWidth="1" min="7" max="7" width="77.13"/>
  </cols>
  <sheetData>
    <row r="1">
      <c r="B1" s="92" t="s">
        <v>180</v>
      </c>
      <c r="C1" s="92" t="s">
        <v>724</v>
      </c>
      <c r="D1" s="92" t="s">
        <v>725</v>
      </c>
      <c r="E1" s="136" t="s">
        <v>787</v>
      </c>
      <c r="F1" s="92" t="s">
        <v>777</v>
      </c>
      <c r="G1" s="181"/>
    </row>
    <row r="2">
      <c r="A2" s="14" t="s">
        <v>85</v>
      </c>
      <c r="B2" s="92">
        <v>81.0</v>
      </c>
      <c r="C2" s="92">
        <v>96.5</v>
      </c>
      <c r="D2" s="92">
        <v>160.0</v>
      </c>
      <c r="E2" s="136">
        <f t="shared" ref="E2:E9" si="1">C2/D2</f>
        <v>0.603125</v>
      </c>
      <c r="F2" s="92">
        <v>1.0</v>
      </c>
      <c r="G2" s="135" t="s">
        <v>788</v>
      </c>
    </row>
    <row r="3">
      <c r="A3" s="14" t="s">
        <v>86</v>
      </c>
      <c r="B3" s="92">
        <v>89.0</v>
      </c>
      <c r="C3" s="92">
        <v>85.0</v>
      </c>
      <c r="D3" s="92">
        <v>125.0</v>
      </c>
      <c r="E3" s="136">
        <f t="shared" si="1"/>
        <v>0.68</v>
      </c>
      <c r="F3" s="92">
        <v>5.0</v>
      </c>
      <c r="G3" s="135" t="s">
        <v>789</v>
      </c>
    </row>
    <row r="4">
      <c r="A4" s="14" t="s">
        <v>88</v>
      </c>
      <c r="B4" s="92">
        <v>91.0</v>
      </c>
      <c r="C4" s="92">
        <v>101.0</v>
      </c>
      <c r="D4" s="92">
        <v>160.0</v>
      </c>
      <c r="E4" s="136">
        <f t="shared" si="1"/>
        <v>0.63125</v>
      </c>
      <c r="F4" s="92">
        <v>8.0</v>
      </c>
      <c r="G4" s="135" t="s">
        <v>790</v>
      </c>
    </row>
    <row r="5">
      <c r="A5" s="14" t="s">
        <v>89</v>
      </c>
      <c r="B5" s="92">
        <v>107.0</v>
      </c>
      <c r="C5" s="92">
        <v>69.5</v>
      </c>
      <c r="D5" s="92">
        <v>160.0</v>
      </c>
      <c r="E5" s="136">
        <f t="shared" si="1"/>
        <v>0.434375</v>
      </c>
      <c r="F5" s="92">
        <v>12.0</v>
      </c>
      <c r="G5" s="135" t="s">
        <v>791</v>
      </c>
    </row>
    <row r="6">
      <c r="A6" s="14" t="s">
        <v>90</v>
      </c>
      <c r="B6" s="92">
        <v>84.0</v>
      </c>
      <c r="C6" s="92">
        <v>131.5</v>
      </c>
      <c r="D6" s="92">
        <v>125.0</v>
      </c>
      <c r="E6" s="136">
        <f t="shared" si="1"/>
        <v>1.052</v>
      </c>
      <c r="F6" s="92">
        <v>4.0</v>
      </c>
      <c r="G6" s="135" t="s">
        <v>792</v>
      </c>
    </row>
    <row r="7">
      <c r="A7" s="14" t="s">
        <v>91</v>
      </c>
      <c r="B7" s="92">
        <v>105.0</v>
      </c>
      <c r="C7" s="92">
        <v>99.0</v>
      </c>
      <c r="D7" s="92">
        <v>85.0</v>
      </c>
      <c r="E7" s="136">
        <f t="shared" si="1"/>
        <v>1.164705882</v>
      </c>
      <c r="F7" s="92">
        <v>2.0</v>
      </c>
      <c r="G7" s="135" t="s">
        <v>793</v>
      </c>
    </row>
    <row r="8">
      <c r="A8" s="14" t="s">
        <v>92</v>
      </c>
      <c r="B8" s="92">
        <v>68.0</v>
      </c>
      <c r="C8" s="92">
        <v>77.0</v>
      </c>
      <c r="D8" s="92">
        <v>85.0</v>
      </c>
      <c r="E8" s="136">
        <f t="shared" si="1"/>
        <v>0.9058823529</v>
      </c>
      <c r="F8" s="92">
        <v>4.0</v>
      </c>
      <c r="G8" s="135" t="s">
        <v>794</v>
      </c>
    </row>
    <row r="9">
      <c r="A9" s="14" t="s">
        <v>94</v>
      </c>
      <c r="B9" s="92">
        <v>52.0</v>
      </c>
      <c r="C9" s="92">
        <v>92.5</v>
      </c>
      <c r="D9" s="92">
        <v>65.0</v>
      </c>
      <c r="E9" s="136">
        <f t="shared" si="1"/>
        <v>1.423076923</v>
      </c>
      <c r="F9" s="92">
        <v>0.0</v>
      </c>
      <c r="G9" s="181"/>
    </row>
    <row r="10">
      <c r="E10" s="86"/>
      <c r="G10" s="56"/>
    </row>
    <row r="11">
      <c r="E11" s="86"/>
      <c r="G11" s="56"/>
    </row>
    <row r="12">
      <c r="E12" s="86"/>
      <c r="G12" s="56"/>
    </row>
    <row r="13">
      <c r="E13" s="86"/>
      <c r="G13" s="56"/>
    </row>
    <row r="14">
      <c r="E14" s="86"/>
      <c r="G14" s="56"/>
    </row>
    <row r="15">
      <c r="E15" s="86"/>
      <c r="G15" s="56"/>
    </row>
    <row r="16">
      <c r="E16" s="86"/>
      <c r="G16" s="56"/>
    </row>
    <row r="17">
      <c r="E17" s="86"/>
      <c r="G17" s="56"/>
    </row>
    <row r="18">
      <c r="E18" s="86"/>
      <c r="G18" s="56"/>
    </row>
    <row r="19">
      <c r="E19" s="86"/>
      <c r="G19" s="56"/>
    </row>
    <row r="20">
      <c r="E20" s="86"/>
      <c r="G20" s="56"/>
    </row>
    <row r="21">
      <c r="E21" s="86"/>
      <c r="G21" s="56"/>
    </row>
    <row r="22">
      <c r="E22" s="86"/>
      <c r="G22" s="56"/>
    </row>
    <row r="23">
      <c r="E23" s="86"/>
      <c r="G23" s="56"/>
    </row>
    <row r="24">
      <c r="E24" s="86"/>
      <c r="G24" s="56"/>
    </row>
    <row r="25">
      <c r="E25" s="86"/>
      <c r="G25" s="56"/>
    </row>
    <row r="26">
      <c r="E26" s="86"/>
      <c r="G26" s="56"/>
    </row>
    <row r="27">
      <c r="E27" s="86"/>
      <c r="G27" s="56"/>
    </row>
    <row r="28">
      <c r="E28" s="86"/>
      <c r="G28" s="56"/>
    </row>
    <row r="29">
      <c r="E29" s="86"/>
      <c r="G29" s="56"/>
    </row>
    <row r="30">
      <c r="E30" s="86"/>
      <c r="G30" s="56"/>
    </row>
    <row r="31">
      <c r="E31" s="86"/>
      <c r="G31" s="56"/>
    </row>
    <row r="32">
      <c r="E32" s="86"/>
      <c r="G32" s="56"/>
    </row>
    <row r="33">
      <c r="E33" s="86"/>
      <c r="G33" s="56"/>
    </row>
    <row r="34">
      <c r="E34" s="86"/>
      <c r="G34" s="56"/>
    </row>
    <row r="35">
      <c r="E35" s="86"/>
      <c r="G35" s="56"/>
    </row>
    <row r="36">
      <c r="E36" s="86"/>
      <c r="G36" s="56"/>
    </row>
    <row r="37">
      <c r="E37" s="86"/>
      <c r="G37" s="56"/>
    </row>
    <row r="38">
      <c r="E38" s="86"/>
      <c r="G38" s="56"/>
    </row>
    <row r="39">
      <c r="E39" s="86"/>
      <c r="G39" s="56"/>
    </row>
    <row r="40">
      <c r="E40" s="86"/>
      <c r="G40" s="56"/>
    </row>
    <row r="41">
      <c r="E41" s="86"/>
      <c r="G41" s="56"/>
    </row>
    <row r="42">
      <c r="E42" s="86"/>
      <c r="G42" s="56"/>
    </row>
    <row r="43">
      <c r="E43" s="86"/>
      <c r="G43" s="56"/>
    </row>
    <row r="44">
      <c r="E44" s="86"/>
      <c r="G44" s="56"/>
    </row>
    <row r="45">
      <c r="E45" s="86"/>
      <c r="G45" s="56"/>
    </row>
    <row r="46">
      <c r="E46" s="86"/>
      <c r="G46" s="56"/>
    </row>
    <row r="47">
      <c r="E47" s="86"/>
      <c r="G47" s="56"/>
    </row>
    <row r="48">
      <c r="E48" s="86"/>
      <c r="G48" s="56"/>
    </row>
    <row r="49">
      <c r="E49" s="86"/>
      <c r="G49" s="56"/>
    </row>
    <row r="50">
      <c r="E50" s="86"/>
      <c r="G50" s="56"/>
    </row>
    <row r="51">
      <c r="E51" s="86"/>
      <c r="G51" s="56"/>
    </row>
    <row r="52">
      <c r="E52" s="86"/>
      <c r="G52" s="56"/>
    </row>
    <row r="53">
      <c r="E53" s="86"/>
      <c r="G53" s="56"/>
    </row>
    <row r="54">
      <c r="E54" s="86"/>
      <c r="G54" s="56"/>
    </row>
    <row r="55">
      <c r="E55" s="86"/>
      <c r="G55" s="56"/>
    </row>
    <row r="56">
      <c r="E56" s="86"/>
      <c r="G56" s="56"/>
    </row>
    <row r="57">
      <c r="E57" s="86"/>
      <c r="G57" s="56"/>
    </row>
    <row r="58">
      <c r="E58" s="86"/>
      <c r="G58" s="56"/>
    </row>
    <row r="59">
      <c r="E59" s="86"/>
      <c r="G59" s="56"/>
    </row>
    <row r="60">
      <c r="E60" s="86"/>
      <c r="G60" s="56"/>
    </row>
    <row r="61">
      <c r="E61" s="86"/>
      <c r="G61" s="56"/>
    </row>
    <row r="62">
      <c r="E62" s="86"/>
      <c r="G62" s="56"/>
    </row>
    <row r="63">
      <c r="E63" s="86"/>
      <c r="G63" s="56"/>
    </row>
    <row r="64">
      <c r="E64" s="86"/>
      <c r="G64" s="56"/>
    </row>
    <row r="65">
      <c r="E65" s="86"/>
      <c r="G65" s="56"/>
    </row>
    <row r="66">
      <c r="E66" s="86"/>
      <c r="G66" s="56"/>
    </row>
    <row r="67">
      <c r="E67" s="86"/>
      <c r="G67" s="56"/>
    </row>
    <row r="68">
      <c r="E68" s="86"/>
      <c r="G68" s="56"/>
    </row>
    <row r="69">
      <c r="E69" s="86"/>
      <c r="G69" s="56"/>
    </row>
    <row r="70">
      <c r="E70" s="86"/>
      <c r="G70" s="56"/>
    </row>
    <row r="71">
      <c r="E71" s="86"/>
      <c r="G71" s="56"/>
    </row>
    <row r="72">
      <c r="E72" s="86"/>
      <c r="G72" s="56"/>
    </row>
    <row r="73">
      <c r="E73" s="86"/>
      <c r="G73" s="56"/>
    </row>
    <row r="74">
      <c r="E74" s="86"/>
      <c r="G74" s="56"/>
    </row>
    <row r="75">
      <c r="E75" s="86"/>
      <c r="G75" s="56"/>
    </row>
    <row r="76">
      <c r="E76" s="86"/>
      <c r="G76" s="56"/>
    </row>
    <row r="77">
      <c r="E77" s="86"/>
      <c r="G77" s="56"/>
    </row>
    <row r="78">
      <c r="E78" s="86"/>
      <c r="G78" s="56"/>
    </row>
    <row r="79">
      <c r="E79" s="86"/>
      <c r="G79" s="56"/>
    </row>
    <row r="80">
      <c r="E80" s="86"/>
      <c r="G80" s="56"/>
    </row>
    <row r="81">
      <c r="E81" s="86"/>
      <c r="G81" s="56"/>
    </row>
    <row r="82">
      <c r="E82" s="86"/>
      <c r="G82" s="56"/>
    </row>
    <row r="83">
      <c r="E83" s="86"/>
      <c r="G83" s="56"/>
    </row>
    <row r="84">
      <c r="E84" s="86"/>
      <c r="G84" s="56"/>
    </row>
    <row r="85">
      <c r="E85" s="86"/>
      <c r="G85" s="56"/>
    </row>
    <row r="86">
      <c r="E86" s="86"/>
      <c r="G86" s="56"/>
    </row>
    <row r="87">
      <c r="E87" s="86"/>
      <c r="G87" s="56"/>
    </row>
    <row r="88">
      <c r="E88" s="86"/>
      <c r="G88" s="56"/>
    </row>
    <row r="89">
      <c r="E89" s="86"/>
      <c r="G89" s="56"/>
    </row>
    <row r="90">
      <c r="E90" s="86"/>
      <c r="G90" s="56"/>
    </row>
    <row r="91">
      <c r="E91" s="86"/>
      <c r="G91" s="56"/>
    </row>
    <row r="92">
      <c r="E92" s="86"/>
      <c r="G92" s="56"/>
    </row>
    <row r="93">
      <c r="E93" s="86"/>
      <c r="G93" s="56"/>
    </row>
    <row r="94">
      <c r="E94" s="86"/>
      <c r="G94" s="56"/>
    </row>
    <row r="95">
      <c r="E95" s="86"/>
      <c r="G95" s="56"/>
    </row>
    <row r="96">
      <c r="E96" s="86"/>
      <c r="G96" s="56"/>
    </row>
    <row r="97">
      <c r="E97" s="86"/>
      <c r="G97" s="56"/>
    </row>
    <row r="98">
      <c r="E98" s="86"/>
      <c r="G98" s="56"/>
    </row>
    <row r="99">
      <c r="E99" s="86"/>
      <c r="G99" s="56"/>
    </row>
    <row r="100">
      <c r="E100" s="86"/>
      <c r="G100" s="56"/>
    </row>
    <row r="101">
      <c r="E101" s="86"/>
      <c r="G101" s="56"/>
    </row>
    <row r="102">
      <c r="E102" s="86"/>
      <c r="G102" s="56"/>
    </row>
    <row r="103">
      <c r="E103" s="86"/>
      <c r="G103" s="56"/>
    </row>
    <row r="104">
      <c r="E104" s="86"/>
      <c r="G104" s="56"/>
    </row>
    <row r="105">
      <c r="E105" s="86"/>
      <c r="G105" s="56"/>
    </row>
    <row r="106">
      <c r="E106" s="86"/>
      <c r="G106" s="56"/>
    </row>
    <row r="107">
      <c r="E107" s="86"/>
      <c r="G107" s="56"/>
    </row>
    <row r="108">
      <c r="E108" s="86"/>
      <c r="G108" s="56"/>
    </row>
    <row r="109">
      <c r="E109" s="86"/>
      <c r="G109" s="56"/>
    </row>
    <row r="110">
      <c r="E110" s="86"/>
      <c r="G110" s="56"/>
    </row>
    <row r="111">
      <c r="E111" s="86"/>
      <c r="G111" s="56"/>
    </row>
    <row r="112">
      <c r="E112" s="86"/>
      <c r="G112" s="56"/>
    </row>
    <row r="113">
      <c r="E113" s="86"/>
      <c r="G113" s="56"/>
    </row>
    <row r="114">
      <c r="E114" s="86"/>
      <c r="G114" s="56"/>
    </row>
    <row r="115">
      <c r="E115" s="86"/>
      <c r="G115" s="56"/>
    </row>
    <row r="116">
      <c r="E116" s="86"/>
      <c r="G116" s="56"/>
    </row>
    <row r="117">
      <c r="E117" s="86"/>
      <c r="G117" s="56"/>
    </row>
    <row r="118">
      <c r="E118" s="86"/>
      <c r="G118" s="56"/>
    </row>
    <row r="119">
      <c r="E119" s="86"/>
      <c r="G119" s="56"/>
    </row>
    <row r="120">
      <c r="E120" s="86"/>
      <c r="G120" s="56"/>
    </row>
    <row r="121">
      <c r="E121" s="86"/>
      <c r="G121" s="56"/>
    </row>
    <row r="122">
      <c r="E122" s="86"/>
      <c r="G122" s="56"/>
    </row>
    <row r="123">
      <c r="E123" s="86"/>
      <c r="G123" s="56"/>
    </row>
    <row r="124">
      <c r="E124" s="86"/>
      <c r="G124" s="56"/>
    </row>
    <row r="125">
      <c r="E125" s="86"/>
      <c r="G125" s="56"/>
    </row>
    <row r="126">
      <c r="E126" s="86"/>
      <c r="G126" s="56"/>
    </row>
    <row r="127">
      <c r="E127" s="86"/>
      <c r="G127" s="56"/>
    </row>
    <row r="128">
      <c r="E128" s="86"/>
      <c r="G128" s="56"/>
    </row>
    <row r="129">
      <c r="E129" s="86"/>
      <c r="G129" s="56"/>
    </row>
    <row r="130">
      <c r="E130" s="86"/>
      <c r="G130" s="56"/>
    </row>
    <row r="131">
      <c r="E131" s="86"/>
      <c r="G131" s="56"/>
    </row>
    <row r="132">
      <c r="E132" s="86"/>
      <c r="G132" s="56"/>
    </row>
    <row r="133">
      <c r="E133" s="86"/>
      <c r="G133" s="56"/>
    </row>
    <row r="134">
      <c r="E134" s="86"/>
      <c r="G134" s="56"/>
    </row>
    <row r="135">
      <c r="E135" s="86"/>
      <c r="G135" s="56"/>
    </row>
    <row r="136">
      <c r="E136" s="86"/>
      <c r="G136" s="56"/>
    </row>
    <row r="137">
      <c r="E137" s="86"/>
      <c r="G137" s="56"/>
    </row>
    <row r="138">
      <c r="E138" s="86"/>
      <c r="G138" s="56"/>
    </row>
    <row r="139">
      <c r="E139" s="86"/>
      <c r="G139" s="56"/>
    </row>
    <row r="140">
      <c r="E140" s="86"/>
      <c r="G140" s="56"/>
    </row>
    <row r="141">
      <c r="E141" s="86"/>
      <c r="G141" s="56"/>
    </row>
    <row r="142">
      <c r="E142" s="86"/>
      <c r="G142" s="56"/>
    </row>
    <row r="143">
      <c r="E143" s="86"/>
      <c r="G143" s="56"/>
    </row>
    <row r="144">
      <c r="E144" s="86"/>
      <c r="G144" s="56"/>
    </row>
    <row r="145">
      <c r="E145" s="86"/>
      <c r="G145" s="56"/>
    </row>
    <row r="146">
      <c r="E146" s="86"/>
      <c r="G146" s="56"/>
    </row>
    <row r="147">
      <c r="E147" s="86"/>
      <c r="G147" s="56"/>
    </row>
    <row r="148">
      <c r="E148" s="86"/>
      <c r="G148" s="56"/>
    </row>
    <row r="149">
      <c r="E149" s="86"/>
      <c r="G149" s="56"/>
    </row>
    <row r="150">
      <c r="E150" s="86"/>
      <c r="G150" s="56"/>
    </row>
    <row r="151">
      <c r="E151" s="86"/>
      <c r="G151" s="56"/>
    </row>
    <row r="152">
      <c r="E152" s="86"/>
      <c r="G152" s="56"/>
    </row>
    <row r="153">
      <c r="E153" s="86"/>
      <c r="G153" s="56"/>
    </row>
    <row r="154">
      <c r="E154" s="86"/>
      <c r="G154" s="56"/>
    </row>
    <row r="155">
      <c r="E155" s="86"/>
      <c r="G155" s="56"/>
    </row>
    <row r="156">
      <c r="E156" s="86"/>
      <c r="G156" s="56"/>
    </row>
    <row r="157">
      <c r="E157" s="86"/>
      <c r="G157" s="56"/>
    </row>
    <row r="158">
      <c r="E158" s="86"/>
      <c r="G158" s="56"/>
    </row>
    <row r="159">
      <c r="E159" s="86"/>
      <c r="G159" s="56"/>
    </row>
    <row r="160">
      <c r="E160" s="86"/>
      <c r="G160" s="56"/>
    </row>
    <row r="161">
      <c r="E161" s="86"/>
      <c r="G161" s="56"/>
    </row>
    <row r="162">
      <c r="E162" s="86"/>
      <c r="G162" s="56"/>
    </row>
    <row r="163">
      <c r="E163" s="86"/>
      <c r="G163" s="56"/>
    </row>
    <row r="164">
      <c r="E164" s="86"/>
      <c r="G164" s="56"/>
    </row>
    <row r="165">
      <c r="E165" s="86"/>
      <c r="G165" s="56"/>
    </row>
    <row r="166">
      <c r="E166" s="86"/>
      <c r="G166" s="56"/>
    </row>
    <row r="167">
      <c r="E167" s="86"/>
      <c r="G167" s="56"/>
    </row>
    <row r="168">
      <c r="E168" s="86"/>
      <c r="G168" s="56"/>
    </row>
    <row r="169">
      <c r="E169" s="86"/>
      <c r="G169" s="56"/>
    </row>
    <row r="170">
      <c r="E170" s="86"/>
      <c r="G170" s="56"/>
    </row>
    <row r="171">
      <c r="E171" s="86"/>
      <c r="G171" s="56"/>
    </row>
    <row r="172">
      <c r="E172" s="86"/>
      <c r="G172" s="56"/>
    </row>
    <row r="173">
      <c r="E173" s="86"/>
      <c r="G173" s="56"/>
    </row>
    <row r="174">
      <c r="E174" s="86"/>
      <c r="G174" s="56"/>
    </row>
    <row r="175">
      <c r="E175" s="86"/>
      <c r="G175" s="56"/>
    </row>
    <row r="176">
      <c r="E176" s="86"/>
      <c r="G176" s="56"/>
    </row>
    <row r="177">
      <c r="E177" s="86"/>
      <c r="G177" s="56"/>
    </row>
    <row r="178">
      <c r="E178" s="86"/>
      <c r="G178" s="56"/>
    </row>
    <row r="179">
      <c r="E179" s="86"/>
      <c r="G179" s="56"/>
    </row>
    <row r="180">
      <c r="E180" s="86"/>
      <c r="G180" s="56"/>
    </row>
    <row r="181">
      <c r="E181" s="86"/>
      <c r="G181" s="56"/>
    </row>
    <row r="182">
      <c r="E182" s="86"/>
      <c r="G182" s="56"/>
    </row>
    <row r="183">
      <c r="E183" s="86"/>
      <c r="G183" s="56"/>
    </row>
    <row r="184">
      <c r="E184" s="86"/>
      <c r="G184" s="56"/>
    </row>
    <row r="185">
      <c r="E185" s="86"/>
      <c r="G185" s="56"/>
    </row>
    <row r="186">
      <c r="E186" s="86"/>
      <c r="G186" s="56"/>
    </row>
    <row r="187">
      <c r="E187" s="86"/>
      <c r="G187" s="56"/>
    </row>
    <row r="188">
      <c r="E188" s="86"/>
      <c r="G188" s="56"/>
    </row>
    <row r="189">
      <c r="E189" s="86"/>
      <c r="G189" s="56"/>
    </row>
    <row r="190">
      <c r="E190" s="86"/>
      <c r="G190" s="56"/>
    </row>
    <row r="191">
      <c r="E191" s="86"/>
      <c r="G191" s="56"/>
    </row>
    <row r="192">
      <c r="E192" s="86"/>
      <c r="G192" s="56"/>
    </row>
    <row r="193">
      <c r="E193" s="86"/>
      <c r="G193" s="56"/>
    </row>
    <row r="194">
      <c r="E194" s="86"/>
      <c r="G194" s="56"/>
    </row>
    <row r="195">
      <c r="E195" s="86"/>
      <c r="G195" s="56"/>
    </row>
    <row r="196">
      <c r="E196" s="86"/>
      <c r="G196" s="56"/>
    </row>
    <row r="197">
      <c r="E197" s="86"/>
      <c r="G197" s="56"/>
    </row>
    <row r="198">
      <c r="E198" s="86"/>
      <c r="G198" s="56"/>
    </row>
    <row r="199">
      <c r="E199" s="86"/>
      <c r="G199" s="56"/>
    </row>
    <row r="200">
      <c r="E200" s="86"/>
      <c r="G200" s="56"/>
    </row>
    <row r="201">
      <c r="E201" s="86"/>
      <c r="G201" s="56"/>
    </row>
    <row r="202">
      <c r="E202" s="86"/>
      <c r="G202" s="56"/>
    </row>
    <row r="203">
      <c r="E203" s="86"/>
      <c r="G203" s="56"/>
    </row>
    <row r="204">
      <c r="E204" s="86"/>
      <c r="G204" s="56"/>
    </row>
    <row r="205">
      <c r="E205" s="86"/>
      <c r="G205" s="56"/>
    </row>
    <row r="206">
      <c r="E206" s="86"/>
      <c r="G206" s="56"/>
    </row>
    <row r="207">
      <c r="E207" s="86"/>
      <c r="G207" s="56"/>
    </row>
    <row r="208">
      <c r="E208" s="86"/>
      <c r="G208" s="56"/>
    </row>
    <row r="209">
      <c r="E209" s="86"/>
      <c r="G209" s="56"/>
    </row>
    <row r="210">
      <c r="E210" s="86"/>
      <c r="G210" s="56"/>
    </row>
    <row r="211">
      <c r="E211" s="86"/>
      <c r="G211" s="56"/>
    </row>
    <row r="212">
      <c r="E212" s="86"/>
      <c r="G212" s="56"/>
    </row>
    <row r="213">
      <c r="E213" s="86"/>
      <c r="G213" s="56"/>
    </row>
    <row r="214">
      <c r="E214" s="86"/>
      <c r="G214" s="56"/>
    </row>
    <row r="215">
      <c r="E215" s="86"/>
      <c r="G215" s="56"/>
    </row>
    <row r="216">
      <c r="E216" s="86"/>
      <c r="G216" s="56"/>
    </row>
    <row r="217">
      <c r="E217" s="86"/>
      <c r="G217" s="56"/>
    </row>
    <row r="218">
      <c r="E218" s="86"/>
      <c r="G218" s="56"/>
    </row>
    <row r="219">
      <c r="E219" s="86"/>
      <c r="G219" s="56"/>
    </row>
    <row r="220">
      <c r="E220" s="86"/>
      <c r="G220" s="56"/>
    </row>
    <row r="221">
      <c r="E221" s="86"/>
      <c r="G221" s="56"/>
    </row>
    <row r="222">
      <c r="E222" s="86"/>
      <c r="G222" s="56"/>
    </row>
    <row r="223">
      <c r="E223" s="86"/>
      <c r="G223" s="56"/>
    </row>
    <row r="224">
      <c r="E224" s="86"/>
      <c r="G224" s="56"/>
    </row>
    <row r="225">
      <c r="E225" s="86"/>
      <c r="G225" s="56"/>
    </row>
    <row r="226">
      <c r="E226" s="86"/>
      <c r="G226" s="56"/>
    </row>
    <row r="227">
      <c r="E227" s="86"/>
      <c r="G227" s="56"/>
    </row>
    <row r="228">
      <c r="E228" s="86"/>
      <c r="G228" s="56"/>
    </row>
    <row r="229">
      <c r="E229" s="86"/>
      <c r="G229" s="56"/>
    </row>
    <row r="230">
      <c r="E230" s="86"/>
      <c r="G230" s="56"/>
    </row>
    <row r="231">
      <c r="E231" s="86"/>
      <c r="G231" s="56"/>
    </row>
    <row r="232">
      <c r="E232" s="86"/>
      <c r="G232" s="56"/>
    </row>
    <row r="233">
      <c r="E233" s="86"/>
      <c r="G233" s="56"/>
    </row>
    <row r="234">
      <c r="E234" s="86"/>
      <c r="G234" s="56"/>
    </row>
    <row r="235">
      <c r="E235" s="86"/>
      <c r="G235" s="56"/>
    </row>
    <row r="236">
      <c r="E236" s="86"/>
      <c r="G236" s="56"/>
    </row>
    <row r="237">
      <c r="E237" s="86"/>
      <c r="G237" s="56"/>
    </row>
    <row r="238">
      <c r="E238" s="86"/>
      <c r="G238" s="56"/>
    </row>
    <row r="239">
      <c r="E239" s="86"/>
      <c r="G239" s="56"/>
    </row>
    <row r="240">
      <c r="E240" s="86"/>
      <c r="G240" s="56"/>
    </row>
    <row r="241">
      <c r="E241" s="86"/>
      <c r="G241" s="56"/>
    </row>
    <row r="242">
      <c r="E242" s="86"/>
      <c r="G242" s="56"/>
    </row>
    <row r="243">
      <c r="E243" s="86"/>
      <c r="G243" s="56"/>
    </row>
    <row r="244">
      <c r="E244" s="86"/>
      <c r="G244" s="56"/>
    </row>
    <row r="245">
      <c r="E245" s="86"/>
      <c r="G245" s="56"/>
    </row>
    <row r="246">
      <c r="E246" s="86"/>
      <c r="G246" s="56"/>
    </row>
    <row r="247">
      <c r="E247" s="86"/>
      <c r="G247" s="56"/>
    </row>
    <row r="248">
      <c r="E248" s="86"/>
      <c r="G248" s="56"/>
    </row>
    <row r="249">
      <c r="E249" s="86"/>
      <c r="G249" s="56"/>
    </row>
    <row r="250">
      <c r="E250" s="86"/>
      <c r="G250" s="56"/>
    </row>
    <row r="251">
      <c r="E251" s="86"/>
      <c r="G251" s="56"/>
    </row>
    <row r="252">
      <c r="E252" s="86"/>
      <c r="G252" s="56"/>
    </row>
    <row r="253">
      <c r="E253" s="86"/>
      <c r="G253" s="56"/>
    </row>
    <row r="254">
      <c r="E254" s="86"/>
      <c r="G254" s="56"/>
    </row>
    <row r="255">
      <c r="E255" s="86"/>
      <c r="G255" s="56"/>
    </row>
    <row r="256">
      <c r="E256" s="86"/>
      <c r="G256" s="56"/>
    </row>
    <row r="257">
      <c r="E257" s="86"/>
      <c r="G257" s="56"/>
    </row>
    <row r="258">
      <c r="E258" s="86"/>
      <c r="G258" s="56"/>
    </row>
    <row r="259">
      <c r="E259" s="86"/>
      <c r="G259" s="56"/>
    </row>
    <row r="260">
      <c r="E260" s="86"/>
      <c r="G260" s="56"/>
    </row>
    <row r="261">
      <c r="E261" s="86"/>
      <c r="G261" s="56"/>
    </row>
    <row r="262">
      <c r="E262" s="86"/>
      <c r="G262" s="56"/>
    </row>
    <row r="263">
      <c r="E263" s="86"/>
      <c r="G263" s="56"/>
    </row>
    <row r="264">
      <c r="E264" s="86"/>
      <c r="G264" s="56"/>
    </row>
    <row r="265">
      <c r="E265" s="86"/>
      <c r="G265" s="56"/>
    </row>
    <row r="266">
      <c r="E266" s="86"/>
      <c r="G266" s="56"/>
    </row>
    <row r="267">
      <c r="E267" s="86"/>
      <c r="G267" s="56"/>
    </row>
    <row r="268">
      <c r="E268" s="86"/>
      <c r="G268" s="56"/>
    </row>
    <row r="269">
      <c r="E269" s="86"/>
      <c r="G269" s="56"/>
    </row>
    <row r="270">
      <c r="E270" s="86"/>
      <c r="G270" s="56"/>
    </row>
    <row r="271">
      <c r="E271" s="86"/>
      <c r="G271" s="56"/>
    </row>
    <row r="272">
      <c r="E272" s="86"/>
      <c r="G272" s="56"/>
    </row>
    <row r="273">
      <c r="E273" s="86"/>
      <c r="G273" s="56"/>
    </row>
    <row r="274">
      <c r="E274" s="86"/>
      <c r="G274" s="56"/>
    </row>
    <row r="275">
      <c r="E275" s="86"/>
      <c r="G275" s="56"/>
    </row>
    <row r="276">
      <c r="E276" s="86"/>
      <c r="G276" s="56"/>
    </row>
    <row r="277">
      <c r="E277" s="86"/>
      <c r="G277" s="56"/>
    </row>
    <row r="278">
      <c r="E278" s="86"/>
      <c r="G278" s="56"/>
    </row>
    <row r="279">
      <c r="E279" s="86"/>
      <c r="G279" s="56"/>
    </row>
    <row r="280">
      <c r="E280" s="86"/>
      <c r="G280" s="56"/>
    </row>
    <row r="281">
      <c r="E281" s="86"/>
      <c r="G281" s="56"/>
    </row>
    <row r="282">
      <c r="E282" s="86"/>
      <c r="G282" s="56"/>
    </row>
    <row r="283">
      <c r="E283" s="86"/>
      <c r="G283" s="56"/>
    </row>
    <row r="284">
      <c r="E284" s="86"/>
      <c r="G284" s="56"/>
    </row>
    <row r="285">
      <c r="E285" s="86"/>
      <c r="G285" s="56"/>
    </row>
    <row r="286">
      <c r="E286" s="86"/>
      <c r="G286" s="56"/>
    </row>
    <row r="287">
      <c r="E287" s="86"/>
      <c r="G287" s="56"/>
    </row>
    <row r="288">
      <c r="E288" s="86"/>
      <c r="G288" s="56"/>
    </row>
    <row r="289">
      <c r="E289" s="86"/>
      <c r="G289" s="56"/>
    </row>
    <row r="290">
      <c r="E290" s="86"/>
      <c r="G290" s="56"/>
    </row>
    <row r="291">
      <c r="E291" s="86"/>
      <c r="G291" s="56"/>
    </row>
    <row r="292">
      <c r="E292" s="86"/>
      <c r="G292" s="56"/>
    </row>
    <row r="293">
      <c r="E293" s="86"/>
      <c r="G293" s="56"/>
    </row>
    <row r="294">
      <c r="E294" s="86"/>
      <c r="G294" s="56"/>
    </row>
    <row r="295">
      <c r="E295" s="86"/>
      <c r="G295" s="56"/>
    </row>
    <row r="296">
      <c r="E296" s="86"/>
      <c r="G296" s="56"/>
    </row>
    <row r="297">
      <c r="E297" s="86"/>
      <c r="G297" s="56"/>
    </row>
    <row r="298">
      <c r="E298" s="86"/>
      <c r="G298" s="56"/>
    </row>
    <row r="299">
      <c r="E299" s="86"/>
      <c r="G299" s="56"/>
    </row>
    <row r="300">
      <c r="E300" s="86"/>
      <c r="G300" s="56"/>
    </row>
    <row r="301">
      <c r="E301" s="86"/>
      <c r="G301" s="56"/>
    </row>
    <row r="302">
      <c r="E302" s="86"/>
      <c r="G302" s="56"/>
    </row>
    <row r="303">
      <c r="E303" s="86"/>
      <c r="G303" s="56"/>
    </row>
    <row r="304">
      <c r="E304" s="86"/>
      <c r="G304" s="56"/>
    </row>
    <row r="305">
      <c r="E305" s="86"/>
      <c r="G305" s="56"/>
    </row>
    <row r="306">
      <c r="E306" s="86"/>
      <c r="G306" s="56"/>
    </row>
    <row r="307">
      <c r="E307" s="86"/>
      <c r="G307" s="56"/>
    </row>
    <row r="308">
      <c r="E308" s="86"/>
      <c r="G308" s="56"/>
    </row>
    <row r="309">
      <c r="E309" s="86"/>
      <c r="G309" s="56"/>
    </row>
    <row r="310">
      <c r="E310" s="86"/>
      <c r="G310" s="56"/>
    </row>
    <row r="311">
      <c r="E311" s="86"/>
      <c r="G311" s="56"/>
    </row>
    <row r="312">
      <c r="E312" s="86"/>
      <c r="G312" s="56"/>
    </row>
    <row r="313">
      <c r="E313" s="86"/>
      <c r="G313" s="56"/>
    </row>
    <row r="314">
      <c r="E314" s="86"/>
      <c r="G314" s="56"/>
    </row>
    <row r="315">
      <c r="E315" s="86"/>
      <c r="G315" s="56"/>
    </row>
    <row r="316">
      <c r="E316" s="86"/>
      <c r="G316" s="56"/>
    </row>
    <row r="317">
      <c r="E317" s="86"/>
      <c r="G317" s="56"/>
    </row>
    <row r="318">
      <c r="E318" s="86"/>
      <c r="G318" s="56"/>
    </row>
    <row r="319">
      <c r="E319" s="86"/>
      <c r="G319" s="56"/>
    </row>
    <row r="320">
      <c r="E320" s="86"/>
      <c r="G320" s="56"/>
    </row>
    <row r="321">
      <c r="E321" s="86"/>
      <c r="G321" s="56"/>
    </row>
    <row r="322">
      <c r="E322" s="86"/>
      <c r="G322" s="56"/>
    </row>
    <row r="323">
      <c r="E323" s="86"/>
      <c r="G323" s="56"/>
    </row>
    <row r="324">
      <c r="E324" s="86"/>
      <c r="G324" s="56"/>
    </row>
    <row r="325">
      <c r="E325" s="86"/>
      <c r="G325" s="56"/>
    </row>
    <row r="326">
      <c r="E326" s="86"/>
      <c r="G326" s="56"/>
    </row>
    <row r="327">
      <c r="E327" s="86"/>
      <c r="G327" s="56"/>
    </row>
    <row r="328">
      <c r="E328" s="86"/>
      <c r="G328" s="56"/>
    </row>
    <row r="329">
      <c r="E329" s="86"/>
      <c r="G329" s="56"/>
    </row>
    <row r="330">
      <c r="E330" s="86"/>
      <c r="G330" s="56"/>
    </row>
    <row r="331">
      <c r="E331" s="86"/>
      <c r="G331" s="56"/>
    </row>
    <row r="332">
      <c r="E332" s="86"/>
      <c r="G332" s="56"/>
    </row>
    <row r="333">
      <c r="E333" s="86"/>
      <c r="G333" s="56"/>
    </row>
    <row r="334">
      <c r="E334" s="86"/>
      <c r="G334" s="56"/>
    </row>
    <row r="335">
      <c r="E335" s="86"/>
      <c r="G335" s="56"/>
    </row>
    <row r="336">
      <c r="E336" s="86"/>
      <c r="G336" s="56"/>
    </row>
    <row r="337">
      <c r="E337" s="86"/>
      <c r="G337" s="56"/>
    </row>
    <row r="338">
      <c r="E338" s="86"/>
      <c r="G338" s="56"/>
    </row>
    <row r="339">
      <c r="E339" s="86"/>
      <c r="G339" s="56"/>
    </row>
    <row r="340">
      <c r="E340" s="86"/>
      <c r="G340" s="56"/>
    </row>
    <row r="341">
      <c r="E341" s="86"/>
      <c r="G341" s="56"/>
    </row>
    <row r="342">
      <c r="E342" s="86"/>
      <c r="G342" s="56"/>
    </row>
    <row r="343">
      <c r="E343" s="86"/>
      <c r="G343" s="56"/>
    </row>
    <row r="344">
      <c r="E344" s="86"/>
      <c r="G344" s="56"/>
    </row>
    <row r="345">
      <c r="E345" s="86"/>
      <c r="G345" s="56"/>
    </row>
    <row r="346">
      <c r="E346" s="86"/>
      <c r="G346" s="56"/>
    </row>
    <row r="347">
      <c r="E347" s="86"/>
      <c r="G347" s="56"/>
    </row>
    <row r="348">
      <c r="E348" s="86"/>
      <c r="G348" s="56"/>
    </row>
    <row r="349">
      <c r="E349" s="86"/>
      <c r="G349" s="56"/>
    </row>
    <row r="350">
      <c r="E350" s="86"/>
      <c r="G350" s="56"/>
    </row>
    <row r="351">
      <c r="E351" s="86"/>
      <c r="G351" s="56"/>
    </row>
    <row r="352">
      <c r="E352" s="86"/>
      <c r="G352" s="56"/>
    </row>
    <row r="353">
      <c r="E353" s="86"/>
      <c r="G353" s="56"/>
    </row>
    <row r="354">
      <c r="E354" s="86"/>
      <c r="G354" s="56"/>
    </row>
    <row r="355">
      <c r="E355" s="86"/>
      <c r="G355" s="56"/>
    </row>
    <row r="356">
      <c r="E356" s="86"/>
      <c r="G356" s="56"/>
    </row>
    <row r="357">
      <c r="E357" s="86"/>
      <c r="G357" s="56"/>
    </row>
    <row r="358">
      <c r="E358" s="86"/>
      <c r="G358" s="56"/>
    </row>
    <row r="359">
      <c r="E359" s="86"/>
      <c r="G359" s="56"/>
    </row>
    <row r="360">
      <c r="E360" s="86"/>
      <c r="G360" s="56"/>
    </row>
    <row r="361">
      <c r="E361" s="86"/>
      <c r="G361" s="56"/>
    </row>
    <row r="362">
      <c r="E362" s="86"/>
      <c r="G362" s="56"/>
    </row>
    <row r="363">
      <c r="E363" s="86"/>
      <c r="G363" s="56"/>
    </row>
    <row r="364">
      <c r="E364" s="86"/>
      <c r="G364" s="56"/>
    </row>
    <row r="365">
      <c r="E365" s="86"/>
      <c r="G365" s="56"/>
    </row>
    <row r="366">
      <c r="E366" s="86"/>
      <c r="G366" s="56"/>
    </row>
    <row r="367">
      <c r="E367" s="86"/>
      <c r="G367" s="56"/>
    </row>
    <row r="368">
      <c r="E368" s="86"/>
      <c r="G368" s="56"/>
    </row>
    <row r="369">
      <c r="E369" s="86"/>
      <c r="G369" s="56"/>
    </row>
    <row r="370">
      <c r="E370" s="86"/>
      <c r="G370" s="56"/>
    </row>
    <row r="371">
      <c r="E371" s="86"/>
      <c r="G371" s="56"/>
    </row>
    <row r="372">
      <c r="E372" s="86"/>
      <c r="G372" s="56"/>
    </row>
    <row r="373">
      <c r="E373" s="86"/>
      <c r="G373" s="56"/>
    </row>
    <row r="374">
      <c r="E374" s="86"/>
      <c r="G374" s="56"/>
    </row>
    <row r="375">
      <c r="E375" s="86"/>
      <c r="G375" s="56"/>
    </row>
    <row r="376">
      <c r="E376" s="86"/>
      <c r="G376" s="56"/>
    </row>
    <row r="377">
      <c r="E377" s="86"/>
      <c r="G377" s="56"/>
    </row>
    <row r="378">
      <c r="E378" s="86"/>
      <c r="G378" s="56"/>
    </row>
    <row r="379">
      <c r="E379" s="86"/>
      <c r="G379" s="56"/>
    </row>
    <row r="380">
      <c r="E380" s="86"/>
      <c r="G380" s="56"/>
    </row>
    <row r="381">
      <c r="E381" s="86"/>
      <c r="G381" s="56"/>
    </row>
    <row r="382">
      <c r="E382" s="86"/>
      <c r="G382" s="56"/>
    </row>
    <row r="383">
      <c r="E383" s="86"/>
      <c r="G383" s="56"/>
    </row>
    <row r="384">
      <c r="E384" s="86"/>
      <c r="G384" s="56"/>
    </row>
    <row r="385">
      <c r="E385" s="86"/>
      <c r="G385" s="56"/>
    </row>
    <row r="386">
      <c r="E386" s="86"/>
      <c r="G386" s="56"/>
    </row>
    <row r="387">
      <c r="E387" s="86"/>
      <c r="G387" s="56"/>
    </row>
    <row r="388">
      <c r="E388" s="86"/>
      <c r="G388" s="56"/>
    </row>
    <row r="389">
      <c r="E389" s="86"/>
      <c r="G389" s="56"/>
    </row>
    <row r="390">
      <c r="E390" s="86"/>
      <c r="G390" s="56"/>
    </row>
    <row r="391">
      <c r="E391" s="86"/>
      <c r="G391" s="56"/>
    </row>
    <row r="392">
      <c r="E392" s="86"/>
      <c r="G392" s="56"/>
    </row>
    <row r="393">
      <c r="E393" s="86"/>
      <c r="G393" s="56"/>
    </row>
    <row r="394">
      <c r="E394" s="86"/>
      <c r="G394" s="56"/>
    </row>
    <row r="395">
      <c r="E395" s="86"/>
      <c r="G395" s="56"/>
    </row>
    <row r="396">
      <c r="E396" s="86"/>
      <c r="G396" s="56"/>
    </row>
    <row r="397">
      <c r="E397" s="86"/>
      <c r="G397" s="56"/>
    </row>
    <row r="398">
      <c r="E398" s="86"/>
      <c r="G398" s="56"/>
    </row>
    <row r="399">
      <c r="E399" s="86"/>
      <c r="G399" s="56"/>
    </row>
    <row r="400">
      <c r="E400" s="86"/>
      <c r="G400" s="56"/>
    </row>
    <row r="401">
      <c r="E401" s="86"/>
      <c r="G401" s="56"/>
    </row>
    <row r="402">
      <c r="E402" s="86"/>
      <c r="G402" s="56"/>
    </row>
    <row r="403">
      <c r="E403" s="86"/>
      <c r="G403" s="56"/>
    </row>
    <row r="404">
      <c r="E404" s="86"/>
      <c r="G404" s="56"/>
    </row>
    <row r="405">
      <c r="E405" s="86"/>
      <c r="G405" s="56"/>
    </row>
    <row r="406">
      <c r="E406" s="86"/>
      <c r="G406" s="56"/>
    </row>
    <row r="407">
      <c r="E407" s="86"/>
      <c r="G407" s="56"/>
    </row>
    <row r="408">
      <c r="E408" s="86"/>
      <c r="G408" s="56"/>
    </row>
    <row r="409">
      <c r="E409" s="86"/>
      <c r="G409" s="56"/>
    </row>
    <row r="410">
      <c r="E410" s="86"/>
      <c r="G410" s="56"/>
    </row>
    <row r="411">
      <c r="E411" s="86"/>
      <c r="G411" s="56"/>
    </row>
    <row r="412">
      <c r="E412" s="86"/>
      <c r="G412" s="56"/>
    </row>
    <row r="413">
      <c r="E413" s="86"/>
      <c r="G413" s="56"/>
    </row>
    <row r="414">
      <c r="E414" s="86"/>
      <c r="G414" s="56"/>
    </row>
    <row r="415">
      <c r="E415" s="86"/>
      <c r="G415" s="56"/>
    </row>
    <row r="416">
      <c r="E416" s="86"/>
      <c r="G416" s="56"/>
    </row>
    <row r="417">
      <c r="E417" s="86"/>
      <c r="G417" s="56"/>
    </row>
    <row r="418">
      <c r="E418" s="86"/>
      <c r="G418" s="56"/>
    </row>
    <row r="419">
      <c r="E419" s="86"/>
      <c r="G419" s="56"/>
    </row>
    <row r="420">
      <c r="E420" s="86"/>
      <c r="G420" s="56"/>
    </row>
    <row r="421">
      <c r="E421" s="86"/>
      <c r="G421" s="56"/>
    </row>
    <row r="422">
      <c r="E422" s="86"/>
      <c r="G422" s="56"/>
    </row>
    <row r="423">
      <c r="E423" s="86"/>
      <c r="G423" s="56"/>
    </row>
    <row r="424">
      <c r="E424" s="86"/>
      <c r="G424" s="56"/>
    </row>
    <row r="425">
      <c r="E425" s="86"/>
      <c r="G425" s="56"/>
    </row>
    <row r="426">
      <c r="E426" s="86"/>
      <c r="G426" s="56"/>
    </row>
    <row r="427">
      <c r="E427" s="86"/>
      <c r="G427" s="56"/>
    </row>
    <row r="428">
      <c r="E428" s="86"/>
      <c r="G428" s="56"/>
    </row>
    <row r="429">
      <c r="E429" s="86"/>
      <c r="G429" s="56"/>
    </row>
    <row r="430">
      <c r="E430" s="86"/>
      <c r="G430" s="56"/>
    </row>
    <row r="431">
      <c r="E431" s="86"/>
      <c r="G431" s="56"/>
    </row>
    <row r="432">
      <c r="E432" s="86"/>
      <c r="G432" s="56"/>
    </row>
    <row r="433">
      <c r="E433" s="86"/>
      <c r="G433" s="56"/>
    </row>
    <row r="434">
      <c r="E434" s="86"/>
      <c r="G434" s="56"/>
    </row>
    <row r="435">
      <c r="E435" s="86"/>
      <c r="G435" s="56"/>
    </row>
    <row r="436">
      <c r="E436" s="86"/>
      <c r="G436" s="56"/>
    </row>
    <row r="437">
      <c r="E437" s="86"/>
      <c r="G437" s="56"/>
    </row>
    <row r="438">
      <c r="E438" s="86"/>
      <c r="G438" s="56"/>
    </row>
    <row r="439">
      <c r="E439" s="86"/>
      <c r="G439" s="56"/>
    </row>
    <row r="440">
      <c r="E440" s="86"/>
      <c r="G440" s="56"/>
    </row>
    <row r="441">
      <c r="E441" s="86"/>
      <c r="G441" s="56"/>
    </row>
    <row r="442">
      <c r="E442" s="86"/>
      <c r="G442" s="56"/>
    </row>
    <row r="443">
      <c r="E443" s="86"/>
      <c r="G443" s="56"/>
    </row>
    <row r="444">
      <c r="E444" s="86"/>
      <c r="G444" s="56"/>
    </row>
    <row r="445">
      <c r="E445" s="86"/>
      <c r="G445" s="56"/>
    </row>
    <row r="446">
      <c r="E446" s="86"/>
      <c r="G446" s="56"/>
    </row>
    <row r="447">
      <c r="E447" s="86"/>
      <c r="G447" s="56"/>
    </row>
    <row r="448">
      <c r="E448" s="86"/>
      <c r="G448" s="56"/>
    </row>
    <row r="449">
      <c r="E449" s="86"/>
      <c r="G449" s="56"/>
    </row>
    <row r="450">
      <c r="E450" s="86"/>
      <c r="G450" s="56"/>
    </row>
    <row r="451">
      <c r="E451" s="86"/>
      <c r="G451" s="56"/>
    </row>
    <row r="452">
      <c r="E452" s="86"/>
      <c r="G452" s="56"/>
    </row>
    <row r="453">
      <c r="E453" s="86"/>
      <c r="G453" s="56"/>
    </row>
    <row r="454">
      <c r="E454" s="86"/>
      <c r="G454" s="56"/>
    </row>
    <row r="455">
      <c r="E455" s="86"/>
      <c r="G455" s="56"/>
    </row>
    <row r="456">
      <c r="E456" s="86"/>
      <c r="G456" s="56"/>
    </row>
    <row r="457">
      <c r="E457" s="86"/>
      <c r="G457" s="56"/>
    </row>
    <row r="458">
      <c r="E458" s="86"/>
      <c r="G458" s="56"/>
    </row>
    <row r="459">
      <c r="E459" s="86"/>
      <c r="G459" s="56"/>
    </row>
    <row r="460">
      <c r="E460" s="86"/>
      <c r="G460" s="56"/>
    </row>
    <row r="461">
      <c r="E461" s="86"/>
      <c r="G461" s="56"/>
    </row>
    <row r="462">
      <c r="E462" s="86"/>
      <c r="G462" s="56"/>
    </row>
    <row r="463">
      <c r="E463" s="86"/>
      <c r="G463" s="56"/>
    </row>
    <row r="464">
      <c r="E464" s="86"/>
      <c r="G464" s="56"/>
    </row>
    <row r="465">
      <c r="E465" s="86"/>
      <c r="G465" s="56"/>
    </row>
    <row r="466">
      <c r="E466" s="86"/>
      <c r="G466" s="56"/>
    </row>
    <row r="467">
      <c r="E467" s="86"/>
      <c r="G467" s="56"/>
    </row>
    <row r="468">
      <c r="E468" s="86"/>
      <c r="G468" s="56"/>
    </row>
    <row r="469">
      <c r="E469" s="86"/>
      <c r="G469" s="56"/>
    </row>
    <row r="470">
      <c r="E470" s="86"/>
      <c r="G470" s="56"/>
    </row>
    <row r="471">
      <c r="E471" s="86"/>
      <c r="G471" s="56"/>
    </row>
    <row r="472">
      <c r="E472" s="86"/>
      <c r="G472" s="56"/>
    </row>
    <row r="473">
      <c r="E473" s="86"/>
      <c r="G473" s="56"/>
    </row>
    <row r="474">
      <c r="E474" s="86"/>
      <c r="G474" s="56"/>
    </row>
    <row r="475">
      <c r="E475" s="86"/>
      <c r="G475" s="56"/>
    </row>
    <row r="476">
      <c r="E476" s="86"/>
      <c r="G476" s="56"/>
    </row>
    <row r="477">
      <c r="E477" s="86"/>
      <c r="G477" s="56"/>
    </row>
    <row r="478">
      <c r="E478" s="86"/>
      <c r="G478" s="56"/>
    </row>
    <row r="479">
      <c r="E479" s="86"/>
      <c r="G479" s="56"/>
    </row>
    <row r="480">
      <c r="E480" s="86"/>
      <c r="G480" s="56"/>
    </row>
    <row r="481">
      <c r="E481" s="86"/>
      <c r="G481" s="56"/>
    </row>
    <row r="482">
      <c r="E482" s="86"/>
      <c r="G482" s="56"/>
    </row>
    <row r="483">
      <c r="E483" s="86"/>
      <c r="G483" s="56"/>
    </row>
    <row r="484">
      <c r="E484" s="86"/>
      <c r="G484" s="56"/>
    </row>
    <row r="485">
      <c r="E485" s="86"/>
      <c r="G485" s="56"/>
    </row>
    <row r="486">
      <c r="E486" s="86"/>
      <c r="G486" s="56"/>
    </row>
    <row r="487">
      <c r="E487" s="86"/>
      <c r="G487" s="56"/>
    </row>
    <row r="488">
      <c r="E488" s="86"/>
      <c r="G488" s="56"/>
    </row>
    <row r="489">
      <c r="E489" s="86"/>
      <c r="G489" s="56"/>
    </row>
    <row r="490">
      <c r="E490" s="86"/>
      <c r="G490" s="56"/>
    </row>
    <row r="491">
      <c r="E491" s="86"/>
      <c r="G491" s="56"/>
    </row>
    <row r="492">
      <c r="E492" s="86"/>
      <c r="G492" s="56"/>
    </row>
    <row r="493">
      <c r="E493" s="86"/>
      <c r="G493" s="56"/>
    </row>
    <row r="494">
      <c r="E494" s="86"/>
      <c r="G494" s="56"/>
    </row>
    <row r="495">
      <c r="E495" s="86"/>
      <c r="G495" s="56"/>
    </row>
    <row r="496">
      <c r="E496" s="86"/>
      <c r="G496" s="56"/>
    </row>
    <row r="497">
      <c r="E497" s="86"/>
      <c r="G497" s="56"/>
    </row>
    <row r="498">
      <c r="E498" s="86"/>
      <c r="G498" s="56"/>
    </row>
    <row r="499">
      <c r="E499" s="86"/>
      <c r="G499" s="56"/>
    </row>
    <row r="500">
      <c r="E500" s="86"/>
      <c r="G500" s="56"/>
    </row>
    <row r="501">
      <c r="E501" s="86"/>
      <c r="G501" s="56"/>
    </row>
    <row r="502">
      <c r="E502" s="86"/>
      <c r="G502" s="56"/>
    </row>
    <row r="503">
      <c r="E503" s="86"/>
      <c r="G503" s="56"/>
    </row>
    <row r="504">
      <c r="E504" s="86"/>
      <c r="G504" s="56"/>
    </row>
    <row r="505">
      <c r="E505" s="86"/>
      <c r="G505" s="56"/>
    </row>
    <row r="506">
      <c r="E506" s="86"/>
      <c r="G506" s="56"/>
    </row>
    <row r="507">
      <c r="E507" s="86"/>
      <c r="G507" s="56"/>
    </row>
    <row r="508">
      <c r="E508" s="86"/>
      <c r="G508" s="56"/>
    </row>
    <row r="509">
      <c r="E509" s="86"/>
      <c r="G509" s="56"/>
    </row>
    <row r="510">
      <c r="E510" s="86"/>
      <c r="G510" s="56"/>
    </row>
    <row r="511">
      <c r="E511" s="86"/>
      <c r="G511" s="56"/>
    </row>
    <row r="512">
      <c r="E512" s="86"/>
      <c r="G512" s="56"/>
    </row>
    <row r="513">
      <c r="E513" s="86"/>
      <c r="G513" s="56"/>
    </row>
    <row r="514">
      <c r="E514" s="86"/>
      <c r="G514" s="56"/>
    </row>
    <row r="515">
      <c r="E515" s="86"/>
      <c r="G515" s="56"/>
    </row>
    <row r="516">
      <c r="E516" s="86"/>
      <c r="G516" s="56"/>
    </row>
    <row r="517">
      <c r="E517" s="86"/>
      <c r="G517" s="56"/>
    </row>
    <row r="518">
      <c r="E518" s="86"/>
      <c r="G518" s="56"/>
    </row>
    <row r="519">
      <c r="E519" s="86"/>
      <c r="G519" s="56"/>
    </row>
    <row r="520">
      <c r="E520" s="86"/>
      <c r="G520" s="56"/>
    </row>
    <row r="521">
      <c r="E521" s="86"/>
      <c r="G521" s="56"/>
    </row>
    <row r="522">
      <c r="E522" s="86"/>
      <c r="G522" s="56"/>
    </row>
    <row r="523">
      <c r="E523" s="86"/>
      <c r="G523" s="56"/>
    </row>
    <row r="524">
      <c r="E524" s="86"/>
      <c r="G524" s="56"/>
    </row>
    <row r="525">
      <c r="E525" s="86"/>
      <c r="G525" s="56"/>
    </row>
    <row r="526">
      <c r="E526" s="86"/>
      <c r="G526" s="56"/>
    </row>
    <row r="527">
      <c r="E527" s="86"/>
      <c r="G527" s="56"/>
    </row>
    <row r="528">
      <c r="E528" s="86"/>
      <c r="G528" s="56"/>
    </row>
    <row r="529">
      <c r="E529" s="86"/>
      <c r="G529" s="56"/>
    </row>
    <row r="530">
      <c r="E530" s="86"/>
      <c r="G530" s="56"/>
    </row>
    <row r="531">
      <c r="E531" s="86"/>
      <c r="G531" s="56"/>
    </row>
    <row r="532">
      <c r="E532" s="86"/>
      <c r="G532" s="56"/>
    </row>
    <row r="533">
      <c r="E533" s="86"/>
      <c r="G533" s="56"/>
    </row>
    <row r="534">
      <c r="E534" s="86"/>
      <c r="G534" s="56"/>
    </row>
    <row r="535">
      <c r="E535" s="86"/>
      <c r="G535" s="56"/>
    </row>
    <row r="536">
      <c r="E536" s="86"/>
      <c r="G536" s="56"/>
    </row>
    <row r="537">
      <c r="E537" s="86"/>
      <c r="G537" s="56"/>
    </row>
    <row r="538">
      <c r="E538" s="86"/>
      <c r="G538" s="56"/>
    </row>
    <row r="539">
      <c r="E539" s="86"/>
      <c r="G539" s="56"/>
    </row>
    <row r="540">
      <c r="E540" s="86"/>
      <c r="G540" s="56"/>
    </row>
    <row r="541">
      <c r="E541" s="86"/>
      <c r="G541" s="56"/>
    </row>
    <row r="542">
      <c r="E542" s="86"/>
      <c r="G542" s="56"/>
    </row>
    <row r="543">
      <c r="E543" s="86"/>
      <c r="G543" s="56"/>
    </row>
    <row r="544">
      <c r="E544" s="86"/>
      <c r="G544" s="56"/>
    </row>
    <row r="545">
      <c r="E545" s="86"/>
      <c r="G545" s="56"/>
    </row>
    <row r="546">
      <c r="E546" s="86"/>
      <c r="G546" s="56"/>
    </row>
    <row r="547">
      <c r="E547" s="86"/>
      <c r="G547" s="56"/>
    </row>
    <row r="548">
      <c r="E548" s="86"/>
      <c r="G548" s="56"/>
    </row>
    <row r="549">
      <c r="E549" s="86"/>
      <c r="G549" s="56"/>
    </row>
    <row r="550">
      <c r="E550" s="86"/>
      <c r="G550" s="56"/>
    </row>
    <row r="551">
      <c r="E551" s="86"/>
      <c r="G551" s="56"/>
    </row>
    <row r="552">
      <c r="E552" s="86"/>
      <c r="G552" s="56"/>
    </row>
    <row r="553">
      <c r="E553" s="86"/>
      <c r="G553" s="56"/>
    </row>
    <row r="554">
      <c r="E554" s="86"/>
      <c r="G554" s="56"/>
    </row>
    <row r="555">
      <c r="E555" s="86"/>
      <c r="G555" s="56"/>
    </row>
    <row r="556">
      <c r="E556" s="86"/>
      <c r="G556" s="56"/>
    </row>
    <row r="557">
      <c r="E557" s="86"/>
      <c r="G557" s="56"/>
    </row>
    <row r="558">
      <c r="E558" s="86"/>
      <c r="G558" s="56"/>
    </row>
    <row r="559">
      <c r="E559" s="86"/>
      <c r="G559" s="56"/>
    </row>
    <row r="560">
      <c r="E560" s="86"/>
      <c r="G560" s="56"/>
    </row>
    <row r="561">
      <c r="E561" s="86"/>
      <c r="G561" s="56"/>
    </row>
    <row r="562">
      <c r="E562" s="86"/>
      <c r="G562" s="56"/>
    </row>
    <row r="563">
      <c r="E563" s="86"/>
      <c r="G563" s="56"/>
    </row>
    <row r="564">
      <c r="E564" s="86"/>
      <c r="G564" s="56"/>
    </row>
    <row r="565">
      <c r="E565" s="86"/>
      <c r="G565" s="56"/>
    </row>
    <row r="566">
      <c r="E566" s="86"/>
      <c r="G566" s="56"/>
    </row>
    <row r="567">
      <c r="E567" s="86"/>
      <c r="G567" s="56"/>
    </row>
    <row r="568">
      <c r="E568" s="86"/>
      <c r="G568" s="56"/>
    </row>
    <row r="569">
      <c r="E569" s="86"/>
      <c r="G569" s="56"/>
    </row>
    <row r="570">
      <c r="E570" s="86"/>
      <c r="G570" s="56"/>
    </row>
    <row r="571">
      <c r="E571" s="86"/>
      <c r="G571" s="56"/>
    </row>
    <row r="572">
      <c r="E572" s="86"/>
      <c r="G572" s="56"/>
    </row>
    <row r="573">
      <c r="E573" s="86"/>
      <c r="G573" s="56"/>
    </row>
    <row r="574">
      <c r="E574" s="86"/>
      <c r="G574" s="56"/>
    </row>
    <row r="575">
      <c r="E575" s="86"/>
      <c r="G575" s="56"/>
    </row>
    <row r="576">
      <c r="E576" s="86"/>
      <c r="G576" s="56"/>
    </row>
    <row r="577">
      <c r="E577" s="86"/>
      <c r="G577" s="56"/>
    </row>
    <row r="578">
      <c r="E578" s="86"/>
      <c r="G578" s="56"/>
    </row>
    <row r="579">
      <c r="E579" s="86"/>
      <c r="G579" s="56"/>
    </row>
    <row r="580">
      <c r="E580" s="86"/>
      <c r="G580" s="56"/>
    </row>
    <row r="581">
      <c r="E581" s="86"/>
      <c r="G581" s="56"/>
    </row>
    <row r="582">
      <c r="E582" s="86"/>
      <c r="G582" s="56"/>
    </row>
    <row r="583">
      <c r="E583" s="86"/>
      <c r="G583" s="56"/>
    </row>
    <row r="584">
      <c r="E584" s="86"/>
      <c r="G584" s="56"/>
    </row>
    <row r="585">
      <c r="E585" s="86"/>
      <c r="G585" s="56"/>
    </row>
    <row r="586">
      <c r="E586" s="86"/>
      <c r="G586" s="56"/>
    </row>
    <row r="587">
      <c r="E587" s="86"/>
      <c r="G587" s="56"/>
    </row>
    <row r="588">
      <c r="E588" s="86"/>
      <c r="G588" s="56"/>
    </row>
    <row r="589">
      <c r="E589" s="86"/>
      <c r="G589" s="56"/>
    </row>
    <row r="590">
      <c r="E590" s="86"/>
      <c r="G590" s="56"/>
    </row>
    <row r="591">
      <c r="E591" s="86"/>
      <c r="G591" s="56"/>
    </row>
    <row r="592">
      <c r="E592" s="86"/>
      <c r="G592" s="56"/>
    </row>
    <row r="593">
      <c r="E593" s="86"/>
      <c r="G593" s="56"/>
    </row>
    <row r="594">
      <c r="E594" s="86"/>
      <c r="G594" s="56"/>
    </row>
    <row r="595">
      <c r="E595" s="86"/>
      <c r="G595" s="56"/>
    </row>
    <row r="596">
      <c r="E596" s="86"/>
      <c r="G596" s="56"/>
    </row>
    <row r="597">
      <c r="E597" s="86"/>
      <c r="G597" s="56"/>
    </row>
    <row r="598">
      <c r="E598" s="86"/>
      <c r="G598" s="56"/>
    </row>
    <row r="599">
      <c r="E599" s="86"/>
      <c r="G599" s="56"/>
    </row>
    <row r="600">
      <c r="E600" s="86"/>
      <c r="G600" s="56"/>
    </row>
    <row r="601">
      <c r="E601" s="86"/>
      <c r="G601" s="56"/>
    </row>
    <row r="602">
      <c r="E602" s="86"/>
      <c r="G602" s="56"/>
    </row>
    <row r="603">
      <c r="E603" s="86"/>
      <c r="G603" s="56"/>
    </row>
    <row r="604">
      <c r="E604" s="86"/>
      <c r="G604" s="56"/>
    </row>
    <row r="605">
      <c r="E605" s="86"/>
      <c r="G605" s="56"/>
    </row>
    <row r="606">
      <c r="E606" s="86"/>
      <c r="G606" s="56"/>
    </row>
    <row r="607">
      <c r="E607" s="86"/>
      <c r="G607" s="56"/>
    </row>
    <row r="608">
      <c r="E608" s="86"/>
      <c r="G608" s="56"/>
    </row>
    <row r="609">
      <c r="E609" s="86"/>
      <c r="G609" s="56"/>
    </row>
    <row r="610">
      <c r="E610" s="86"/>
      <c r="G610" s="56"/>
    </row>
    <row r="611">
      <c r="E611" s="86"/>
      <c r="G611" s="56"/>
    </row>
    <row r="612">
      <c r="E612" s="86"/>
      <c r="G612" s="56"/>
    </row>
    <row r="613">
      <c r="E613" s="86"/>
      <c r="G613" s="56"/>
    </row>
    <row r="614">
      <c r="E614" s="86"/>
      <c r="G614" s="56"/>
    </row>
    <row r="615">
      <c r="E615" s="86"/>
      <c r="G615" s="56"/>
    </row>
    <row r="616">
      <c r="E616" s="86"/>
      <c r="G616" s="56"/>
    </row>
    <row r="617">
      <c r="E617" s="86"/>
      <c r="G617" s="56"/>
    </row>
    <row r="618">
      <c r="E618" s="86"/>
      <c r="G618" s="56"/>
    </row>
    <row r="619">
      <c r="E619" s="86"/>
      <c r="G619" s="56"/>
    </row>
    <row r="620">
      <c r="E620" s="86"/>
      <c r="G620" s="56"/>
    </row>
    <row r="621">
      <c r="E621" s="86"/>
      <c r="G621" s="56"/>
    </row>
    <row r="622">
      <c r="E622" s="86"/>
      <c r="G622" s="56"/>
    </row>
    <row r="623">
      <c r="E623" s="86"/>
      <c r="G623" s="56"/>
    </row>
    <row r="624">
      <c r="E624" s="86"/>
      <c r="G624" s="56"/>
    </row>
    <row r="625">
      <c r="E625" s="86"/>
      <c r="G625" s="56"/>
    </row>
    <row r="626">
      <c r="E626" s="86"/>
      <c r="G626" s="56"/>
    </row>
    <row r="627">
      <c r="E627" s="86"/>
      <c r="G627" s="56"/>
    </row>
    <row r="628">
      <c r="E628" s="86"/>
      <c r="G628" s="56"/>
    </row>
    <row r="629">
      <c r="E629" s="86"/>
      <c r="G629" s="56"/>
    </row>
    <row r="630">
      <c r="E630" s="86"/>
      <c r="G630" s="56"/>
    </row>
    <row r="631">
      <c r="E631" s="86"/>
      <c r="G631" s="56"/>
    </row>
    <row r="632">
      <c r="E632" s="86"/>
      <c r="G632" s="56"/>
    </row>
    <row r="633">
      <c r="E633" s="86"/>
      <c r="G633" s="56"/>
    </row>
    <row r="634">
      <c r="E634" s="86"/>
      <c r="G634" s="56"/>
    </row>
    <row r="635">
      <c r="E635" s="86"/>
      <c r="G635" s="56"/>
    </row>
    <row r="636">
      <c r="E636" s="86"/>
      <c r="G636" s="56"/>
    </row>
    <row r="637">
      <c r="E637" s="86"/>
      <c r="G637" s="56"/>
    </row>
    <row r="638">
      <c r="E638" s="86"/>
      <c r="G638" s="56"/>
    </row>
    <row r="639">
      <c r="E639" s="86"/>
      <c r="G639" s="56"/>
    </row>
    <row r="640">
      <c r="E640" s="86"/>
      <c r="G640" s="56"/>
    </row>
    <row r="641">
      <c r="E641" s="86"/>
      <c r="G641" s="56"/>
    </row>
    <row r="642">
      <c r="E642" s="86"/>
      <c r="G642" s="56"/>
    </row>
    <row r="643">
      <c r="E643" s="86"/>
      <c r="G643" s="56"/>
    </row>
    <row r="644">
      <c r="E644" s="86"/>
      <c r="G644" s="56"/>
    </row>
    <row r="645">
      <c r="E645" s="86"/>
      <c r="G645" s="56"/>
    </row>
    <row r="646">
      <c r="E646" s="86"/>
      <c r="G646" s="56"/>
    </row>
    <row r="647">
      <c r="E647" s="86"/>
      <c r="G647" s="56"/>
    </row>
    <row r="648">
      <c r="E648" s="86"/>
      <c r="G648" s="56"/>
    </row>
    <row r="649">
      <c r="E649" s="86"/>
      <c r="G649" s="56"/>
    </row>
    <row r="650">
      <c r="E650" s="86"/>
      <c r="G650" s="56"/>
    </row>
    <row r="651">
      <c r="E651" s="86"/>
      <c r="G651" s="56"/>
    </row>
    <row r="652">
      <c r="E652" s="86"/>
      <c r="G652" s="56"/>
    </row>
    <row r="653">
      <c r="E653" s="86"/>
      <c r="G653" s="56"/>
    </row>
    <row r="654">
      <c r="E654" s="86"/>
      <c r="G654" s="56"/>
    </row>
    <row r="655">
      <c r="E655" s="86"/>
      <c r="G655" s="56"/>
    </row>
    <row r="656">
      <c r="E656" s="86"/>
      <c r="G656" s="56"/>
    </row>
    <row r="657">
      <c r="E657" s="86"/>
      <c r="G657" s="56"/>
    </row>
    <row r="658">
      <c r="E658" s="86"/>
      <c r="G658" s="56"/>
    </row>
    <row r="659">
      <c r="E659" s="86"/>
      <c r="G659" s="56"/>
    </row>
    <row r="660">
      <c r="E660" s="86"/>
      <c r="G660" s="56"/>
    </row>
    <row r="661">
      <c r="E661" s="86"/>
      <c r="G661" s="56"/>
    </row>
    <row r="662">
      <c r="E662" s="86"/>
      <c r="G662" s="56"/>
    </row>
    <row r="663">
      <c r="E663" s="86"/>
      <c r="G663" s="56"/>
    </row>
    <row r="664">
      <c r="E664" s="86"/>
      <c r="G664" s="56"/>
    </row>
    <row r="665">
      <c r="E665" s="86"/>
      <c r="G665" s="56"/>
    </row>
    <row r="666">
      <c r="E666" s="86"/>
      <c r="G666" s="56"/>
    </row>
    <row r="667">
      <c r="E667" s="86"/>
      <c r="G667" s="56"/>
    </row>
    <row r="668">
      <c r="E668" s="86"/>
      <c r="G668" s="56"/>
    </row>
    <row r="669">
      <c r="E669" s="86"/>
      <c r="G669" s="56"/>
    </row>
    <row r="670">
      <c r="E670" s="86"/>
      <c r="G670" s="56"/>
    </row>
    <row r="671">
      <c r="E671" s="86"/>
      <c r="G671" s="56"/>
    </row>
    <row r="672">
      <c r="E672" s="86"/>
      <c r="G672" s="56"/>
    </row>
    <row r="673">
      <c r="E673" s="86"/>
      <c r="G673" s="56"/>
    </row>
    <row r="674">
      <c r="E674" s="86"/>
      <c r="G674" s="56"/>
    </row>
    <row r="675">
      <c r="E675" s="86"/>
      <c r="G675" s="56"/>
    </row>
    <row r="676">
      <c r="E676" s="86"/>
      <c r="G676" s="56"/>
    </row>
    <row r="677">
      <c r="E677" s="86"/>
      <c r="G677" s="56"/>
    </row>
    <row r="678">
      <c r="E678" s="86"/>
      <c r="G678" s="56"/>
    </row>
    <row r="679">
      <c r="E679" s="86"/>
      <c r="G679" s="56"/>
    </row>
    <row r="680">
      <c r="E680" s="86"/>
      <c r="G680" s="56"/>
    </row>
    <row r="681">
      <c r="E681" s="86"/>
      <c r="G681" s="56"/>
    </row>
    <row r="682">
      <c r="E682" s="86"/>
      <c r="G682" s="56"/>
    </row>
    <row r="683">
      <c r="E683" s="86"/>
      <c r="G683" s="56"/>
    </row>
    <row r="684">
      <c r="E684" s="86"/>
      <c r="G684" s="56"/>
    </row>
    <row r="685">
      <c r="E685" s="86"/>
      <c r="G685" s="56"/>
    </row>
    <row r="686">
      <c r="E686" s="86"/>
      <c r="G686" s="56"/>
    </row>
    <row r="687">
      <c r="E687" s="86"/>
      <c r="G687" s="56"/>
    </row>
    <row r="688">
      <c r="E688" s="86"/>
      <c r="G688" s="56"/>
    </row>
    <row r="689">
      <c r="E689" s="86"/>
      <c r="G689" s="56"/>
    </row>
    <row r="690">
      <c r="E690" s="86"/>
      <c r="G690" s="56"/>
    </row>
    <row r="691">
      <c r="E691" s="86"/>
      <c r="G691" s="56"/>
    </row>
    <row r="692">
      <c r="E692" s="86"/>
      <c r="G692" s="56"/>
    </row>
    <row r="693">
      <c r="E693" s="86"/>
      <c r="G693" s="56"/>
    </row>
    <row r="694">
      <c r="E694" s="86"/>
      <c r="G694" s="56"/>
    </row>
    <row r="695">
      <c r="E695" s="86"/>
      <c r="G695" s="56"/>
    </row>
    <row r="696">
      <c r="E696" s="86"/>
      <c r="G696" s="56"/>
    </row>
    <row r="697">
      <c r="E697" s="86"/>
      <c r="G697" s="56"/>
    </row>
    <row r="698">
      <c r="E698" s="86"/>
      <c r="G698" s="56"/>
    </row>
    <row r="699">
      <c r="E699" s="86"/>
      <c r="G699" s="56"/>
    </row>
    <row r="700">
      <c r="E700" s="86"/>
      <c r="G700" s="56"/>
    </row>
    <row r="701">
      <c r="E701" s="86"/>
      <c r="G701" s="56"/>
    </row>
    <row r="702">
      <c r="E702" s="86"/>
      <c r="G702" s="56"/>
    </row>
    <row r="703">
      <c r="E703" s="86"/>
      <c r="G703" s="56"/>
    </row>
    <row r="704">
      <c r="E704" s="86"/>
      <c r="G704" s="56"/>
    </row>
    <row r="705">
      <c r="E705" s="86"/>
      <c r="G705" s="56"/>
    </row>
    <row r="706">
      <c r="E706" s="86"/>
      <c r="G706" s="56"/>
    </row>
    <row r="707">
      <c r="E707" s="86"/>
      <c r="G707" s="56"/>
    </row>
    <row r="708">
      <c r="E708" s="86"/>
      <c r="G708" s="56"/>
    </row>
    <row r="709">
      <c r="E709" s="86"/>
      <c r="G709" s="56"/>
    </row>
    <row r="710">
      <c r="E710" s="86"/>
      <c r="G710" s="56"/>
    </row>
    <row r="711">
      <c r="E711" s="86"/>
      <c r="G711" s="56"/>
    </row>
    <row r="712">
      <c r="E712" s="86"/>
      <c r="G712" s="56"/>
    </row>
    <row r="713">
      <c r="E713" s="86"/>
      <c r="G713" s="56"/>
    </row>
    <row r="714">
      <c r="E714" s="86"/>
      <c r="G714" s="56"/>
    </row>
    <row r="715">
      <c r="E715" s="86"/>
      <c r="G715" s="56"/>
    </row>
    <row r="716">
      <c r="E716" s="86"/>
      <c r="G716" s="56"/>
    </row>
    <row r="717">
      <c r="E717" s="86"/>
      <c r="G717" s="56"/>
    </row>
    <row r="718">
      <c r="E718" s="86"/>
      <c r="G718" s="56"/>
    </row>
    <row r="719">
      <c r="E719" s="86"/>
      <c r="G719" s="56"/>
    </row>
    <row r="720">
      <c r="E720" s="86"/>
      <c r="G720" s="56"/>
    </row>
    <row r="721">
      <c r="E721" s="86"/>
      <c r="G721" s="56"/>
    </row>
    <row r="722">
      <c r="E722" s="86"/>
      <c r="G722" s="56"/>
    </row>
    <row r="723">
      <c r="E723" s="86"/>
      <c r="G723" s="56"/>
    </row>
    <row r="724">
      <c r="E724" s="86"/>
      <c r="G724" s="56"/>
    </row>
    <row r="725">
      <c r="E725" s="86"/>
      <c r="G725" s="56"/>
    </row>
    <row r="726">
      <c r="E726" s="86"/>
      <c r="G726" s="56"/>
    </row>
    <row r="727">
      <c r="E727" s="86"/>
      <c r="G727" s="56"/>
    </row>
    <row r="728">
      <c r="E728" s="86"/>
      <c r="G728" s="56"/>
    </row>
    <row r="729">
      <c r="E729" s="86"/>
      <c r="G729" s="56"/>
    </row>
    <row r="730">
      <c r="E730" s="86"/>
      <c r="G730" s="56"/>
    </row>
    <row r="731">
      <c r="E731" s="86"/>
      <c r="G731" s="56"/>
    </row>
    <row r="732">
      <c r="E732" s="86"/>
      <c r="G732" s="56"/>
    </row>
    <row r="733">
      <c r="E733" s="86"/>
      <c r="G733" s="56"/>
    </row>
    <row r="734">
      <c r="E734" s="86"/>
      <c r="G734" s="56"/>
    </row>
    <row r="735">
      <c r="E735" s="86"/>
      <c r="G735" s="56"/>
    </row>
    <row r="736">
      <c r="E736" s="86"/>
      <c r="G736" s="56"/>
    </row>
    <row r="737">
      <c r="E737" s="86"/>
      <c r="G737" s="56"/>
    </row>
    <row r="738">
      <c r="E738" s="86"/>
      <c r="G738" s="56"/>
    </row>
    <row r="739">
      <c r="E739" s="86"/>
      <c r="G739" s="56"/>
    </row>
    <row r="740">
      <c r="E740" s="86"/>
      <c r="G740" s="56"/>
    </row>
    <row r="741">
      <c r="E741" s="86"/>
      <c r="G741" s="56"/>
    </row>
    <row r="742">
      <c r="E742" s="86"/>
      <c r="G742" s="56"/>
    </row>
    <row r="743">
      <c r="E743" s="86"/>
      <c r="G743" s="56"/>
    </row>
    <row r="744">
      <c r="E744" s="86"/>
      <c r="G744" s="56"/>
    </row>
    <row r="745">
      <c r="E745" s="86"/>
      <c r="G745" s="56"/>
    </row>
    <row r="746">
      <c r="E746" s="86"/>
      <c r="G746" s="56"/>
    </row>
    <row r="747">
      <c r="E747" s="86"/>
      <c r="G747" s="56"/>
    </row>
    <row r="748">
      <c r="E748" s="86"/>
      <c r="G748" s="56"/>
    </row>
    <row r="749">
      <c r="E749" s="86"/>
      <c r="G749" s="56"/>
    </row>
    <row r="750">
      <c r="E750" s="86"/>
      <c r="G750" s="56"/>
    </row>
    <row r="751">
      <c r="E751" s="86"/>
      <c r="G751" s="56"/>
    </row>
    <row r="752">
      <c r="E752" s="86"/>
      <c r="G752" s="56"/>
    </row>
    <row r="753">
      <c r="E753" s="86"/>
      <c r="G753" s="56"/>
    </row>
    <row r="754">
      <c r="E754" s="86"/>
      <c r="G754" s="56"/>
    </row>
    <row r="755">
      <c r="E755" s="86"/>
      <c r="G755" s="56"/>
    </row>
    <row r="756">
      <c r="E756" s="86"/>
      <c r="G756" s="56"/>
    </row>
    <row r="757">
      <c r="E757" s="86"/>
      <c r="G757" s="56"/>
    </row>
    <row r="758">
      <c r="E758" s="86"/>
      <c r="G758" s="56"/>
    </row>
    <row r="759">
      <c r="E759" s="86"/>
      <c r="G759" s="56"/>
    </row>
    <row r="760">
      <c r="E760" s="86"/>
      <c r="G760" s="56"/>
    </row>
    <row r="761">
      <c r="E761" s="86"/>
      <c r="G761" s="56"/>
    </row>
    <row r="762">
      <c r="E762" s="86"/>
      <c r="G762" s="56"/>
    </row>
    <row r="763">
      <c r="E763" s="86"/>
      <c r="G763" s="56"/>
    </row>
    <row r="764">
      <c r="E764" s="86"/>
      <c r="G764" s="56"/>
    </row>
    <row r="765">
      <c r="E765" s="86"/>
      <c r="G765" s="56"/>
    </row>
    <row r="766">
      <c r="E766" s="86"/>
      <c r="G766" s="56"/>
    </row>
    <row r="767">
      <c r="E767" s="86"/>
      <c r="G767" s="56"/>
    </row>
    <row r="768">
      <c r="E768" s="86"/>
      <c r="G768" s="56"/>
    </row>
    <row r="769">
      <c r="E769" s="86"/>
      <c r="G769" s="56"/>
    </row>
    <row r="770">
      <c r="E770" s="86"/>
      <c r="G770" s="56"/>
    </row>
    <row r="771">
      <c r="E771" s="86"/>
      <c r="G771" s="56"/>
    </row>
    <row r="772">
      <c r="E772" s="86"/>
      <c r="G772" s="56"/>
    </row>
    <row r="773">
      <c r="E773" s="86"/>
      <c r="G773" s="56"/>
    </row>
    <row r="774">
      <c r="E774" s="86"/>
      <c r="G774" s="56"/>
    </row>
    <row r="775">
      <c r="E775" s="86"/>
      <c r="G775" s="56"/>
    </row>
    <row r="776">
      <c r="E776" s="86"/>
      <c r="G776" s="56"/>
    </row>
    <row r="777">
      <c r="E777" s="86"/>
      <c r="G777" s="56"/>
    </row>
    <row r="778">
      <c r="E778" s="86"/>
      <c r="G778" s="56"/>
    </row>
    <row r="779">
      <c r="E779" s="86"/>
      <c r="G779" s="56"/>
    </row>
    <row r="780">
      <c r="E780" s="86"/>
      <c r="G780" s="56"/>
    </row>
    <row r="781">
      <c r="E781" s="86"/>
      <c r="G781" s="56"/>
    </row>
    <row r="782">
      <c r="E782" s="86"/>
      <c r="G782" s="56"/>
    </row>
    <row r="783">
      <c r="E783" s="86"/>
      <c r="G783" s="56"/>
    </row>
    <row r="784">
      <c r="E784" s="86"/>
      <c r="G784" s="56"/>
    </row>
    <row r="785">
      <c r="E785" s="86"/>
      <c r="G785" s="56"/>
    </row>
    <row r="786">
      <c r="E786" s="86"/>
      <c r="G786" s="56"/>
    </row>
    <row r="787">
      <c r="E787" s="86"/>
      <c r="G787" s="56"/>
    </row>
    <row r="788">
      <c r="E788" s="86"/>
      <c r="G788" s="56"/>
    </row>
    <row r="789">
      <c r="E789" s="86"/>
      <c r="G789" s="56"/>
    </row>
    <row r="790">
      <c r="E790" s="86"/>
      <c r="G790" s="56"/>
    </row>
    <row r="791">
      <c r="E791" s="86"/>
      <c r="G791" s="56"/>
    </row>
    <row r="792">
      <c r="E792" s="86"/>
      <c r="G792" s="56"/>
    </row>
    <row r="793">
      <c r="E793" s="86"/>
      <c r="G793" s="56"/>
    </row>
    <row r="794">
      <c r="E794" s="86"/>
      <c r="G794" s="56"/>
    </row>
    <row r="795">
      <c r="E795" s="86"/>
      <c r="G795" s="56"/>
    </row>
    <row r="796">
      <c r="E796" s="86"/>
      <c r="G796" s="56"/>
    </row>
    <row r="797">
      <c r="E797" s="86"/>
      <c r="G797" s="56"/>
    </row>
    <row r="798">
      <c r="E798" s="86"/>
      <c r="G798" s="56"/>
    </row>
    <row r="799">
      <c r="E799" s="86"/>
      <c r="G799" s="56"/>
    </row>
    <row r="800">
      <c r="E800" s="86"/>
      <c r="G800" s="56"/>
    </row>
    <row r="801">
      <c r="E801" s="86"/>
      <c r="G801" s="56"/>
    </row>
    <row r="802">
      <c r="E802" s="86"/>
      <c r="G802" s="56"/>
    </row>
    <row r="803">
      <c r="E803" s="86"/>
      <c r="G803" s="56"/>
    </row>
    <row r="804">
      <c r="E804" s="86"/>
      <c r="G804" s="56"/>
    </row>
    <row r="805">
      <c r="E805" s="86"/>
      <c r="G805" s="56"/>
    </row>
    <row r="806">
      <c r="E806" s="86"/>
      <c r="G806" s="56"/>
    </row>
    <row r="807">
      <c r="E807" s="86"/>
      <c r="G807" s="56"/>
    </row>
    <row r="808">
      <c r="E808" s="86"/>
      <c r="G808" s="56"/>
    </row>
    <row r="809">
      <c r="E809" s="86"/>
      <c r="G809" s="56"/>
    </row>
    <row r="810">
      <c r="E810" s="86"/>
      <c r="G810" s="56"/>
    </row>
    <row r="811">
      <c r="E811" s="86"/>
      <c r="G811" s="56"/>
    </row>
    <row r="812">
      <c r="E812" s="86"/>
      <c r="G812" s="56"/>
    </row>
    <row r="813">
      <c r="E813" s="86"/>
      <c r="G813" s="56"/>
    </row>
    <row r="814">
      <c r="E814" s="86"/>
      <c r="G814" s="56"/>
    </row>
    <row r="815">
      <c r="E815" s="86"/>
      <c r="G815" s="56"/>
    </row>
    <row r="816">
      <c r="E816" s="86"/>
      <c r="G816" s="56"/>
    </row>
    <row r="817">
      <c r="E817" s="86"/>
      <c r="G817" s="56"/>
    </row>
    <row r="818">
      <c r="E818" s="86"/>
      <c r="G818" s="56"/>
    </row>
    <row r="819">
      <c r="E819" s="86"/>
      <c r="G819" s="56"/>
    </row>
    <row r="820">
      <c r="E820" s="86"/>
      <c r="G820" s="56"/>
    </row>
    <row r="821">
      <c r="E821" s="86"/>
      <c r="G821" s="56"/>
    </row>
    <row r="822">
      <c r="E822" s="86"/>
      <c r="G822" s="56"/>
    </row>
    <row r="823">
      <c r="E823" s="86"/>
      <c r="G823" s="56"/>
    </row>
    <row r="824">
      <c r="E824" s="86"/>
      <c r="G824" s="56"/>
    </row>
    <row r="825">
      <c r="E825" s="86"/>
      <c r="G825" s="56"/>
    </row>
    <row r="826">
      <c r="E826" s="86"/>
      <c r="G826" s="56"/>
    </row>
    <row r="827">
      <c r="E827" s="86"/>
      <c r="G827" s="56"/>
    </row>
    <row r="828">
      <c r="E828" s="86"/>
      <c r="G828" s="56"/>
    </row>
    <row r="829">
      <c r="E829" s="86"/>
      <c r="G829" s="56"/>
    </row>
    <row r="830">
      <c r="E830" s="86"/>
      <c r="G830" s="56"/>
    </row>
    <row r="831">
      <c r="E831" s="86"/>
      <c r="G831" s="56"/>
    </row>
    <row r="832">
      <c r="E832" s="86"/>
      <c r="G832" s="56"/>
    </row>
    <row r="833">
      <c r="E833" s="86"/>
      <c r="G833" s="56"/>
    </row>
    <row r="834">
      <c r="E834" s="86"/>
      <c r="G834" s="56"/>
    </row>
    <row r="835">
      <c r="E835" s="86"/>
      <c r="G835" s="56"/>
    </row>
    <row r="836">
      <c r="E836" s="86"/>
      <c r="G836" s="56"/>
    </row>
    <row r="837">
      <c r="E837" s="86"/>
      <c r="G837" s="56"/>
    </row>
    <row r="838">
      <c r="E838" s="86"/>
      <c r="G838" s="56"/>
    </row>
    <row r="839">
      <c r="E839" s="86"/>
      <c r="G839" s="56"/>
    </row>
    <row r="840">
      <c r="E840" s="86"/>
      <c r="G840" s="56"/>
    </row>
    <row r="841">
      <c r="E841" s="86"/>
      <c r="G841" s="56"/>
    </row>
    <row r="842">
      <c r="E842" s="86"/>
      <c r="G842" s="56"/>
    </row>
    <row r="843">
      <c r="E843" s="86"/>
      <c r="G843" s="56"/>
    </row>
    <row r="844">
      <c r="E844" s="86"/>
      <c r="G844" s="56"/>
    </row>
    <row r="845">
      <c r="E845" s="86"/>
      <c r="G845" s="56"/>
    </row>
    <row r="846">
      <c r="E846" s="86"/>
      <c r="G846" s="56"/>
    </row>
    <row r="847">
      <c r="E847" s="86"/>
      <c r="G847" s="56"/>
    </row>
    <row r="848">
      <c r="E848" s="86"/>
      <c r="G848" s="56"/>
    </row>
    <row r="849">
      <c r="E849" s="86"/>
      <c r="G849" s="56"/>
    </row>
    <row r="850">
      <c r="E850" s="86"/>
      <c r="G850" s="56"/>
    </row>
    <row r="851">
      <c r="E851" s="86"/>
      <c r="G851" s="56"/>
    </row>
    <row r="852">
      <c r="E852" s="86"/>
      <c r="G852" s="56"/>
    </row>
    <row r="853">
      <c r="E853" s="86"/>
      <c r="G853" s="56"/>
    </row>
    <row r="854">
      <c r="E854" s="86"/>
      <c r="G854" s="56"/>
    </row>
    <row r="855">
      <c r="E855" s="86"/>
      <c r="G855" s="56"/>
    </row>
    <row r="856">
      <c r="E856" s="86"/>
      <c r="G856" s="56"/>
    </row>
    <row r="857">
      <c r="E857" s="86"/>
      <c r="G857" s="56"/>
    </row>
    <row r="858">
      <c r="E858" s="86"/>
      <c r="G858" s="56"/>
    </row>
    <row r="859">
      <c r="E859" s="86"/>
      <c r="G859" s="56"/>
    </row>
    <row r="860">
      <c r="E860" s="86"/>
      <c r="G860" s="56"/>
    </row>
    <row r="861">
      <c r="E861" s="86"/>
      <c r="G861" s="56"/>
    </row>
    <row r="862">
      <c r="E862" s="86"/>
      <c r="G862" s="56"/>
    </row>
    <row r="863">
      <c r="E863" s="86"/>
      <c r="G863" s="56"/>
    </row>
    <row r="864">
      <c r="E864" s="86"/>
      <c r="G864" s="56"/>
    </row>
    <row r="865">
      <c r="E865" s="86"/>
      <c r="G865" s="56"/>
    </row>
    <row r="866">
      <c r="E866" s="86"/>
      <c r="G866" s="56"/>
    </row>
    <row r="867">
      <c r="E867" s="86"/>
      <c r="G867" s="56"/>
    </row>
    <row r="868">
      <c r="E868" s="86"/>
      <c r="G868" s="56"/>
    </row>
    <row r="869">
      <c r="E869" s="86"/>
      <c r="G869" s="56"/>
    </row>
    <row r="870">
      <c r="E870" s="86"/>
      <c r="G870" s="56"/>
    </row>
    <row r="871">
      <c r="E871" s="86"/>
      <c r="G871" s="56"/>
    </row>
    <row r="872">
      <c r="E872" s="86"/>
      <c r="G872" s="56"/>
    </row>
    <row r="873">
      <c r="E873" s="86"/>
      <c r="G873" s="56"/>
    </row>
    <row r="874">
      <c r="E874" s="86"/>
      <c r="G874" s="56"/>
    </row>
    <row r="875">
      <c r="E875" s="86"/>
      <c r="G875" s="56"/>
    </row>
    <row r="876">
      <c r="E876" s="86"/>
      <c r="G876" s="56"/>
    </row>
    <row r="877">
      <c r="E877" s="86"/>
      <c r="G877" s="56"/>
    </row>
    <row r="878">
      <c r="E878" s="86"/>
      <c r="G878" s="56"/>
    </row>
    <row r="879">
      <c r="E879" s="86"/>
      <c r="G879" s="56"/>
    </row>
    <row r="880">
      <c r="E880" s="86"/>
      <c r="G880" s="56"/>
    </row>
    <row r="881">
      <c r="E881" s="86"/>
      <c r="G881" s="56"/>
    </row>
    <row r="882">
      <c r="E882" s="86"/>
      <c r="G882" s="56"/>
    </row>
    <row r="883">
      <c r="E883" s="86"/>
      <c r="G883" s="56"/>
    </row>
    <row r="884">
      <c r="E884" s="86"/>
      <c r="G884" s="56"/>
    </row>
    <row r="885">
      <c r="E885" s="86"/>
      <c r="G885" s="56"/>
    </row>
    <row r="886">
      <c r="E886" s="86"/>
      <c r="G886" s="56"/>
    </row>
    <row r="887">
      <c r="E887" s="86"/>
      <c r="G887" s="56"/>
    </row>
    <row r="888">
      <c r="E888" s="86"/>
      <c r="G888" s="56"/>
    </row>
    <row r="889">
      <c r="E889" s="86"/>
      <c r="G889" s="56"/>
    </row>
    <row r="890">
      <c r="E890" s="86"/>
      <c r="G890" s="56"/>
    </row>
    <row r="891">
      <c r="E891" s="86"/>
      <c r="G891" s="56"/>
    </row>
    <row r="892">
      <c r="E892" s="86"/>
      <c r="G892" s="56"/>
    </row>
    <row r="893">
      <c r="E893" s="86"/>
      <c r="G893" s="56"/>
    </row>
    <row r="894">
      <c r="E894" s="86"/>
      <c r="G894" s="56"/>
    </row>
    <row r="895">
      <c r="E895" s="86"/>
      <c r="G895" s="56"/>
    </row>
    <row r="896">
      <c r="E896" s="86"/>
      <c r="G896" s="56"/>
    </row>
    <row r="897">
      <c r="E897" s="86"/>
      <c r="G897" s="56"/>
    </row>
    <row r="898">
      <c r="E898" s="86"/>
      <c r="G898" s="56"/>
    </row>
    <row r="899">
      <c r="E899" s="86"/>
      <c r="G899" s="56"/>
    </row>
    <row r="900">
      <c r="E900" s="86"/>
      <c r="G900" s="56"/>
    </row>
    <row r="901">
      <c r="E901" s="86"/>
      <c r="G901" s="56"/>
    </row>
    <row r="902">
      <c r="E902" s="86"/>
      <c r="G902" s="56"/>
    </row>
    <row r="903">
      <c r="E903" s="86"/>
      <c r="G903" s="56"/>
    </row>
    <row r="904">
      <c r="E904" s="86"/>
      <c r="G904" s="56"/>
    </row>
    <row r="905">
      <c r="E905" s="86"/>
      <c r="G905" s="56"/>
    </row>
    <row r="906">
      <c r="E906" s="86"/>
      <c r="G906" s="56"/>
    </row>
    <row r="907">
      <c r="E907" s="86"/>
      <c r="G907" s="56"/>
    </row>
    <row r="908">
      <c r="E908" s="86"/>
      <c r="G908" s="56"/>
    </row>
    <row r="909">
      <c r="E909" s="86"/>
      <c r="G909" s="56"/>
    </row>
    <row r="910">
      <c r="E910" s="86"/>
      <c r="G910" s="56"/>
    </row>
    <row r="911">
      <c r="E911" s="86"/>
      <c r="G911" s="56"/>
    </row>
    <row r="912">
      <c r="E912" s="86"/>
      <c r="G912" s="56"/>
    </row>
    <row r="913">
      <c r="E913" s="86"/>
      <c r="G913" s="56"/>
    </row>
    <row r="914">
      <c r="E914" s="86"/>
      <c r="G914" s="56"/>
    </row>
    <row r="915">
      <c r="E915" s="86"/>
      <c r="G915" s="56"/>
    </row>
    <row r="916">
      <c r="E916" s="86"/>
      <c r="G916" s="56"/>
    </row>
    <row r="917">
      <c r="E917" s="86"/>
      <c r="G917" s="56"/>
    </row>
    <row r="918">
      <c r="E918" s="86"/>
      <c r="G918" s="56"/>
    </row>
    <row r="919">
      <c r="E919" s="86"/>
      <c r="G919" s="56"/>
    </row>
    <row r="920">
      <c r="E920" s="86"/>
      <c r="G920" s="56"/>
    </row>
    <row r="921">
      <c r="E921" s="86"/>
      <c r="G921" s="56"/>
    </row>
    <row r="922">
      <c r="E922" s="86"/>
      <c r="G922" s="56"/>
    </row>
    <row r="923">
      <c r="E923" s="86"/>
      <c r="G923" s="56"/>
    </row>
    <row r="924">
      <c r="E924" s="86"/>
      <c r="G924" s="56"/>
    </row>
    <row r="925">
      <c r="E925" s="86"/>
      <c r="G925" s="56"/>
    </row>
    <row r="926">
      <c r="E926" s="86"/>
      <c r="G926" s="56"/>
    </row>
    <row r="927">
      <c r="E927" s="86"/>
      <c r="G927" s="56"/>
    </row>
    <row r="928">
      <c r="E928" s="86"/>
      <c r="G928" s="56"/>
    </row>
    <row r="929">
      <c r="E929" s="86"/>
      <c r="G929" s="56"/>
    </row>
    <row r="930">
      <c r="E930" s="86"/>
      <c r="G930" s="56"/>
    </row>
    <row r="931">
      <c r="E931" s="86"/>
      <c r="G931" s="56"/>
    </row>
    <row r="932">
      <c r="E932" s="86"/>
      <c r="G932" s="56"/>
    </row>
    <row r="933">
      <c r="E933" s="86"/>
      <c r="G933" s="56"/>
    </row>
    <row r="934">
      <c r="E934" s="86"/>
      <c r="G934" s="56"/>
    </row>
    <row r="935">
      <c r="E935" s="86"/>
      <c r="G935" s="56"/>
    </row>
    <row r="936">
      <c r="E936" s="86"/>
      <c r="G936" s="56"/>
    </row>
    <row r="937">
      <c r="E937" s="86"/>
      <c r="G937" s="56"/>
    </row>
    <row r="938">
      <c r="E938" s="86"/>
      <c r="G938" s="56"/>
    </row>
    <row r="939">
      <c r="E939" s="86"/>
      <c r="G939" s="56"/>
    </row>
    <row r="940">
      <c r="E940" s="86"/>
      <c r="G940" s="56"/>
    </row>
    <row r="941">
      <c r="E941" s="86"/>
      <c r="G941" s="56"/>
    </row>
    <row r="942">
      <c r="E942" s="86"/>
      <c r="G942" s="56"/>
    </row>
    <row r="943">
      <c r="E943" s="86"/>
      <c r="G943" s="56"/>
    </row>
    <row r="944">
      <c r="E944" s="86"/>
      <c r="G944" s="56"/>
    </row>
    <row r="945">
      <c r="E945" s="86"/>
      <c r="G945" s="56"/>
    </row>
    <row r="946">
      <c r="E946" s="86"/>
      <c r="G946" s="56"/>
    </row>
    <row r="947">
      <c r="E947" s="86"/>
      <c r="G947" s="56"/>
    </row>
    <row r="948">
      <c r="E948" s="86"/>
      <c r="G948" s="56"/>
    </row>
    <row r="949">
      <c r="E949" s="86"/>
      <c r="G949" s="56"/>
    </row>
    <row r="950">
      <c r="E950" s="86"/>
      <c r="G950" s="56"/>
    </row>
    <row r="951">
      <c r="E951" s="86"/>
      <c r="G951" s="56"/>
    </row>
    <row r="952">
      <c r="E952" s="86"/>
      <c r="G952" s="56"/>
    </row>
    <row r="953">
      <c r="E953" s="86"/>
      <c r="G953" s="56"/>
    </row>
    <row r="954">
      <c r="E954" s="86"/>
      <c r="G954" s="56"/>
    </row>
    <row r="955">
      <c r="E955" s="86"/>
      <c r="G955" s="56"/>
    </row>
    <row r="956">
      <c r="E956" s="86"/>
      <c r="G956" s="56"/>
    </row>
    <row r="957">
      <c r="E957" s="86"/>
      <c r="G957" s="56"/>
    </row>
    <row r="958">
      <c r="E958" s="86"/>
      <c r="G958" s="56"/>
    </row>
    <row r="959">
      <c r="E959" s="86"/>
      <c r="G959" s="56"/>
    </row>
    <row r="960">
      <c r="E960" s="86"/>
      <c r="G960" s="56"/>
    </row>
    <row r="961">
      <c r="E961" s="86"/>
      <c r="G961" s="56"/>
    </row>
    <row r="962">
      <c r="E962" s="86"/>
      <c r="G962" s="56"/>
    </row>
    <row r="963">
      <c r="E963" s="86"/>
      <c r="G963" s="56"/>
    </row>
    <row r="964">
      <c r="E964" s="86"/>
      <c r="G964" s="56"/>
    </row>
    <row r="965">
      <c r="E965" s="86"/>
      <c r="G965" s="56"/>
    </row>
    <row r="966">
      <c r="E966" s="86"/>
      <c r="G966" s="56"/>
    </row>
    <row r="967">
      <c r="E967" s="86"/>
      <c r="G967" s="56"/>
    </row>
    <row r="968">
      <c r="E968" s="86"/>
      <c r="G968" s="56"/>
    </row>
    <row r="969">
      <c r="E969" s="86"/>
      <c r="G969" s="56"/>
    </row>
    <row r="970">
      <c r="E970" s="86"/>
      <c r="G970" s="56"/>
    </row>
    <row r="971">
      <c r="E971" s="86"/>
      <c r="G971" s="56"/>
    </row>
    <row r="972">
      <c r="E972" s="86"/>
      <c r="G972" s="56"/>
    </row>
    <row r="973">
      <c r="E973" s="86"/>
      <c r="G973" s="56"/>
    </row>
    <row r="974">
      <c r="E974" s="86"/>
      <c r="G974" s="56"/>
    </row>
    <row r="975">
      <c r="E975" s="86"/>
      <c r="G975" s="56"/>
    </row>
    <row r="976">
      <c r="E976" s="86"/>
      <c r="G976" s="56"/>
    </row>
    <row r="977">
      <c r="E977" s="86"/>
      <c r="G977" s="56"/>
    </row>
    <row r="978">
      <c r="E978" s="86"/>
      <c r="G978" s="56"/>
    </row>
    <row r="979">
      <c r="E979" s="86"/>
      <c r="G979" s="56"/>
    </row>
    <row r="980">
      <c r="E980" s="86"/>
      <c r="G980" s="56"/>
    </row>
    <row r="981">
      <c r="E981" s="86"/>
      <c r="G981" s="56"/>
    </row>
    <row r="982">
      <c r="E982" s="86"/>
      <c r="G982" s="56"/>
    </row>
    <row r="983">
      <c r="E983" s="86"/>
      <c r="G983" s="56"/>
    </row>
    <row r="984">
      <c r="E984" s="86"/>
      <c r="G984" s="56"/>
    </row>
    <row r="985">
      <c r="E985" s="86"/>
      <c r="G985" s="56"/>
    </row>
    <row r="986">
      <c r="E986" s="86"/>
      <c r="G986" s="56"/>
    </row>
    <row r="987">
      <c r="E987" s="86"/>
      <c r="G987" s="56"/>
    </row>
    <row r="988">
      <c r="E988" s="86"/>
      <c r="G988" s="56"/>
    </row>
    <row r="989">
      <c r="E989" s="86"/>
      <c r="G989" s="56"/>
    </row>
    <row r="990">
      <c r="E990" s="86"/>
      <c r="G990" s="56"/>
    </row>
    <row r="991">
      <c r="E991" s="86"/>
      <c r="G991" s="56"/>
    </row>
    <row r="992">
      <c r="E992" s="86"/>
      <c r="G992" s="56"/>
    </row>
    <row r="993">
      <c r="E993" s="86"/>
      <c r="G993" s="56"/>
    </row>
    <row r="994">
      <c r="E994" s="86"/>
      <c r="G994" s="56"/>
    </row>
    <row r="995">
      <c r="E995" s="86"/>
      <c r="G995" s="56"/>
    </row>
    <row r="996">
      <c r="E996" s="86"/>
      <c r="G996" s="56"/>
    </row>
    <row r="997">
      <c r="E997" s="86"/>
      <c r="G997" s="56"/>
    </row>
    <row r="998">
      <c r="E998" s="86"/>
      <c r="G998" s="56"/>
    </row>
    <row r="999">
      <c r="E999" s="86"/>
      <c r="G999" s="56"/>
    </row>
    <row r="1000">
      <c r="E1000" s="86"/>
      <c r="G1000" s="56"/>
    </row>
  </sheetData>
  <drawing r:id="rId1"/>
</worksheet>
</file>